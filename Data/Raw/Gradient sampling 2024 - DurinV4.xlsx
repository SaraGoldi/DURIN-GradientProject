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rag\Uni\Between the Fjords\"/>
    </mc:Choice>
  </mc:AlternateContent>
  <xr:revisionPtr revIDLastSave="0" documentId="8_{ACBCF291-8EF5-488E-B28E-883FDD6CAC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adient sampling 2024 - DurinV" sheetId="1" r:id="rId1"/>
    <sheet name="vmvv problems" sheetId="2" r:id="rId2"/>
    <sheet name="Copy of data" sheetId="3" r:id="rId3"/>
    <sheet name="Notes" sheetId="4" r:id="rId4"/>
    <sheet name="ANOSampledSites" sheetId="5" r:id="rId5"/>
    <sheet name="Tabellenblatt2" sheetId="6" r:id="rId6"/>
    <sheet name="ANO flater" sheetId="7" r:id="rId7"/>
  </sheets>
  <definedNames>
    <definedName name="_xlnm._FilterDatabase" localSheetId="2" hidden="1">'Copy of data'!$A$1:$AD$2189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5" l="1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B2189" i="3"/>
  <c r="AA2189" i="3"/>
  <c r="AB2188" i="3"/>
  <c r="AA2188" i="3"/>
  <c r="AB2187" i="3"/>
  <c r="AA2187" i="3"/>
  <c r="AB2186" i="3"/>
  <c r="AA2186" i="3"/>
  <c r="AB2185" i="3"/>
  <c r="AA2185" i="3"/>
  <c r="AB2184" i="3"/>
  <c r="AA2184" i="3"/>
  <c r="AB2183" i="3"/>
  <c r="AA2183" i="3"/>
  <c r="AB2182" i="3"/>
  <c r="AA2182" i="3"/>
  <c r="AB2181" i="3"/>
  <c r="AA2181" i="3"/>
  <c r="AB2180" i="3"/>
  <c r="AA2180" i="3"/>
  <c r="AB2179" i="3"/>
  <c r="AA2179" i="3"/>
  <c r="AB2178" i="3"/>
  <c r="AA2178" i="3"/>
  <c r="AB2177" i="3"/>
  <c r="AA2177" i="3"/>
  <c r="AB2176" i="3"/>
  <c r="AA2176" i="3"/>
  <c r="AB2175" i="3"/>
  <c r="AA2175" i="3"/>
  <c r="AB2174" i="3"/>
  <c r="AA2174" i="3"/>
  <c r="AB2173" i="3"/>
  <c r="AA2173" i="3"/>
  <c r="AB2172" i="3"/>
  <c r="AA2172" i="3"/>
  <c r="AB2171" i="3"/>
  <c r="AA2171" i="3"/>
  <c r="AB2170" i="3"/>
  <c r="AA2170" i="3"/>
  <c r="AB2169" i="3"/>
  <c r="AA2169" i="3"/>
  <c r="AB2168" i="3"/>
  <c r="AA2168" i="3"/>
  <c r="AB2167" i="3"/>
  <c r="AA2167" i="3"/>
  <c r="AB2166" i="3"/>
  <c r="AA2166" i="3"/>
  <c r="AB2165" i="3"/>
  <c r="AA2165" i="3"/>
  <c r="AB2164" i="3"/>
  <c r="AA2164" i="3"/>
  <c r="AB2163" i="3"/>
  <c r="AA2163" i="3"/>
  <c r="AB2162" i="3"/>
  <c r="AA2162" i="3"/>
  <c r="AB2161" i="3"/>
  <c r="AA2161" i="3"/>
  <c r="AB2160" i="3"/>
  <c r="AA2160" i="3"/>
  <c r="AB2159" i="3"/>
  <c r="AA2159" i="3"/>
  <c r="AB2158" i="3"/>
  <c r="AA2158" i="3"/>
  <c r="AB2157" i="3"/>
  <c r="AA2157" i="3"/>
  <c r="AB2156" i="3"/>
  <c r="AA2156" i="3"/>
  <c r="AB2155" i="3"/>
  <c r="AA2155" i="3"/>
  <c r="AB2154" i="3"/>
  <c r="AA2154" i="3"/>
  <c r="AB2153" i="3"/>
  <c r="AA2153" i="3"/>
  <c r="AB2152" i="3"/>
  <c r="AA2152" i="3"/>
  <c r="AB2151" i="3"/>
  <c r="AA2151" i="3"/>
  <c r="AB2150" i="3"/>
  <c r="AA2150" i="3"/>
  <c r="AB2149" i="3"/>
  <c r="AA2149" i="3"/>
  <c r="AB2148" i="3"/>
  <c r="AA2148" i="3"/>
  <c r="AB2147" i="3"/>
  <c r="AA2147" i="3"/>
  <c r="AB2146" i="3"/>
  <c r="AA2146" i="3"/>
  <c r="AB2145" i="3"/>
  <c r="AA2145" i="3"/>
  <c r="AB2144" i="3"/>
  <c r="AA2144" i="3"/>
  <c r="AB2143" i="3"/>
  <c r="AA2143" i="3"/>
  <c r="AB2142" i="3"/>
  <c r="AA2142" i="3"/>
  <c r="AB2141" i="3"/>
  <c r="AA2141" i="3"/>
  <c r="AB2140" i="3"/>
  <c r="AA2140" i="3"/>
  <c r="AB2139" i="3"/>
  <c r="AA2139" i="3"/>
  <c r="AB2138" i="3"/>
  <c r="AA2138" i="3"/>
  <c r="AB2137" i="3"/>
  <c r="AA2137" i="3"/>
  <c r="AB2136" i="3"/>
  <c r="AA2136" i="3"/>
  <c r="AB2135" i="3"/>
  <c r="AA2135" i="3"/>
  <c r="AB2134" i="3"/>
  <c r="AA2134" i="3"/>
  <c r="AB2133" i="3"/>
  <c r="AA2133" i="3"/>
  <c r="AB2132" i="3"/>
  <c r="AA2132" i="3"/>
  <c r="AB2131" i="3"/>
  <c r="AA2131" i="3"/>
  <c r="AB2130" i="3"/>
  <c r="AA2130" i="3"/>
  <c r="AB2129" i="3"/>
  <c r="AA2129" i="3"/>
  <c r="AB2128" i="3"/>
  <c r="AA2128" i="3"/>
  <c r="AB2127" i="3"/>
  <c r="AA2127" i="3"/>
  <c r="AB2126" i="3"/>
  <c r="AA2126" i="3"/>
  <c r="AB2125" i="3"/>
  <c r="AA2125" i="3"/>
  <c r="AB2124" i="3"/>
  <c r="AA2124" i="3"/>
  <c r="AB2123" i="3"/>
  <c r="AA2123" i="3"/>
  <c r="AB2122" i="3"/>
  <c r="AA2122" i="3"/>
  <c r="AB2121" i="3"/>
  <c r="AA2121" i="3"/>
  <c r="AB2120" i="3"/>
  <c r="AA2120" i="3"/>
  <c r="AB2119" i="3"/>
  <c r="AA2119" i="3"/>
  <c r="AB2118" i="3"/>
  <c r="AA2118" i="3"/>
  <c r="AB2117" i="3"/>
  <c r="AA2117" i="3"/>
  <c r="AB2116" i="3"/>
  <c r="AA2116" i="3"/>
  <c r="AB2115" i="3"/>
  <c r="AA2115" i="3"/>
  <c r="AB2114" i="3"/>
  <c r="AA2114" i="3"/>
  <c r="AB2113" i="3"/>
  <c r="AA2113" i="3"/>
  <c r="AB2112" i="3"/>
  <c r="AA2112" i="3"/>
  <c r="AB2111" i="3"/>
  <c r="AA2111" i="3"/>
  <c r="AB2110" i="3"/>
  <c r="AA2110" i="3"/>
  <c r="AB2109" i="3"/>
  <c r="AA2109" i="3"/>
  <c r="AB2108" i="3"/>
  <c r="AA2108" i="3"/>
  <c r="AB2107" i="3"/>
  <c r="AA2107" i="3"/>
  <c r="AB2106" i="3"/>
  <c r="AA2106" i="3"/>
  <c r="AB2105" i="3"/>
  <c r="AA2105" i="3"/>
  <c r="AB2104" i="3"/>
  <c r="AA2104" i="3"/>
  <c r="AB2103" i="3"/>
  <c r="AA2103" i="3"/>
  <c r="AB2102" i="3"/>
  <c r="AA2102" i="3"/>
  <c r="AB2101" i="3"/>
  <c r="AA2101" i="3"/>
  <c r="AB2100" i="3"/>
  <c r="AA2100" i="3"/>
  <c r="AB2099" i="3"/>
  <c r="AA2099" i="3"/>
  <c r="AB2098" i="3"/>
  <c r="AA2098" i="3"/>
  <c r="AB2097" i="3"/>
  <c r="AA2097" i="3"/>
  <c r="AB2096" i="3"/>
  <c r="AA2096" i="3"/>
  <c r="AB2095" i="3"/>
  <c r="AA2095" i="3"/>
  <c r="AB2094" i="3"/>
  <c r="AA2094" i="3"/>
  <c r="AB2093" i="3"/>
  <c r="AA2093" i="3"/>
  <c r="AB2092" i="3"/>
  <c r="AA2092" i="3"/>
  <c r="AB2091" i="3"/>
  <c r="AA2091" i="3"/>
  <c r="AB2090" i="3"/>
  <c r="AA2090" i="3"/>
  <c r="AB2089" i="3"/>
  <c r="AA2089" i="3"/>
  <c r="AB2088" i="3"/>
  <c r="AA2088" i="3"/>
  <c r="AB2087" i="3"/>
  <c r="AA2087" i="3"/>
  <c r="AB2086" i="3"/>
  <c r="AA2086" i="3"/>
  <c r="AB2085" i="3"/>
  <c r="AA2085" i="3"/>
  <c r="AB2084" i="3"/>
  <c r="AA2084" i="3"/>
  <c r="AB2083" i="3"/>
  <c r="AA2083" i="3"/>
  <c r="AB2082" i="3"/>
  <c r="AA2082" i="3"/>
  <c r="AB2081" i="3"/>
  <c r="AA2081" i="3"/>
  <c r="AB2080" i="3"/>
  <c r="AA2080" i="3"/>
  <c r="AB2079" i="3"/>
  <c r="AA2079" i="3"/>
  <c r="AB2078" i="3"/>
  <c r="AA2078" i="3"/>
  <c r="AB2077" i="3"/>
  <c r="AA2077" i="3"/>
  <c r="AB2076" i="3"/>
  <c r="AA2076" i="3"/>
  <c r="AB2075" i="3"/>
  <c r="AA2075" i="3"/>
  <c r="AB2074" i="3"/>
  <c r="AA2074" i="3"/>
  <c r="AB2073" i="3"/>
  <c r="AA2073" i="3"/>
  <c r="AB2072" i="3"/>
  <c r="AA2072" i="3"/>
  <c r="AB2071" i="3"/>
  <c r="AA2071" i="3"/>
  <c r="AB2070" i="3"/>
  <c r="AA2070" i="3"/>
  <c r="AB2069" i="3"/>
  <c r="AA2069" i="3"/>
  <c r="AB2068" i="3"/>
  <c r="AA2068" i="3"/>
  <c r="AB2067" i="3"/>
  <c r="AA2067" i="3"/>
  <c r="AB2066" i="3"/>
  <c r="AA2066" i="3"/>
  <c r="AB2065" i="3"/>
  <c r="AA2065" i="3"/>
  <c r="AB2064" i="3"/>
  <c r="AA2064" i="3"/>
  <c r="AB2063" i="3"/>
  <c r="AA2063" i="3"/>
  <c r="AB2062" i="3"/>
  <c r="AA2062" i="3"/>
  <c r="AB2061" i="3"/>
  <c r="AA2061" i="3"/>
  <c r="AB2060" i="3"/>
  <c r="AA2060" i="3"/>
  <c r="AB2059" i="3"/>
  <c r="AA2059" i="3"/>
  <c r="AB2058" i="3"/>
  <c r="AA2058" i="3"/>
  <c r="AB2057" i="3"/>
  <c r="AA2057" i="3"/>
  <c r="AB2056" i="3"/>
  <c r="AA2056" i="3"/>
  <c r="AB2055" i="3"/>
  <c r="AA2055" i="3"/>
  <c r="AB2054" i="3"/>
  <c r="AA2054" i="3"/>
  <c r="AB2053" i="3"/>
  <c r="AA2053" i="3"/>
  <c r="AB2052" i="3"/>
  <c r="AA2052" i="3"/>
  <c r="AB2051" i="3"/>
  <c r="AA2051" i="3"/>
  <c r="AB2050" i="3"/>
  <c r="AA2050" i="3"/>
  <c r="AB2049" i="3"/>
  <c r="AA2049" i="3"/>
  <c r="AB2048" i="3"/>
  <c r="AA2048" i="3"/>
  <c r="AB2047" i="3"/>
  <c r="AA2047" i="3"/>
  <c r="AB2046" i="3"/>
  <c r="AA2046" i="3"/>
  <c r="AB2045" i="3"/>
  <c r="AA2045" i="3"/>
  <c r="AB2044" i="3"/>
  <c r="AA2044" i="3"/>
  <c r="AB2043" i="3"/>
  <c r="AA2043" i="3"/>
  <c r="AB2042" i="3"/>
  <c r="AA2042" i="3"/>
  <c r="AB2041" i="3"/>
  <c r="AA2041" i="3"/>
  <c r="AB2040" i="3"/>
  <c r="AA2040" i="3"/>
  <c r="AB2039" i="3"/>
  <c r="AA2039" i="3"/>
  <c r="AB2038" i="3"/>
  <c r="AA2038" i="3"/>
  <c r="AB2037" i="3"/>
  <c r="AA2037" i="3"/>
  <c r="AB2036" i="3"/>
  <c r="AA2036" i="3"/>
  <c r="AB2035" i="3"/>
  <c r="AA2035" i="3"/>
  <c r="AB2034" i="3"/>
  <c r="AA2034" i="3"/>
  <c r="AB2033" i="3"/>
  <c r="AA2033" i="3"/>
  <c r="AB2032" i="3"/>
  <c r="AA2032" i="3"/>
  <c r="AB2031" i="3"/>
  <c r="AA2031" i="3"/>
  <c r="AB2030" i="3"/>
  <c r="AA2030" i="3"/>
  <c r="AB2029" i="3"/>
  <c r="AA2029" i="3"/>
  <c r="AB2028" i="3"/>
  <c r="AA2028" i="3"/>
  <c r="AB2027" i="3"/>
  <c r="AA2027" i="3"/>
  <c r="AB2026" i="3"/>
  <c r="AA2026" i="3"/>
  <c r="AB2025" i="3"/>
  <c r="AA2025" i="3"/>
  <c r="AB2024" i="3"/>
  <c r="AA2024" i="3"/>
  <c r="AB2023" i="3"/>
  <c r="AA2023" i="3"/>
  <c r="AB2022" i="3"/>
  <c r="AA2022" i="3"/>
  <c r="AB2021" i="3"/>
  <c r="AA2021" i="3"/>
  <c r="AB2020" i="3"/>
  <c r="AA2020" i="3"/>
  <c r="AB2019" i="3"/>
  <c r="AA2019" i="3"/>
  <c r="AB2018" i="3"/>
  <c r="AA2018" i="3"/>
  <c r="AB2017" i="3"/>
  <c r="AA2017" i="3"/>
  <c r="AB2016" i="3"/>
  <c r="AA2016" i="3"/>
  <c r="AB2015" i="3"/>
  <c r="AA2015" i="3"/>
  <c r="AB2014" i="3"/>
  <c r="AA2014" i="3"/>
  <c r="AB2013" i="3"/>
  <c r="AA2013" i="3"/>
  <c r="AB2012" i="3"/>
  <c r="AA2012" i="3"/>
  <c r="AB2011" i="3"/>
  <c r="AA2011" i="3"/>
  <c r="AB2010" i="3"/>
  <c r="AA2010" i="3"/>
  <c r="AB2009" i="3"/>
  <c r="AA2009" i="3"/>
  <c r="AB2008" i="3"/>
  <c r="AA2008" i="3"/>
  <c r="AB2007" i="3"/>
  <c r="AA2007" i="3"/>
  <c r="AB2006" i="3"/>
  <c r="AA2006" i="3"/>
  <c r="AB2005" i="3"/>
  <c r="AA2005" i="3"/>
  <c r="AB2004" i="3"/>
  <c r="AA2004" i="3"/>
  <c r="AB2003" i="3"/>
  <c r="AA2003" i="3"/>
  <c r="AB2002" i="3"/>
  <c r="AA2002" i="3"/>
  <c r="AB2001" i="3"/>
  <c r="AA2001" i="3"/>
  <c r="AB2000" i="3"/>
  <c r="AA2000" i="3"/>
  <c r="AB1999" i="3"/>
  <c r="AA1999" i="3"/>
  <c r="AB1998" i="3"/>
  <c r="AA1998" i="3"/>
  <c r="AB1997" i="3"/>
  <c r="AA1997" i="3"/>
  <c r="AB1996" i="3"/>
  <c r="AA1996" i="3"/>
  <c r="AB1995" i="3"/>
  <c r="AA1995" i="3"/>
  <c r="AB1994" i="3"/>
  <c r="AA1994" i="3"/>
  <c r="AB1993" i="3"/>
  <c r="AA1993" i="3"/>
  <c r="AB1992" i="3"/>
  <c r="AA1992" i="3"/>
  <c r="AB1991" i="3"/>
  <c r="AA1991" i="3"/>
  <c r="AB1990" i="3"/>
  <c r="AA1990" i="3"/>
  <c r="AB1989" i="3"/>
  <c r="AA1989" i="3"/>
  <c r="AB1988" i="3"/>
  <c r="AA1988" i="3"/>
  <c r="AB1987" i="3"/>
  <c r="AA1987" i="3"/>
  <c r="AB1986" i="3"/>
  <c r="AA1986" i="3"/>
  <c r="AB1985" i="3"/>
  <c r="AA1985" i="3"/>
  <c r="AB1984" i="3"/>
  <c r="AA1984" i="3"/>
  <c r="AB1983" i="3"/>
  <c r="AA1983" i="3"/>
  <c r="AB1982" i="3"/>
  <c r="AA1982" i="3"/>
  <c r="AB1981" i="3"/>
  <c r="AA1981" i="3"/>
  <c r="AB1980" i="3"/>
  <c r="AA1980" i="3"/>
  <c r="AB1979" i="3"/>
  <c r="AA1979" i="3"/>
  <c r="AB1978" i="3"/>
  <c r="AA1978" i="3"/>
  <c r="AB1977" i="3"/>
  <c r="AA1977" i="3"/>
  <c r="AB1976" i="3"/>
  <c r="AA1976" i="3"/>
  <c r="AB1975" i="3"/>
  <c r="AA1975" i="3"/>
  <c r="AB1974" i="3"/>
  <c r="AA1974" i="3"/>
  <c r="AB1973" i="3"/>
  <c r="AA1973" i="3"/>
  <c r="AB1972" i="3"/>
  <c r="AA1972" i="3"/>
  <c r="AB1971" i="3"/>
  <c r="AA1971" i="3"/>
  <c r="AB1970" i="3"/>
  <c r="AA1970" i="3"/>
  <c r="AB1969" i="3"/>
  <c r="AA1969" i="3"/>
  <c r="AB1968" i="3"/>
  <c r="AA1968" i="3"/>
  <c r="AB1967" i="3"/>
  <c r="AA1967" i="3"/>
  <c r="AB1966" i="3"/>
  <c r="AA1966" i="3"/>
  <c r="AB1965" i="3"/>
  <c r="AA1965" i="3"/>
  <c r="AB1964" i="3"/>
  <c r="AA1964" i="3"/>
  <c r="AB1963" i="3"/>
  <c r="AA1963" i="3"/>
  <c r="AB1962" i="3"/>
  <c r="AA1962" i="3"/>
  <c r="AB1961" i="3"/>
  <c r="AA1961" i="3"/>
  <c r="AB1960" i="3"/>
  <c r="AA1960" i="3"/>
  <c r="AB1959" i="3"/>
  <c r="AA1959" i="3"/>
  <c r="AB1958" i="3"/>
  <c r="AA1958" i="3"/>
  <c r="AB1957" i="3"/>
  <c r="AA1957" i="3"/>
  <c r="AB1956" i="3"/>
  <c r="AA1956" i="3"/>
  <c r="AB1955" i="3"/>
  <c r="AA1955" i="3"/>
  <c r="AB1954" i="3"/>
  <c r="AA1954" i="3"/>
  <c r="AB1953" i="3"/>
  <c r="AA1953" i="3"/>
  <c r="AB1952" i="3"/>
  <c r="AA1952" i="3"/>
  <c r="AB1951" i="3"/>
  <c r="AA1951" i="3"/>
  <c r="AB1950" i="3"/>
  <c r="AA1950" i="3"/>
  <c r="AB1949" i="3"/>
  <c r="AA1949" i="3"/>
  <c r="AB1948" i="3"/>
  <c r="AA1948" i="3"/>
  <c r="AB1947" i="3"/>
  <c r="AA1947" i="3"/>
  <c r="AB1946" i="3"/>
  <c r="AA1946" i="3"/>
  <c r="AB1945" i="3"/>
  <c r="AA1945" i="3"/>
  <c r="AB1944" i="3"/>
  <c r="AA1944" i="3"/>
  <c r="AB1943" i="3"/>
  <c r="AA1943" i="3"/>
  <c r="AB1942" i="3"/>
  <c r="AA1942" i="3"/>
  <c r="AB1941" i="3"/>
  <c r="AA1941" i="3"/>
  <c r="AB1940" i="3"/>
  <c r="AA1940" i="3"/>
  <c r="AB1939" i="3"/>
  <c r="AA1939" i="3"/>
  <c r="AB1938" i="3"/>
  <c r="AA1938" i="3"/>
  <c r="AB1937" i="3"/>
  <c r="AA1937" i="3"/>
  <c r="AB1936" i="3"/>
  <c r="AA1936" i="3"/>
  <c r="AB1935" i="3"/>
  <c r="AA1935" i="3"/>
  <c r="AB1934" i="3"/>
  <c r="AA1934" i="3"/>
  <c r="AB1933" i="3"/>
  <c r="AA1933" i="3"/>
  <c r="AB1932" i="3"/>
  <c r="AA1932" i="3"/>
  <c r="AB1931" i="3"/>
  <c r="AA1931" i="3"/>
  <c r="AB1930" i="3"/>
  <c r="AA1930" i="3"/>
  <c r="AB1929" i="3"/>
  <c r="AA1929" i="3"/>
  <c r="AB1928" i="3"/>
  <c r="AA1928" i="3"/>
  <c r="AB1927" i="3"/>
  <c r="AA1927" i="3"/>
  <c r="AB1926" i="3"/>
  <c r="AA1926" i="3"/>
  <c r="AB1925" i="3"/>
  <c r="AA1925" i="3"/>
  <c r="AB1924" i="3"/>
  <c r="AA1924" i="3"/>
  <c r="AB1923" i="3"/>
  <c r="AA1923" i="3"/>
  <c r="AB1922" i="3"/>
  <c r="AA1922" i="3"/>
  <c r="AB1921" i="3"/>
  <c r="AA1921" i="3"/>
  <c r="AB1920" i="3"/>
  <c r="AA1920" i="3"/>
  <c r="AB1919" i="3"/>
  <c r="AA1919" i="3"/>
  <c r="AB1918" i="3"/>
  <c r="AA1918" i="3"/>
  <c r="AB1917" i="3"/>
  <c r="AA1917" i="3"/>
  <c r="AB1916" i="3"/>
  <c r="AA1916" i="3"/>
  <c r="AB1915" i="3"/>
  <c r="AA1915" i="3"/>
  <c r="AB1914" i="3"/>
  <c r="AA1914" i="3"/>
  <c r="AB1913" i="3"/>
  <c r="AA1913" i="3"/>
  <c r="AB1912" i="3"/>
  <c r="AA1912" i="3"/>
  <c r="AB1911" i="3"/>
  <c r="AA1911" i="3"/>
  <c r="AB1910" i="3"/>
  <c r="AA1910" i="3"/>
  <c r="AB1909" i="3"/>
  <c r="AA1909" i="3"/>
  <c r="AB1908" i="3"/>
  <c r="AA1908" i="3"/>
  <c r="AB1907" i="3"/>
  <c r="AA1907" i="3"/>
  <c r="AB1906" i="3"/>
  <c r="AA1906" i="3"/>
  <c r="AB1905" i="3"/>
  <c r="AA1905" i="3"/>
  <c r="AB1904" i="3"/>
  <c r="AA1904" i="3"/>
  <c r="AB1903" i="3"/>
  <c r="AA1903" i="3"/>
  <c r="AB1902" i="3"/>
  <c r="AA1902" i="3"/>
  <c r="AB1901" i="3"/>
  <c r="AA1901" i="3"/>
  <c r="AB1900" i="3"/>
  <c r="AA1900" i="3"/>
  <c r="AB1899" i="3"/>
  <c r="AA1899" i="3"/>
  <c r="AB1898" i="3"/>
  <c r="AA1898" i="3"/>
  <c r="AB1897" i="3"/>
  <c r="AA1897" i="3"/>
  <c r="AB1896" i="3"/>
  <c r="AA1896" i="3"/>
  <c r="AB1895" i="3"/>
  <c r="AA1895" i="3"/>
  <c r="AB1894" i="3"/>
  <c r="AA1894" i="3"/>
  <c r="AB1893" i="3"/>
  <c r="AA1893" i="3"/>
  <c r="AB1892" i="3"/>
  <c r="AA1892" i="3"/>
  <c r="AB1891" i="3"/>
  <c r="AA1891" i="3"/>
  <c r="AB1890" i="3"/>
  <c r="AA1890" i="3"/>
  <c r="AB1889" i="3"/>
  <c r="AA1889" i="3"/>
  <c r="AB1888" i="3"/>
  <c r="AA1888" i="3"/>
  <c r="AB1887" i="3"/>
  <c r="AA1887" i="3"/>
  <c r="AB1886" i="3"/>
  <c r="AA1886" i="3"/>
  <c r="AB1885" i="3"/>
  <c r="AA1885" i="3"/>
  <c r="AB1884" i="3"/>
  <c r="AA1884" i="3"/>
  <c r="AB1883" i="3"/>
  <c r="AA1883" i="3"/>
  <c r="AB1882" i="3"/>
  <c r="AA1882" i="3"/>
  <c r="AB1881" i="3"/>
  <c r="AA1881" i="3"/>
  <c r="AB1880" i="3"/>
  <c r="AA1880" i="3"/>
  <c r="AB1879" i="3"/>
  <c r="AA1879" i="3"/>
  <c r="AB1878" i="3"/>
  <c r="AA1878" i="3"/>
  <c r="AB1877" i="3"/>
  <c r="AA1877" i="3"/>
  <c r="AB1876" i="3"/>
  <c r="AA1876" i="3"/>
  <c r="AB1875" i="3"/>
  <c r="AA1875" i="3"/>
  <c r="AB1874" i="3"/>
  <c r="AA1874" i="3"/>
  <c r="AB1873" i="3"/>
  <c r="AA1873" i="3"/>
  <c r="AB1872" i="3"/>
  <c r="AA1872" i="3"/>
  <c r="AB1871" i="3"/>
  <c r="AA1871" i="3"/>
  <c r="AB1870" i="3"/>
  <c r="AA1870" i="3"/>
  <c r="AB1869" i="3"/>
  <c r="AA1869" i="3"/>
  <c r="AB1868" i="3"/>
  <c r="AA1868" i="3"/>
  <c r="AB1867" i="3"/>
  <c r="AA1867" i="3"/>
  <c r="AB1866" i="3"/>
  <c r="AA1866" i="3"/>
  <c r="AB1865" i="3"/>
  <c r="AA1865" i="3"/>
  <c r="AB1864" i="3"/>
  <c r="AA1864" i="3"/>
  <c r="AB1863" i="3"/>
  <c r="AA1863" i="3"/>
  <c r="AB1862" i="3"/>
  <c r="AA1862" i="3"/>
  <c r="AB1861" i="3"/>
  <c r="AA1861" i="3"/>
  <c r="AB1860" i="3"/>
  <c r="AA1860" i="3"/>
  <c r="AB1859" i="3"/>
  <c r="AA1859" i="3"/>
  <c r="AB1858" i="3"/>
  <c r="AA1858" i="3"/>
  <c r="AB1857" i="3"/>
  <c r="AA1857" i="3"/>
  <c r="AB1856" i="3"/>
  <c r="AA1856" i="3"/>
  <c r="AB1855" i="3"/>
  <c r="AA1855" i="3"/>
  <c r="AB1854" i="3"/>
  <c r="AA1854" i="3"/>
  <c r="AB1853" i="3"/>
  <c r="AA1853" i="3"/>
  <c r="AB1852" i="3"/>
  <c r="AA1852" i="3"/>
  <c r="AB1851" i="3"/>
  <c r="AA1851" i="3"/>
  <c r="AB1850" i="3"/>
  <c r="AA1850" i="3"/>
  <c r="AB1849" i="3"/>
  <c r="AA1849" i="3"/>
  <c r="AB1848" i="3"/>
  <c r="AA1848" i="3"/>
  <c r="AB1847" i="3"/>
  <c r="AA1847" i="3"/>
  <c r="AB1846" i="3"/>
  <c r="AA1846" i="3"/>
  <c r="AB1845" i="3"/>
  <c r="AA1845" i="3"/>
  <c r="AB1844" i="3"/>
  <c r="AA1844" i="3"/>
  <c r="AB1843" i="3"/>
  <c r="AA1843" i="3"/>
  <c r="AB1842" i="3"/>
  <c r="AA1842" i="3"/>
  <c r="AB1841" i="3"/>
  <c r="AA1841" i="3"/>
  <c r="AB1840" i="3"/>
  <c r="AA1840" i="3"/>
  <c r="AB1839" i="3"/>
  <c r="AA1839" i="3"/>
  <c r="AB1838" i="3"/>
  <c r="AA1838" i="3"/>
  <c r="AB1837" i="3"/>
  <c r="AA1837" i="3"/>
  <c r="AB1836" i="3"/>
  <c r="AA1836" i="3"/>
  <c r="AB1835" i="3"/>
  <c r="AA1835" i="3"/>
  <c r="AB1834" i="3"/>
  <c r="AA1834" i="3"/>
  <c r="AB1833" i="3"/>
  <c r="AA1833" i="3"/>
  <c r="AB1832" i="3"/>
  <c r="AA1832" i="3"/>
  <c r="AB1831" i="3"/>
  <c r="AA1831" i="3"/>
  <c r="AB1830" i="3"/>
  <c r="AA1830" i="3"/>
  <c r="AB1829" i="3"/>
  <c r="AA1829" i="3"/>
  <c r="AB1828" i="3"/>
  <c r="AA1828" i="3"/>
  <c r="AB1827" i="3"/>
  <c r="AA1827" i="3"/>
  <c r="AB1826" i="3"/>
  <c r="AA1826" i="3"/>
  <c r="AB1825" i="3"/>
  <c r="AA1825" i="3"/>
  <c r="AB1824" i="3"/>
  <c r="AA1824" i="3"/>
  <c r="AB1823" i="3"/>
  <c r="AA1823" i="3"/>
  <c r="AB1822" i="3"/>
  <c r="AA1822" i="3"/>
  <c r="AB1821" i="3"/>
  <c r="AA1821" i="3"/>
  <c r="AB1820" i="3"/>
  <c r="AA1820" i="3"/>
  <c r="AB1819" i="3"/>
  <c r="AA1819" i="3"/>
  <c r="AB1818" i="3"/>
  <c r="AA1818" i="3"/>
  <c r="AB1817" i="3"/>
  <c r="AA1817" i="3"/>
  <c r="AB1816" i="3"/>
  <c r="AA1816" i="3"/>
  <c r="AB1815" i="3"/>
  <c r="AA1815" i="3"/>
  <c r="AB1814" i="3"/>
  <c r="AA1814" i="3"/>
  <c r="AB1813" i="3"/>
  <c r="AA1813" i="3"/>
  <c r="AB1812" i="3"/>
  <c r="AA1812" i="3"/>
  <c r="AB1811" i="3"/>
  <c r="AA1811" i="3"/>
  <c r="AB1810" i="3"/>
  <c r="AA1810" i="3"/>
  <c r="AB1809" i="3"/>
  <c r="AA1809" i="3"/>
  <c r="AB1808" i="3"/>
  <c r="AA1808" i="3"/>
  <c r="AB1807" i="3"/>
  <c r="AA1807" i="3"/>
  <c r="AB1806" i="3"/>
  <c r="AA1806" i="3"/>
  <c r="AB1805" i="3"/>
  <c r="AA1805" i="3"/>
  <c r="AB1804" i="3"/>
  <c r="AA1804" i="3"/>
  <c r="AB1803" i="3"/>
  <c r="AA1803" i="3"/>
  <c r="AB1802" i="3"/>
  <c r="AA1802" i="3"/>
  <c r="AB1801" i="3"/>
  <c r="AA1801" i="3"/>
  <c r="AB1800" i="3"/>
  <c r="AA1800" i="3"/>
  <c r="AB1799" i="3"/>
  <c r="AA1799" i="3"/>
  <c r="AB1798" i="3"/>
  <c r="AA1798" i="3"/>
  <c r="AB1797" i="3"/>
  <c r="AA1797" i="3"/>
  <c r="AB1796" i="3"/>
  <c r="AA1796" i="3"/>
  <c r="AB1795" i="3"/>
  <c r="AA1795" i="3"/>
  <c r="AB1794" i="3"/>
  <c r="AA1794" i="3"/>
  <c r="AB1793" i="3"/>
  <c r="AA1793" i="3"/>
  <c r="AB1792" i="3"/>
  <c r="AA1792" i="3"/>
  <c r="AB1791" i="3"/>
  <c r="AA1791" i="3"/>
  <c r="AB1790" i="3"/>
  <c r="AA1790" i="3"/>
  <c r="AB1789" i="3"/>
  <c r="AA1789" i="3"/>
  <c r="AB1788" i="3"/>
  <c r="AA1788" i="3"/>
  <c r="AB1787" i="3"/>
  <c r="AA1787" i="3"/>
  <c r="AB1786" i="3"/>
  <c r="AA1786" i="3"/>
  <c r="AB1785" i="3"/>
  <c r="AA1785" i="3"/>
  <c r="AB1784" i="3"/>
  <c r="AA1784" i="3"/>
  <c r="AB1783" i="3"/>
  <c r="AA1783" i="3"/>
  <c r="AB1782" i="3"/>
  <c r="AA1782" i="3"/>
  <c r="AB1781" i="3"/>
  <c r="AA1781" i="3"/>
  <c r="AB1780" i="3"/>
  <c r="AA1780" i="3"/>
  <c r="AB1779" i="3"/>
  <c r="AA1779" i="3"/>
  <c r="AB1778" i="3"/>
  <c r="AA1778" i="3"/>
  <c r="AB1777" i="3"/>
  <c r="AA1777" i="3"/>
  <c r="AB1776" i="3"/>
  <c r="AA1776" i="3"/>
  <c r="AB1775" i="3"/>
  <c r="AA1775" i="3"/>
  <c r="AB1774" i="3"/>
  <c r="AA1774" i="3"/>
  <c r="AB1773" i="3"/>
  <c r="AA1773" i="3"/>
  <c r="AB1772" i="3"/>
  <c r="AA1772" i="3"/>
  <c r="AB1771" i="3"/>
  <c r="AA1771" i="3"/>
  <c r="AB1770" i="3"/>
  <c r="AA1770" i="3"/>
  <c r="AB1769" i="3"/>
  <c r="AA1769" i="3"/>
  <c r="AB1768" i="3"/>
  <c r="AA1768" i="3"/>
  <c r="AB1767" i="3"/>
  <c r="AA1767" i="3"/>
  <c r="AB1766" i="3"/>
  <c r="AA1766" i="3"/>
  <c r="AB1765" i="3"/>
  <c r="AA1765" i="3"/>
  <c r="AB1764" i="3"/>
  <c r="AA1764" i="3"/>
  <c r="AB1763" i="3"/>
  <c r="AA1763" i="3"/>
  <c r="AB1762" i="3"/>
  <c r="AA1762" i="3"/>
  <c r="AB1761" i="3"/>
  <c r="AA1761" i="3"/>
  <c r="AB1760" i="3"/>
  <c r="AA1760" i="3"/>
  <c r="AB1759" i="3"/>
  <c r="AA1759" i="3"/>
  <c r="AB1758" i="3"/>
  <c r="AA1758" i="3"/>
  <c r="AB1757" i="3"/>
  <c r="AA1757" i="3"/>
  <c r="AB1756" i="3"/>
  <c r="AA1756" i="3"/>
  <c r="AB1755" i="3"/>
  <c r="AA1755" i="3"/>
  <c r="AB1754" i="3"/>
  <c r="AA1754" i="3"/>
  <c r="AB1753" i="3"/>
  <c r="AA1753" i="3"/>
  <c r="AB1752" i="3"/>
  <c r="AA1752" i="3"/>
  <c r="AB1751" i="3"/>
  <c r="AA1751" i="3"/>
  <c r="AB1750" i="3"/>
  <c r="AA1750" i="3"/>
  <c r="AB1749" i="3"/>
  <c r="AA1749" i="3"/>
  <c r="AB1748" i="3"/>
  <c r="AA1748" i="3"/>
  <c r="AB1747" i="3"/>
  <c r="AA1747" i="3"/>
  <c r="AB1746" i="3"/>
  <c r="AA1746" i="3"/>
  <c r="AB1745" i="3"/>
  <c r="AA1745" i="3"/>
  <c r="AB1744" i="3"/>
  <c r="AA1744" i="3"/>
  <c r="AB1743" i="3"/>
  <c r="AA1743" i="3"/>
  <c r="AB1742" i="3"/>
  <c r="AA1742" i="3"/>
  <c r="AB1741" i="3"/>
  <c r="AA1741" i="3"/>
  <c r="AB1740" i="3"/>
  <c r="AA1740" i="3"/>
  <c r="AB1739" i="3"/>
  <c r="AA1739" i="3"/>
  <c r="AB1738" i="3"/>
  <c r="AA1738" i="3"/>
  <c r="AB1737" i="3"/>
  <c r="AA1737" i="3"/>
  <c r="AB1736" i="3"/>
  <c r="AA1736" i="3"/>
  <c r="AB1735" i="3"/>
  <c r="AA1735" i="3"/>
  <c r="AB1734" i="3"/>
  <c r="AA1734" i="3"/>
  <c r="AB1733" i="3"/>
  <c r="AA1733" i="3"/>
  <c r="AB1732" i="3"/>
  <c r="AA1732" i="3"/>
  <c r="AB1731" i="3"/>
  <c r="AA1731" i="3"/>
  <c r="AB1730" i="3"/>
  <c r="AA1730" i="3"/>
  <c r="AB1729" i="3"/>
  <c r="AA1729" i="3"/>
  <c r="AB1728" i="3"/>
  <c r="AA1728" i="3"/>
  <c r="AB1727" i="3"/>
  <c r="AA1727" i="3"/>
  <c r="AB1726" i="3"/>
  <c r="AA1726" i="3"/>
  <c r="AB1725" i="3"/>
  <c r="AA1725" i="3"/>
  <c r="AB1724" i="3"/>
  <c r="AA1724" i="3"/>
  <c r="AB1723" i="3"/>
  <c r="AA1723" i="3"/>
  <c r="AB1722" i="3"/>
  <c r="AA1722" i="3"/>
  <c r="AB1721" i="3"/>
  <c r="AA1721" i="3"/>
  <c r="AB1720" i="3"/>
  <c r="AA1720" i="3"/>
  <c r="AB1719" i="3"/>
  <c r="AA1719" i="3"/>
  <c r="AB1718" i="3"/>
  <c r="AA1718" i="3"/>
  <c r="AB1717" i="3"/>
  <c r="AA1717" i="3"/>
  <c r="AB1716" i="3"/>
  <c r="AA1716" i="3"/>
  <c r="AB1715" i="3"/>
  <c r="AA1715" i="3"/>
  <c r="AB1714" i="3"/>
  <c r="AA1714" i="3"/>
  <c r="AB1713" i="3"/>
  <c r="AA1713" i="3"/>
  <c r="AB1712" i="3"/>
  <c r="AA1712" i="3"/>
  <c r="AB1711" i="3"/>
  <c r="AA1711" i="3"/>
  <c r="AB1710" i="3"/>
  <c r="AA1710" i="3"/>
  <c r="AB1709" i="3"/>
  <c r="AA1709" i="3"/>
  <c r="AB1708" i="3"/>
  <c r="AA1708" i="3"/>
  <c r="AB1707" i="3"/>
  <c r="AA1707" i="3"/>
  <c r="AB1706" i="3"/>
  <c r="AA1706" i="3"/>
  <c r="AB1705" i="3"/>
  <c r="AA1705" i="3"/>
  <c r="AB1704" i="3"/>
  <c r="AA1704" i="3"/>
  <c r="AB1703" i="3"/>
  <c r="AA1703" i="3"/>
  <c r="AB1702" i="3"/>
  <c r="AA1702" i="3"/>
  <c r="AB1701" i="3"/>
  <c r="AA1701" i="3"/>
  <c r="AB1700" i="3"/>
  <c r="AA1700" i="3"/>
  <c r="AB1699" i="3"/>
  <c r="AA1699" i="3"/>
  <c r="AB1698" i="3"/>
  <c r="AA1698" i="3"/>
  <c r="AB1697" i="3"/>
  <c r="AA1697" i="3"/>
  <c r="AB1696" i="3"/>
  <c r="AA1696" i="3"/>
  <c r="AB1695" i="3"/>
  <c r="AA1695" i="3"/>
  <c r="AB1694" i="3"/>
  <c r="AA1694" i="3"/>
  <c r="AB1693" i="3"/>
  <c r="AA1693" i="3"/>
  <c r="AB1692" i="3"/>
  <c r="AA1692" i="3"/>
  <c r="AB1691" i="3"/>
  <c r="AA1691" i="3"/>
  <c r="AB1690" i="3"/>
  <c r="AA1690" i="3"/>
  <c r="AB1689" i="3"/>
  <c r="AA1689" i="3"/>
  <c r="AB1688" i="3"/>
  <c r="AA1688" i="3"/>
  <c r="AB1687" i="3"/>
  <c r="AA1687" i="3"/>
  <c r="AB1686" i="3"/>
  <c r="AA1686" i="3"/>
  <c r="AB1685" i="3"/>
  <c r="AA1685" i="3"/>
  <c r="AB1684" i="3"/>
  <c r="AA1684" i="3"/>
  <c r="AB1683" i="3"/>
  <c r="AA1683" i="3"/>
  <c r="AB1682" i="3"/>
  <c r="AA1682" i="3"/>
  <c r="AB1681" i="3"/>
  <c r="AA1681" i="3"/>
  <c r="AB1680" i="3"/>
  <c r="AA1680" i="3"/>
  <c r="AB1679" i="3"/>
  <c r="AA1679" i="3"/>
  <c r="AB1678" i="3"/>
  <c r="AA1678" i="3"/>
  <c r="AB1677" i="3"/>
  <c r="AA1677" i="3"/>
  <c r="AB1676" i="3"/>
  <c r="AA1676" i="3"/>
  <c r="AB1675" i="3"/>
  <c r="AA1675" i="3"/>
  <c r="AB1674" i="3"/>
  <c r="AA1674" i="3"/>
  <c r="AB1673" i="3"/>
  <c r="AA1673" i="3"/>
  <c r="AB1672" i="3"/>
  <c r="AA1672" i="3"/>
  <c r="AB1671" i="3"/>
  <c r="AA1671" i="3"/>
  <c r="AB1670" i="3"/>
  <c r="AA1670" i="3"/>
  <c r="AB1669" i="3"/>
  <c r="AA1669" i="3"/>
  <c r="AB1668" i="3"/>
  <c r="AA1668" i="3"/>
  <c r="AB1667" i="3"/>
  <c r="AA1667" i="3"/>
  <c r="AB1666" i="3"/>
  <c r="AA1666" i="3"/>
  <c r="AB1665" i="3"/>
  <c r="AA1665" i="3"/>
  <c r="AB1664" i="3"/>
  <c r="AA1664" i="3"/>
  <c r="AB1663" i="3"/>
  <c r="AA1663" i="3"/>
  <c r="AB1662" i="3"/>
  <c r="AA1662" i="3"/>
  <c r="AB1661" i="3"/>
  <c r="AA1661" i="3"/>
  <c r="AB1660" i="3"/>
  <c r="AA1660" i="3"/>
  <c r="AB1659" i="3"/>
  <c r="AA1659" i="3"/>
  <c r="AB1658" i="3"/>
  <c r="AA1658" i="3"/>
  <c r="AB1657" i="3"/>
  <c r="AA1657" i="3"/>
  <c r="AB1656" i="3"/>
  <c r="AA1656" i="3"/>
  <c r="AB1655" i="3"/>
  <c r="AA1655" i="3"/>
  <c r="AB1654" i="3"/>
  <c r="AA1654" i="3"/>
  <c r="AB1653" i="3"/>
  <c r="AA1653" i="3"/>
  <c r="AB1652" i="3"/>
  <c r="AA1652" i="3"/>
  <c r="AB1651" i="3"/>
  <c r="AA1651" i="3"/>
  <c r="AB1650" i="3"/>
  <c r="AA1650" i="3"/>
  <c r="AB1649" i="3"/>
  <c r="AA1649" i="3"/>
  <c r="AB1648" i="3"/>
  <c r="AA1648" i="3"/>
  <c r="AB1647" i="3"/>
  <c r="AA1647" i="3"/>
  <c r="AB1646" i="3"/>
  <c r="AA1646" i="3"/>
  <c r="AB1645" i="3"/>
  <c r="AA1645" i="3"/>
  <c r="AB1644" i="3"/>
  <c r="AA1644" i="3"/>
  <c r="AB1643" i="3"/>
  <c r="AA1643" i="3"/>
  <c r="AB1642" i="3"/>
  <c r="AA1642" i="3"/>
  <c r="AB1641" i="3"/>
  <c r="AA1641" i="3"/>
  <c r="AB1640" i="3"/>
  <c r="AA1640" i="3"/>
  <c r="AB1639" i="3"/>
  <c r="AA1639" i="3"/>
  <c r="AB1638" i="3"/>
  <c r="AA1638" i="3"/>
  <c r="AB1637" i="3"/>
  <c r="AA1637" i="3"/>
  <c r="AB1636" i="3"/>
  <c r="AA1636" i="3"/>
  <c r="AB1635" i="3"/>
  <c r="AA1635" i="3"/>
  <c r="AB1634" i="3"/>
  <c r="AA1634" i="3"/>
  <c r="AB1633" i="3"/>
  <c r="AA1633" i="3"/>
  <c r="AB1632" i="3"/>
  <c r="AA1632" i="3"/>
  <c r="AB1631" i="3"/>
  <c r="AA1631" i="3"/>
  <c r="AB1630" i="3"/>
  <c r="AA1630" i="3"/>
  <c r="AB1629" i="3"/>
  <c r="AA1629" i="3"/>
  <c r="AB1628" i="3"/>
  <c r="AA1628" i="3"/>
  <c r="AB1627" i="3"/>
  <c r="AA1627" i="3"/>
  <c r="AB1626" i="3"/>
  <c r="AA1626" i="3"/>
  <c r="AB1625" i="3"/>
  <c r="AA1625" i="3"/>
  <c r="AB1624" i="3"/>
  <c r="AA1624" i="3"/>
  <c r="AB1623" i="3"/>
  <c r="AA1623" i="3"/>
  <c r="AB1622" i="3"/>
  <c r="AA1622" i="3"/>
  <c r="AB1621" i="3"/>
  <c r="AA1621" i="3"/>
  <c r="AB1620" i="3"/>
  <c r="AA1620" i="3"/>
  <c r="AB1619" i="3"/>
  <c r="AA1619" i="3"/>
  <c r="AB1618" i="3"/>
  <c r="AA1618" i="3"/>
  <c r="AB1617" i="3"/>
  <c r="AA1617" i="3"/>
  <c r="AB1616" i="3"/>
  <c r="AA1616" i="3"/>
  <c r="AB1615" i="3"/>
  <c r="AA1615" i="3"/>
  <c r="AB1614" i="3"/>
  <c r="AA1614" i="3"/>
  <c r="AB1613" i="3"/>
  <c r="AA1613" i="3"/>
  <c r="AB1612" i="3"/>
  <c r="AA1612" i="3"/>
  <c r="AB1611" i="3"/>
  <c r="AA1611" i="3"/>
  <c r="AB1610" i="3"/>
  <c r="AA1610" i="3"/>
  <c r="AB1609" i="3"/>
  <c r="AA1609" i="3"/>
  <c r="AB1608" i="3"/>
  <c r="AA1608" i="3"/>
  <c r="AB1607" i="3"/>
  <c r="AA1607" i="3"/>
  <c r="AB1606" i="3"/>
  <c r="AA1606" i="3"/>
  <c r="AB1605" i="3"/>
  <c r="AA1605" i="3"/>
  <c r="AB1604" i="3"/>
  <c r="AA1604" i="3"/>
  <c r="AB1603" i="3"/>
  <c r="AA1603" i="3"/>
  <c r="AB1602" i="3"/>
  <c r="AA1602" i="3"/>
  <c r="AB1601" i="3"/>
  <c r="AA1601" i="3"/>
  <c r="AB1600" i="3"/>
  <c r="AA1600" i="3"/>
  <c r="AB1599" i="3"/>
  <c r="AA1599" i="3"/>
  <c r="AB1598" i="3"/>
  <c r="AA1598" i="3"/>
  <c r="AB1597" i="3"/>
  <c r="AA1597" i="3"/>
  <c r="AB1596" i="3"/>
  <c r="AA1596" i="3"/>
  <c r="AB1595" i="3"/>
  <c r="AA1595" i="3"/>
  <c r="AB1594" i="3"/>
  <c r="AA1594" i="3"/>
  <c r="AB1593" i="3"/>
  <c r="AA1593" i="3"/>
  <c r="AB1592" i="3"/>
  <c r="AA1592" i="3"/>
  <c r="AB1591" i="3"/>
  <c r="AA1591" i="3"/>
  <c r="AB1590" i="3"/>
  <c r="AA1590" i="3"/>
  <c r="AB1589" i="3"/>
  <c r="AA1589" i="3"/>
  <c r="AB1588" i="3"/>
  <c r="AA1588" i="3"/>
  <c r="AB1587" i="3"/>
  <c r="AA1587" i="3"/>
  <c r="AB1586" i="3"/>
  <c r="AA1586" i="3"/>
  <c r="AB1585" i="3"/>
  <c r="AA1585" i="3"/>
  <c r="AB1584" i="3"/>
  <c r="AA1584" i="3"/>
  <c r="AB1583" i="3"/>
  <c r="AA1583" i="3"/>
  <c r="AB1582" i="3"/>
  <c r="AA1582" i="3"/>
  <c r="AB1581" i="3"/>
  <c r="AA1581" i="3"/>
  <c r="AB1580" i="3"/>
  <c r="AA1580" i="3"/>
  <c r="AB1579" i="3"/>
  <c r="AA1579" i="3"/>
  <c r="AB1578" i="3"/>
  <c r="AA1578" i="3"/>
  <c r="AB1577" i="3"/>
  <c r="AA1577" i="3"/>
  <c r="AB1576" i="3"/>
  <c r="AA1576" i="3"/>
  <c r="AB1575" i="3"/>
  <c r="AA1575" i="3"/>
  <c r="AB1574" i="3"/>
  <c r="AA1574" i="3"/>
  <c r="AB1573" i="3"/>
  <c r="AA1573" i="3"/>
  <c r="AB1572" i="3"/>
  <c r="AA1572" i="3"/>
  <c r="AB1571" i="3"/>
  <c r="AA1571" i="3"/>
  <c r="AB1570" i="3"/>
  <c r="AA1570" i="3"/>
  <c r="AB1569" i="3"/>
  <c r="AA1569" i="3"/>
  <c r="AB1568" i="3"/>
  <c r="AA1568" i="3"/>
  <c r="AB1567" i="3"/>
  <c r="AA1567" i="3"/>
  <c r="AB1566" i="3"/>
  <c r="AA1566" i="3"/>
  <c r="AB1565" i="3"/>
  <c r="AA1565" i="3"/>
  <c r="AB1564" i="3"/>
  <c r="AA1564" i="3"/>
  <c r="AB1563" i="3"/>
  <c r="AA1563" i="3"/>
  <c r="AB1562" i="3"/>
  <c r="AA1562" i="3"/>
  <c r="AB1561" i="3"/>
  <c r="AA1561" i="3"/>
  <c r="AB1560" i="3"/>
  <c r="AA1560" i="3"/>
  <c r="AB1559" i="3"/>
  <c r="AA1559" i="3"/>
  <c r="AB1558" i="3"/>
  <c r="AA1558" i="3"/>
  <c r="AB1557" i="3"/>
  <c r="AA1557" i="3"/>
  <c r="AB1556" i="3"/>
  <c r="AA1556" i="3"/>
  <c r="AB1555" i="3"/>
  <c r="AA1555" i="3"/>
  <c r="AB1554" i="3"/>
  <c r="AA1554" i="3"/>
  <c r="AB1553" i="3"/>
  <c r="AA1553" i="3"/>
  <c r="AB1552" i="3"/>
  <c r="AA1552" i="3"/>
  <c r="AB1551" i="3"/>
  <c r="AA1551" i="3"/>
  <c r="AB1550" i="3"/>
  <c r="AA1550" i="3"/>
  <c r="AB1549" i="3"/>
  <c r="AA1549" i="3"/>
  <c r="AB1548" i="3"/>
  <c r="AA1548" i="3"/>
  <c r="AB1547" i="3"/>
  <c r="AA1547" i="3"/>
  <c r="AB1546" i="3"/>
  <c r="AA1546" i="3"/>
  <c r="AB1545" i="3"/>
  <c r="AA1545" i="3"/>
  <c r="AB1544" i="3"/>
  <c r="AA1544" i="3"/>
  <c r="AB1543" i="3"/>
  <c r="AA1543" i="3"/>
  <c r="AB1542" i="3"/>
  <c r="AA1542" i="3"/>
  <c r="AB1541" i="3"/>
  <c r="AA1541" i="3"/>
  <c r="AB1540" i="3"/>
  <c r="AA1540" i="3"/>
  <c r="AB1539" i="3"/>
  <c r="AA1539" i="3"/>
  <c r="AB1538" i="3"/>
  <c r="AA1538" i="3"/>
  <c r="AB1537" i="3"/>
  <c r="AA1537" i="3"/>
  <c r="AB1536" i="3"/>
  <c r="AA1536" i="3"/>
  <c r="AB1535" i="3"/>
  <c r="AA1535" i="3"/>
  <c r="AB1534" i="3"/>
  <c r="AA1534" i="3"/>
  <c r="AB1533" i="3"/>
  <c r="AA1533" i="3"/>
  <c r="AB1532" i="3"/>
  <c r="AA1532" i="3"/>
  <c r="AB1531" i="3"/>
  <c r="AA1531" i="3"/>
  <c r="AB1530" i="3"/>
  <c r="AA1530" i="3"/>
  <c r="AB1529" i="3"/>
  <c r="AA1529" i="3"/>
  <c r="AB1528" i="3"/>
  <c r="AA1528" i="3"/>
  <c r="AB1527" i="3"/>
  <c r="AA1527" i="3"/>
  <c r="AB1526" i="3"/>
  <c r="AA1526" i="3"/>
  <c r="AB1525" i="3"/>
  <c r="AA1525" i="3"/>
  <c r="AB1524" i="3"/>
  <c r="AA1524" i="3"/>
  <c r="AB1523" i="3"/>
  <c r="AA1523" i="3"/>
  <c r="AB1522" i="3"/>
  <c r="AA1522" i="3"/>
  <c r="AB1521" i="3"/>
  <c r="AA1521" i="3"/>
  <c r="AB1520" i="3"/>
  <c r="AA1520" i="3"/>
  <c r="AB1519" i="3"/>
  <c r="AA1519" i="3"/>
  <c r="AB1518" i="3"/>
  <c r="AA1518" i="3"/>
  <c r="AB1517" i="3"/>
  <c r="AA1517" i="3"/>
  <c r="AB1516" i="3"/>
  <c r="AA1516" i="3"/>
  <c r="AB1515" i="3"/>
  <c r="AA1515" i="3"/>
  <c r="AB1514" i="3"/>
  <c r="AA1514" i="3"/>
  <c r="AB1513" i="3"/>
  <c r="AA1513" i="3"/>
  <c r="AB1512" i="3"/>
  <c r="AA1512" i="3"/>
  <c r="AB1511" i="3"/>
  <c r="AA1511" i="3"/>
  <c r="AB1510" i="3"/>
  <c r="AA1510" i="3"/>
  <c r="AB1509" i="3"/>
  <c r="AA1509" i="3"/>
  <c r="AB1508" i="3"/>
  <c r="AA1508" i="3"/>
  <c r="AB1507" i="3"/>
  <c r="AA1507" i="3"/>
  <c r="AB1506" i="3"/>
  <c r="AA1506" i="3"/>
  <c r="AB1505" i="3"/>
  <c r="AA1505" i="3"/>
  <c r="AB1504" i="3"/>
  <c r="AA1504" i="3"/>
  <c r="AB1503" i="3"/>
  <c r="AA1503" i="3"/>
  <c r="AB1502" i="3"/>
  <c r="AA1502" i="3"/>
  <c r="AB1501" i="3"/>
  <c r="AA1501" i="3"/>
  <c r="AB1500" i="3"/>
  <c r="AA1500" i="3"/>
  <c r="AB1499" i="3"/>
  <c r="AA1499" i="3"/>
  <c r="AB1498" i="3"/>
  <c r="AA1498" i="3"/>
  <c r="AB1497" i="3"/>
  <c r="AA1497" i="3"/>
  <c r="AB1496" i="3"/>
  <c r="AA1496" i="3"/>
  <c r="AB1495" i="3"/>
  <c r="AA1495" i="3"/>
  <c r="AB1494" i="3"/>
  <c r="AA1494" i="3"/>
  <c r="AB1493" i="3"/>
  <c r="AA1493" i="3"/>
  <c r="AB1492" i="3"/>
  <c r="AA1492" i="3"/>
  <c r="AB1491" i="3"/>
  <c r="AA1491" i="3"/>
  <c r="AB1490" i="3"/>
  <c r="AA1490" i="3"/>
  <c r="AB1489" i="3"/>
  <c r="AA1489" i="3"/>
  <c r="AB1488" i="3"/>
  <c r="AA1488" i="3"/>
  <c r="AB1487" i="3"/>
  <c r="AA1487" i="3"/>
  <c r="AB1486" i="3"/>
  <c r="AA1486" i="3"/>
  <c r="AB1485" i="3"/>
  <c r="AA1485" i="3"/>
  <c r="AB1484" i="3"/>
  <c r="AA1484" i="3"/>
  <c r="AB1483" i="3"/>
  <c r="AA1483" i="3"/>
  <c r="AB1482" i="3"/>
  <c r="AA1482" i="3"/>
  <c r="AB1481" i="3"/>
  <c r="AA1481" i="3"/>
  <c r="AB1480" i="3"/>
  <c r="AA1480" i="3"/>
  <c r="AB1479" i="3"/>
  <c r="AA1479" i="3"/>
  <c r="AB1478" i="3"/>
  <c r="AA1478" i="3"/>
  <c r="AB1477" i="3"/>
  <c r="AA1477" i="3"/>
  <c r="AB1476" i="3"/>
  <c r="AA1476" i="3"/>
  <c r="AB1475" i="3"/>
  <c r="AA1475" i="3"/>
  <c r="AB1474" i="3"/>
  <c r="AA1474" i="3"/>
  <c r="AB1473" i="3"/>
  <c r="AA1473" i="3"/>
  <c r="AB1472" i="3"/>
  <c r="AA1472" i="3"/>
  <c r="AB1471" i="3"/>
  <c r="AA1471" i="3"/>
  <c r="AB1470" i="3"/>
  <c r="AA1470" i="3"/>
  <c r="AB1469" i="3"/>
  <c r="AA1469" i="3"/>
  <c r="AB1468" i="3"/>
  <c r="AA1468" i="3"/>
  <c r="AB1467" i="3"/>
  <c r="AA1467" i="3"/>
  <c r="AB1466" i="3"/>
  <c r="AA1466" i="3"/>
  <c r="AB1465" i="3"/>
  <c r="AA1465" i="3"/>
  <c r="AB1464" i="3"/>
  <c r="AA1464" i="3"/>
  <c r="AB1463" i="3"/>
  <c r="AA1463" i="3"/>
  <c r="AB1462" i="3"/>
  <c r="AA1462" i="3"/>
  <c r="AB1461" i="3"/>
  <c r="AA1461" i="3"/>
  <c r="AB1460" i="3"/>
  <c r="AA1460" i="3"/>
  <c r="AB1459" i="3"/>
  <c r="AA1459" i="3"/>
  <c r="AB1458" i="3"/>
  <c r="AA1458" i="3"/>
  <c r="AB1457" i="3"/>
  <c r="AA1457" i="3"/>
  <c r="AB1456" i="3"/>
  <c r="AA1456" i="3"/>
  <c r="AB1455" i="3"/>
  <c r="AA1455" i="3"/>
  <c r="AB1454" i="3"/>
  <c r="AA1454" i="3"/>
  <c r="AB1453" i="3"/>
  <c r="AA1453" i="3"/>
  <c r="AB1452" i="3"/>
  <c r="AA1452" i="3"/>
  <c r="AB1451" i="3"/>
  <c r="AA1451" i="3"/>
  <c r="AB1450" i="3"/>
  <c r="AA1450" i="3"/>
  <c r="AB1449" i="3"/>
  <c r="AA1449" i="3"/>
  <c r="AB1448" i="3"/>
  <c r="AA1448" i="3"/>
  <c r="AB1447" i="3"/>
  <c r="AA1447" i="3"/>
  <c r="AB1446" i="3"/>
  <c r="AA1446" i="3"/>
  <c r="AB1445" i="3"/>
  <c r="AA1445" i="3"/>
  <c r="AB1444" i="3"/>
  <c r="AA1444" i="3"/>
  <c r="AB1443" i="3"/>
  <c r="AA1443" i="3"/>
  <c r="AB1442" i="3"/>
  <c r="AA1442" i="3"/>
  <c r="AB1441" i="3"/>
  <c r="AA1441" i="3"/>
  <c r="AB1440" i="3"/>
  <c r="AA1440" i="3"/>
  <c r="AB1439" i="3"/>
  <c r="AA1439" i="3"/>
  <c r="AB1438" i="3"/>
  <c r="AA1438" i="3"/>
  <c r="AB1437" i="3"/>
  <c r="AA1437" i="3"/>
  <c r="AB1436" i="3"/>
  <c r="AA1436" i="3"/>
  <c r="AB1435" i="3"/>
  <c r="AA1435" i="3"/>
  <c r="AB1434" i="3"/>
  <c r="AA1434" i="3"/>
  <c r="AB1433" i="3"/>
  <c r="AA1433" i="3"/>
  <c r="AB1432" i="3"/>
  <c r="AA1432" i="3"/>
  <c r="AB1431" i="3"/>
  <c r="AA1431" i="3"/>
  <c r="AB1430" i="3"/>
  <c r="AA1430" i="3"/>
  <c r="AB1429" i="3"/>
  <c r="AA1429" i="3"/>
  <c r="AB1428" i="3"/>
  <c r="AA1428" i="3"/>
  <c r="AB1427" i="3"/>
  <c r="AA1427" i="3"/>
  <c r="AB1426" i="3"/>
  <c r="AA1426" i="3"/>
  <c r="AB1425" i="3"/>
  <c r="AA1425" i="3"/>
  <c r="AB1424" i="3"/>
  <c r="AA1424" i="3"/>
  <c r="AB1423" i="3"/>
  <c r="AA1423" i="3"/>
  <c r="AB1422" i="3"/>
  <c r="AA1422" i="3"/>
  <c r="AB1421" i="3"/>
  <c r="AA1421" i="3"/>
  <c r="AB1420" i="3"/>
  <c r="AA1420" i="3"/>
  <c r="AB1419" i="3"/>
  <c r="AA1419" i="3"/>
  <c r="AB1418" i="3"/>
  <c r="AA1418" i="3"/>
  <c r="AB1417" i="3"/>
  <c r="AA1417" i="3"/>
  <c r="AB1416" i="3"/>
  <c r="AA1416" i="3"/>
  <c r="AB1415" i="3"/>
  <c r="AA1415" i="3"/>
  <c r="AB1414" i="3"/>
  <c r="AA1414" i="3"/>
  <c r="AB1413" i="3"/>
  <c r="AA1413" i="3"/>
  <c r="AB1412" i="3"/>
  <c r="AA1412" i="3"/>
  <c r="AB1411" i="3"/>
  <c r="AA1411" i="3"/>
  <c r="AB1410" i="3"/>
  <c r="AA1410" i="3"/>
  <c r="AB1409" i="3"/>
  <c r="AA1409" i="3"/>
  <c r="AB1408" i="3"/>
  <c r="AA1408" i="3"/>
  <c r="AB1407" i="3"/>
  <c r="AA1407" i="3"/>
  <c r="AB1406" i="3"/>
  <c r="AA1406" i="3"/>
  <c r="AB1405" i="3"/>
  <c r="AA1405" i="3"/>
  <c r="AB1404" i="3"/>
  <c r="AA1404" i="3"/>
  <c r="AB1403" i="3"/>
  <c r="AA1403" i="3"/>
  <c r="AB1402" i="3"/>
  <c r="AA1402" i="3"/>
  <c r="AB1401" i="3"/>
  <c r="AA1401" i="3"/>
  <c r="AB1400" i="3"/>
  <c r="AA1400" i="3"/>
  <c r="AB1399" i="3"/>
  <c r="AA1399" i="3"/>
  <c r="AB1398" i="3"/>
  <c r="AA1398" i="3"/>
  <c r="AB1397" i="3"/>
  <c r="AA1397" i="3"/>
  <c r="AB1396" i="3"/>
  <c r="AA1396" i="3"/>
  <c r="AB1395" i="3"/>
  <c r="AA1395" i="3"/>
  <c r="AB1394" i="3"/>
  <c r="AA1394" i="3"/>
  <c r="AB1393" i="3"/>
  <c r="AA1393" i="3"/>
  <c r="AB1392" i="3"/>
  <c r="AA1392" i="3"/>
  <c r="AB1391" i="3"/>
  <c r="AA1391" i="3"/>
  <c r="AB1390" i="3"/>
  <c r="AA1390" i="3"/>
  <c r="AB1389" i="3"/>
  <c r="AA1389" i="3"/>
  <c r="AB1388" i="3"/>
  <c r="AA1388" i="3"/>
  <c r="AB1387" i="3"/>
  <c r="AA1387" i="3"/>
  <c r="AB1386" i="3"/>
  <c r="AA1386" i="3"/>
  <c r="AB1385" i="3"/>
  <c r="AA1385" i="3"/>
  <c r="AB1384" i="3"/>
  <c r="AA1384" i="3"/>
  <c r="AB1383" i="3"/>
  <c r="AA1383" i="3"/>
  <c r="AB1382" i="3"/>
  <c r="AA1382" i="3"/>
  <c r="AB1381" i="3"/>
  <c r="AA1381" i="3"/>
  <c r="AB1380" i="3"/>
  <c r="AA1380" i="3"/>
  <c r="AB1379" i="3"/>
  <c r="AA1379" i="3"/>
  <c r="AB1378" i="3"/>
  <c r="AA1378" i="3"/>
  <c r="AB1377" i="3"/>
  <c r="AA1377" i="3"/>
  <c r="AB1376" i="3"/>
  <c r="AA1376" i="3"/>
  <c r="AB1375" i="3"/>
  <c r="AA1375" i="3"/>
  <c r="AB1374" i="3"/>
  <c r="AA1374" i="3"/>
  <c r="AB1373" i="3"/>
  <c r="AA1373" i="3"/>
  <c r="AB1372" i="3"/>
  <c r="AA1372" i="3"/>
  <c r="AB1371" i="3"/>
  <c r="AA1371" i="3"/>
  <c r="AB1370" i="3"/>
  <c r="AA1370" i="3"/>
  <c r="AB1369" i="3"/>
  <c r="AA1369" i="3"/>
  <c r="AB1368" i="3"/>
  <c r="AA1368" i="3"/>
  <c r="AB1367" i="3"/>
  <c r="AA1367" i="3"/>
  <c r="AB1366" i="3"/>
  <c r="AA1366" i="3"/>
  <c r="AB1365" i="3"/>
  <c r="AA1365" i="3"/>
  <c r="AB1364" i="3"/>
  <c r="AA1364" i="3"/>
  <c r="AB1363" i="3"/>
  <c r="AA1363" i="3"/>
  <c r="AB1362" i="3"/>
  <c r="AA1362" i="3"/>
  <c r="AB1361" i="3"/>
  <c r="AA1361" i="3"/>
  <c r="AB1360" i="3"/>
  <c r="AA1360" i="3"/>
  <c r="AB1359" i="3"/>
  <c r="AA1359" i="3"/>
  <c r="AB1358" i="3"/>
  <c r="AA1358" i="3"/>
  <c r="AB1357" i="3"/>
  <c r="AA1357" i="3"/>
  <c r="AB1356" i="3"/>
  <c r="AA1356" i="3"/>
  <c r="AB1355" i="3"/>
  <c r="AA1355" i="3"/>
  <c r="AB1354" i="3"/>
  <c r="AA1354" i="3"/>
  <c r="AB1353" i="3"/>
  <c r="AA1353" i="3"/>
  <c r="AB1352" i="3"/>
  <c r="AA1352" i="3"/>
  <c r="AB1351" i="3"/>
  <c r="AA1351" i="3"/>
  <c r="AB1350" i="3"/>
  <c r="AA1350" i="3"/>
  <c r="AB1349" i="3"/>
  <c r="AA1349" i="3"/>
  <c r="AB1348" i="3"/>
  <c r="AA1348" i="3"/>
  <c r="AB1347" i="3"/>
  <c r="AA1347" i="3"/>
  <c r="AB1346" i="3"/>
  <c r="AA1346" i="3"/>
  <c r="AB1345" i="3"/>
  <c r="AA1345" i="3"/>
  <c r="AB1344" i="3"/>
  <c r="AA1344" i="3"/>
  <c r="AB1343" i="3"/>
  <c r="AA1343" i="3"/>
  <c r="AB1342" i="3"/>
  <c r="AA1342" i="3"/>
  <c r="AB1341" i="3"/>
  <c r="AA1341" i="3"/>
  <c r="AB1340" i="3"/>
  <c r="AA1340" i="3"/>
  <c r="AB1339" i="3"/>
  <c r="AA1339" i="3"/>
  <c r="AB1338" i="3"/>
  <c r="AA1338" i="3"/>
  <c r="AB1337" i="3"/>
  <c r="AA1337" i="3"/>
  <c r="AB1336" i="3"/>
  <c r="AA1336" i="3"/>
  <c r="AB1335" i="3"/>
  <c r="AA1335" i="3"/>
  <c r="AB1334" i="3"/>
  <c r="AA1334" i="3"/>
  <c r="AB1333" i="3"/>
  <c r="AA1333" i="3"/>
  <c r="AB1332" i="3"/>
  <c r="AA1332" i="3"/>
  <c r="AB1331" i="3"/>
  <c r="AA1331" i="3"/>
  <c r="AB1330" i="3"/>
  <c r="AA1330" i="3"/>
  <c r="AB1329" i="3"/>
  <c r="AA1329" i="3"/>
  <c r="AB1328" i="3"/>
  <c r="AA1328" i="3"/>
  <c r="AB1327" i="3"/>
  <c r="AA1327" i="3"/>
  <c r="AB1326" i="3"/>
  <c r="AA1326" i="3"/>
  <c r="AB1325" i="3"/>
  <c r="AA1325" i="3"/>
  <c r="AB1324" i="3"/>
  <c r="AA1324" i="3"/>
  <c r="AB1323" i="3"/>
  <c r="AA1323" i="3"/>
  <c r="AB1322" i="3"/>
  <c r="AA1322" i="3"/>
  <c r="AB1321" i="3"/>
  <c r="AA1321" i="3"/>
  <c r="AB1320" i="3"/>
  <c r="AA1320" i="3"/>
  <c r="AB1319" i="3"/>
  <c r="AA1319" i="3"/>
  <c r="AB1318" i="3"/>
  <c r="AA1318" i="3"/>
  <c r="AB1317" i="3"/>
  <c r="AA1317" i="3"/>
  <c r="AB1316" i="3"/>
  <c r="AA1316" i="3"/>
  <c r="AB1315" i="3"/>
  <c r="AA1315" i="3"/>
  <c r="AB1314" i="3"/>
  <c r="AA1314" i="3"/>
  <c r="AB1313" i="3"/>
  <c r="AA1313" i="3"/>
  <c r="AB1312" i="3"/>
  <c r="AA1312" i="3"/>
  <c r="AB1311" i="3"/>
  <c r="AA1311" i="3"/>
  <c r="AB1310" i="3"/>
  <c r="AA1310" i="3"/>
  <c r="AB1309" i="3"/>
  <c r="AA1309" i="3"/>
  <c r="AB1308" i="3"/>
  <c r="AA1308" i="3"/>
  <c r="AB1307" i="3"/>
  <c r="AA1307" i="3"/>
  <c r="AB1306" i="3"/>
  <c r="AA1306" i="3"/>
  <c r="AB1305" i="3"/>
  <c r="AA1305" i="3"/>
  <c r="AB1304" i="3"/>
  <c r="AA1304" i="3"/>
  <c r="AB1303" i="3"/>
  <c r="AA1303" i="3"/>
  <c r="AB1302" i="3"/>
  <c r="AA1302" i="3"/>
  <c r="AB1301" i="3"/>
  <c r="AA1301" i="3"/>
  <c r="AB1300" i="3"/>
  <c r="AA1300" i="3"/>
  <c r="AB1299" i="3"/>
  <c r="AA1299" i="3"/>
  <c r="AB1298" i="3"/>
  <c r="AA1298" i="3"/>
  <c r="AB1297" i="3"/>
  <c r="AA1297" i="3"/>
  <c r="AB1296" i="3"/>
  <c r="AA1296" i="3"/>
  <c r="AB1295" i="3"/>
  <c r="AA1295" i="3"/>
  <c r="AB1294" i="3"/>
  <c r="AA1294" i="3"/>
  <c r="AB1293" i="3"/>
  <c r="AA1293" i="3"/>
  <c r="AB1292" i="3"/>
  <c r="AA1292" i="3"/>
  <c r="AB1291" i="3"/>
  <c r="AA1291" i="3"/>
  <c r="AB1290" i="3"/>
  <c r="AA1290" i="3"/>
  <c r="AB1289" i="3"/>
  <c r="AA1289" i="3"/>
  <c r="AB1288" i="3"/>
  <c r="AA1288" i="3"/>
  <c r="AB1287" i="3"/>
  <c r="AA1287" i="3"/>
  <c r="AB1286" i="3"/>
  <c r="AA1286" i="3"/>
  <c r="AB1285" i="3"/>
  <c r="AA1285" i="3"/>
  <c r="AB1284" i="3"/>
  <c r="AA1284" i="3"/>
  <c r="AB1283" i="3"/>
  <c r="AA1283" i="3"/>
  <c r="AB1282" i="3"/>
  <c r="AA1282" i="3"/>
  <c r="AB1281" i="3"/>
  <c r="AA1281" i="3"/>
  <c r="AB1280" i="3"/>
  <c r="AA1280" i="3"/>
  <c r="AB1279" i="3"/>
  <c r="AA1279" i="3"/>
  <c r="AB1278" i="3"/>
  <c r="AA1278" i="3"/>
  <c r="AB1277" i="3"/>
  <c r="AA1277" i="3"/>
  <c r="AB1276" i="3"/>
  <c r="AA1276" i="3"/>
  <c r="AB1275" i="3"/>
  <c r="AA1275" i="3"/>
  <c r="AB1274" i="3"/>
  <c r="AA1274" i="3"/>
  <c r="AB1273" i="3"/>
  <c r="AA1273" i="3"/>
  <c r="AB1272" i="3"/>
  <c r="AA1272" i="3"/>
  <c r="AB1271" i="3"/>
  <c r="AA1271" i="3"/>
  <c r="AB1270" i="3"/>
  <c r="AA1270" i="3"/>
  <c r="AB1269" i="3"/>
  <c r="AA1269" i="3"/>
  <c r="AB1268" i="3"/>
  <c r="AA1268" i="3"/>
  <c r="AB1267" i="3"/>
  <c r="AA1267" i="3"/>
  <c r="AB1266" i="3"/>
  <c r="AA1266" i="3"/>
  <c r="AB1265" i="3"/>
  <c r="AA1265" i="3"/>
  <c r="AB1264" i="3"/>
  <c r="AA1264" i="3"/>
  <c r="AB1263" i="3"/>
  <c r="AA1263" i="3"/>
  <c r="AB1262" i="3"/>
  <c r="AA1262" i="3"/>
  <c r="AB1261" i="3"/>
  <c r="AA1261" i="3"/>
  <c r="AB1260" i="3"/>
  <c r="AA1260" i="3"/>
  <c r="AB1259" i="3"/>
  <c r="AA1259" i="3"/>
  <c r="AB1258" i="3"/>
  <c r="AA1258" i="3"/>
  <c r="AB1257" i="3"/>
  <c r="AA1257" i="3"/>
  <c r="AB1256" i="3"/>
  <c r="AA1256" i="3"/>
  <c r="AB1255" i="3"/>
  <c r="AA1255" i="3"/>
  <c r="AB1254" i="3"/>
  <c r="AA1254" i="3"/>
  <c r="AB1253" i="3"/>
  <c r="AA1253" i="3"/>
  <c r="AB1252" i="3"/>
  <c r="AA1252" i="3"/>
  <c r="AB1251" i="3"/>
  <c r="AA1251" i="3"/>
  <c r="AB1250" i="3"/>
  <c r="AA1250" i="3"/>
  <c r="AB1249" i="3"/>
  <c r="AA1249" i="3"/>
  <c r="AB1248" i="3"/>
  <c r="AA1248" i="3"/>
  <c r="AB1247" i="3"/>
  <c r="AA1247" i="3"/>
  <c r="AB1246" i="3"/>
  <c r="AA1246" i="3"/>
  <c r="AB1245" i="3"/>
  <c r="AA1245" i="3"/>
  <c r="AB1244" i="3"/>
  <c r="AA1244" i="3"/>
  <c r="AB1243" i="3"/>
  <c r="AA1243" i="3"/>
  <c r="AB1242" i="3"/>
  <c r="AA1242" i="3"/>
  <c r="AB1241" i="3"/>
  <c r="AA1241" i="3"/>
  <c r="AB1240" i="3"/>
  <c r="AA1240" i="3"/>
  <c r="AB1239" i="3"/>
  <c r="AA1239" i="3"/>
  <c r="AB1238" i="3"/>
  <c r="AA1238" i="3"/>
  <c r="AB1237" i="3"/>
  <c r="AA1237" i="3"/>
  <c r="AB1236" i="3"/>
  <c r="AA1236" i="3"/>
  <c r="AB1235" i="3"/>
  <c r="AA1235" i="3"/>
  <c r="AB1234" i="3"/>
  <c r="AA1234" i="3"/>
  <c r="AB1233" i="3"/>
  <c r="AA1233" i="3"/>
  <c r="AB1232" i="3"/>
  <c r="AA1232" i="3"/>
  <c r="AB1231" i="3"/>
  <c r="AA1231" i="3"/>
  <c r="AB1230" i="3"/>
  <c r="AA1230" i="3"/>
  <c r="AB1229" i="3"/>
  <c r="AA1229" i="3"/>
  <c r="AB1228" i="3"/>
  <c r="AA1228" i="3"/>
  <c r="AB1227" i="3"/>
  <c r="AA1227" i="3"/>
  <c r="AB1226" i="3"/>
  <c r="AA1226" i="3"/>
  <c r="AB1225" i="3"/>
  <c r="AA1225" i="3"/>
  <c r="AB1224" i="3"/>
  <c r="AA1224" i="3"/>
  <c r="AB1223" i="3"/>
  <c r="AA1223" i="3"/>
  <c r="AB1222" i="3"/>
  <c r="AA1222" i="3"/>
  <c r="AB1221" i="3"/>
  <c r="AA1221" i="3"/>
  <c r="AB1220" i="3"/>
  <c r="AA1220" i="3"/>
  <c r="AB1219" i="3"/>
  <c r="AA1219" i="3"/>
  <c r="AB1218" i="3"/>
  <c r="AA1218" i="3"/>
  <c r="AB1217" i="3"/>
  <c r="AA1217" i="3"/>
  <c r="AB1216" i="3"/>
  <c r="AA1216" i="3"/>
  <c r="AB1215" i="3"/>
  <c r="AA1215" i="3"/>
  <c r="AB1214" i="3"/>
  <c r="AA1214" i="3"/>
  <c r="AB1213" i="3"/>
  <c r="AA1213" i="3"/>
  <c r="AB1212" i="3"/>
  <c r="AA1212" i="3"/>
  <c r="AB1211" i="3"/>
  <c r="AA1211" i="3"/>
  <c r="AB1210" i="3"/>
  <c r="AA1210" i="3"/>
  <c r="AB1209" i="3"/>
  <c r="AA1209" i="3"/>
  <c r="AB1208" i="3"/>
  <c r="AA1208" i="3"/>
  <c r="AB1207" i="3"/>
  <c r="AA1207" i="3"/>
  <c r="AB1206" i="3"/>
  <c r="AA1206" i="3"/>
  <c r="AB1205" i="3"/>
  <c r="AA1205" i="3"/>
  <c r="AB1204" i="3"/>
  <c r="AA1204" i="3"/>
  <c r="AB1203" i="3"/>
  <c r="AA1203" i="3"/>
  <c r="AB1202" i="3"/>
  <c r="AA1202" i="3"/>
  <c r="AB1201" i="3"/>
  <c r="AA1201" i="3"/>
  <c r="AB1200" i="3"/>
  <c r="AA1200" i="3"/>
  <c r="AB1199" i="3"/>
  <c r="AA1199" i="3"/>
  <c r="AB1198" i="3"/>
  <c r="AA1198" i="3"/>
  <c r="AB1197" i="3"/>
  <c r="AA1197" i="3"/>
  <c r="AB1196" i="3"/>
  <c r="AA1196" i="3"/>
  <c r="AB1195" i="3"/>
  <c r="AA1195" i="3"/>
  <c r="AB1194" i="3"/>
  <c r="AA1194" i="3"/>
  <c r="AB1193" i="3"/>
  <c r="AA1193" i="3"/>
  <c r="AB1192" i="3"/>
  <c r="AA1192" i="3"/>
  <c r="AB1191" i="3"/>
  <c r="AA1191" i="3"/>
  <c r="AB1190" i="3"/>
  <c r="AA1190" i="3"/>
  <c r="AB1189" i="3"/>
  <c r="AA1189" i="3"/>
  <c r="AB1188" i="3"/>
  <c r="AA1188" i="3"/>
  <c r="AB1187" i="3"/>
  <c r="AA1187" i="3"/>
  <c r="AB1186" i="3"/>
  <c r="AA1186" i="3"/>
  <c r="AB1185" i="3"/>
  <c r="AA1185" i="3"/>
  <c r="AB1184" i="3"/>
  <c r="AA1184" i="3"/>
  <c r="AB1183" i="3"/>
  <c r="AA1183" i="3"/>
  <c r="AB1182" i="3"/>
  <c r="AA1182" i="3"/>
  <c r="AB1181" i="3"/>
  <c r="AA1181" i="3"/>
  <c r="AB1180" i="3"/>
  <c r="AA1180" i="3"/>
  <c r="AB1179" i="3"/>
  <c r="AA1179" i="3"/>
  <c r="AB1178" i="3"/>
  <c r="AA1178" i="3"/>
  <c r="AB1177" i="3"/>
  <c r="AA1177" i="3"/>
  <c r="AB1176" i="3"/>
  <c r="AA1176" i="3"/>
  <c r="AB1175" i="3"/>
  <c r="AA1175" i="3"/>
  <c r="AB1174" i="3"/>
  <c r="AA1174" i="3"/>
  <c r="AB1173" i="3"/>
  <c r="AA1173" i="3"/>
  <c r="AB1172" i="3"/>
  <c r="AA1172" i="3"/>
  <c r="AB1171" i="3"/>
  <c r="AA1171" i="3"/>
  <c r="AB1170" i="3"/>
  <c r="AA1170" i="3"/>
  <c r="AB1169" i="3"/>
  <c r="AA1169" i="3"/>
  <c r="AB1168" i="3"/>
  <c r="AA1168" i="3"/>
  <c r="AB1167" i="3"/>
  <c r="AA1167" i="3"/>
  <c r="AB1166" i="3"/>
  <c r="AA1166" i="3"/>
  <c r="AB1165" i="3"/>
  <c r="AA1165" i="3"/>
  <c r="AB1164" i="3"/>
  <c r="AA1164" i="3"/>
  <c r="AB1163" i="3"/>
  <c r="AA1163" i="3"/>
  <c r="AB1162" i="3"/>
  <c r="AA1162" i="3"/>
  <c r="AB1161" i="3"/>
  <c r="AA1161" i="3"/>
  <c r="AB1160" i="3"/>
  <c r="AA1160" i="3"/>
  <c r="AB1159" i="3"/>
  <c r="AA1159" i="3"/>
  <c r="AB1158" i="3"/>
  <c r="AA1158" i="3"/>
  <c r="AB1157" i="3"/>
  <c r="AA1157" i="3"/>
  <c r="AB1156" i="3"/>
  <c r="AA1156" i="3"/>
  <c r="AB1155" i="3"/>
  <c r="AA1155" i="3"/>
  <c r="AB1154" i="3"/>
  <c r="AA1154" i="3"/>
  <c r="AB1153" i="3"/>
  <c r="AA1153" i="3"/>
  <c r="AB1152" i="3"/>
  <c r="AA1152" i="3"/>
  <c r="AB1151" i="3"/>
  <c r="AA1151" i="3"/>
  <c r="AB1150" i="3"/>
  <c r="AA1150" i="3"/>
  <c r="AB1149" i="3"/>
  <c r="AA1149" i="3"/>
  <c r="AB1148" i="3"/>
  <c r="AA1148" i="3"/>
  <c r="AB1147" i="3"/>
  <c r="AA1147" i="3"/>
  <c r="AB1146" i="3"/>
  <c r="AA1146" i="3"/>
  <c r="AB1145" i="3"/>
  <c r="AA1145" i="3"/>
  <c r="AB1144" i="3"/>
  <c r="AA1144" i="3"/>
  <c r="AB1143" i="3"/>
  <c r="AA1143" i="3"/>
  <c r="AB1142" i="3"/>
  <c r="AA1142" i="3"/>
  <c r="AB1141" i="3"/>
  <c r="AA1141" i="3"/>
  <c r="AB1140" i="3"/>
  <c r="AA1140" i="3"/>
  <c r="AB1139" i="3"/>
  <c r="AA1139" i="3"/>
  <c r="AB1138" i="3"/>
  <c r="AA1138" i="3"/>
  <c r="AB1137" i="3"/>
  <c r="AA1137" i="3"/>
  <c r="AB1136" i="3"/>
  <c r="AA1136" i="3"/>
  <c r="AB1135" i="3"/>
  <c r="AA1135" i="3"/>
  <c r="AB1134" i="3"/>
  <c r="AA1134" i="3"/>
  <c r="AB1133" i="3"/>
  <c r="AA1133" i="3"/>
  <c r="AB1132" i="3"/>
  <c r="AA1132" i="3"/>
  <c r="AB1131" i="3"/>
  <c r="AA1131" i="3"/>
  <c r="AB1130" i="3"/>
  <c r="AA1130" i="3"/>
  <c r="AB1129" i="3"/>
  <c r="AA1129" i="3"/>
  <c r="AB1128" i="3"/>
  <c r="AA1128" i="3"/>
  <c r="AB1127" i="3"/>
  <c r="AA1127" i="3"/>
  <c r="AB1126" i="3"/>
  <c r="AA1126" i="3"/>
  <c r="AB1125" i="3"/>
  <c r="AA1125" i="3"/>
  <c r="AB1124" i="3"/>
  <c r="AA1124" i="3"/>
  <c r="AB1123" i="3"/>
  <c r="AA1123" i="3"/>
  <c r="AB1122" i="3"/>
  <c r="AA1122" i="3"/>
  <c r="AB1121" i="3"/>
  <c r="AA1121" i="3"/>
  <c r="AB1120" i="3"/>
  <c r="AA1120" i="3"/>
  <c r="AB1119" i="3"/>
  <c r="AA1119" i="3"/>
  <c r="AB1118" i="3"/>
  <c r="AA1118" i="3"/>
  <c r="AB1117" i="3"/>
  <c r="AA1117" i="3"/>
  <c r="AB1116" i="3"/>
  <c r="AA1116" i="3"/>
  <c r="AB1115" i="3"/>
  <c r="AA1115" i="3"/>
  <c r="AB1114" i="3"/>
  <c r="AA1114" i="3"/>
  <c r="AB1113" i="3"/>
  <c r="AA1113" i="3"/>
  <c r="AB1112" i="3"/>
  <c r="AA1112" i="3"/>
  <c r="AB1111" i="3"/>
  <c r="AA1111" i="3"/>
  <c r="AB1110" i="3"/>
  <c r="AA1110" i="3"/>
  <c r="AB1109" i="3"/>
  <c r="AA1109" i="3"/>
  <c r="AB1108" i="3"/>
  <c r="AA1108" i="3"/>
  <c r="AB1107" i="3"/>
  <c r="AA1107" i="3"/>
  <c r="AB1106" i="3"/>
  <c r="AA1106" i="3"/>
  <c r="AB1105" i="3"/>
  <c r="AA1105" i="3"/>
  <c r="AB1104" i="3"/>
  <c r="AA1104" i="3"/>
  <c r="AB1103" i="3"/>
  <c r="AA1103" i="3"/>
  <c r="AB1102" i="3"/>
  <c r="AA1102" i="3"/>
  <c r="AB1101" i="3"/>
  <c r="AA1101" i="3"/>
  <c r="AB1100" i="3"/>
  <c r="AA1100" i="3"/>
  <c r="AB1099" i="3"/>
  <c r="AA1099" i="3"/>
  <c r="AB1098" i="3"/>
  <c r="AA1098" i="3"/>
  <c r="AB1097" i="3"/>
  <c r="AA1097" i="3"/>
  <c r="AB1096" i="3"/>
  <c r="AA1096" i="3"/>
  <c r="AB1095" i="3"/>
  <c r="AA1095" i="3"/>
  <c r="AB1094" i="3"/>
  <c r="AA1094" i="3"/>
  <c r="AB1093" i="3"/>
  <c r="AA1093" i="3"/>
  <c r="AB1092" i="3"/>
  <c r="AA1092" i="3"/>
  <c r="AB1091" i="3"/>
  <c r="AA1091" i="3"/>
  <c r="AB1090" i="3"/>
  <c r="AA1090" i="3"/>
  <c r="AB1089" i="3"/>
  <c r="AA1089" i="3"/>
  <c r="AB1088" i="3"/>
  <c r="AA1088" i="3"/>
  <c r="AB1087" i="3"/>
  <c r="AA1087" i="3"/>
  <c r="AB1086" i="3"/>
  <c r="AA1086" i="3"/>
  <c r="AB1085" i="3"/>
  <c r="AA1085" i="3"/>
  <c r="AB1084" i="3"/>
  <c r="AA1084" i="3"/>
  <c r="AB1083" i="3"/>
  <c r="AA1083" i="3"/>
  <c r="AB1082" i="3"/>
  <c r="AA1082" i="3"/>
  <c r="AB1081" i="3"/>
  <c r="AA1081" i="3"/>
  <c r="AB1080" i="3"/>
  <c r="AA1080" i="3"/>
  <c r="AB1079" i="3"/>
  <c r="AA1079" i="3"/>
  <c r="AB1078" i="3"/>
  <c r="AA1078" i="3"/>
  <c r="AB1077" i="3"/>
  <c r="AA1077" i="3"/>
  <c r="AB1076" i="3"/>
  <c r="AA1076" i="3"/>
  <c r="AB1075" i="3"/>
  <c r="AA1075" i="3"/>
  <c r="AB1074" i="3"/>
  <c r="AA1074" i="3"/>
  <c r="AB1073" i="3"/>
  <c r="AA1073" i="3"/>
  <c r="AB1072" i="3"/>
  <c r="AA1072" i="3"/>
  <c r="AB1071" i="3"/>
  <c r="AA1071" i="3"/>
  <c r="AB1070" i="3"/>
  <c r="AA1070" i="3"/>
  <c r="AB1069" i="3"/>
  <c r="AA1069" i="3"/>
  <c r="AB1068" i="3"/>
  <c r="AA1068" i="3"/>
  <c r="AB1067" i="3"/>
  <c r="AA1067" i="3"/>
  <c r="AB1066" i="3"/>
  <c r="AA1066" i="3"/>
  <c r="AB1065" i="3"/>
  <c r="AA1065" i="3"/>
  <c r="AB1064" i="3"/>
  <c r="AA1064" i="3"/>
  <c r="AB1063" i="3"/>
  <c r="AA1063" i="3"/>
  <c r="AB1062" i="3"/>
  <c r="AA1062" i="3"/>
  <c r="AB1061" i="3"/>
  <c r="AA1061" i="3"/>
  <c r="AB1060" i="3"/>
  <c r="AA1060" i="3"/>
  <c r="AB1059" i="3"/>
  <c r="AA1059" i="3"/>
  <c r="AB1058" i="3"/>
  <c r="AA1058" i="3"/>
  <c r="AB1057" i="3"/>
  <c r="AA1057" i="3"/>
  <c r="AB1056" i="3"/>
  <c r="AA1056" i="3"/>
  <c r="AB1055" i="3"/>
  <c r="AA1055" i="3"/>
  <c r="AB1054" i="3"/>
  <c r="AA1054" i="3"/>
  <c r="AB1053" i="3"/>
  <c r="AA1053" i="3"/>
  <c r="AB1052" i="3"/>
  <c r="AA1052" i="3"/>
  <c r="AB1051" i="3"/>
  <c r="AA1051" i="3"/>
  <c r="AB1050" i="3"/>
  <c r="AA1050" i="3"/>
  <c r="AB1049" i="3"/>
  <c r="AA1049" i="3"/>
  <c r="AB1048" i="3"/>
  <c r="AA1048" i="3"/>
  <c r="AB1047" i="3"/>
  <c r="AA1047" i="3"/>
  <c r="AB1046" i="3"/>
  <c r="AA1046" i="3"/>
  <c r="AB1045" i="3"/>
  <c r="AA1045" i="3"/>
  <c r="AB1044" i="3"/>
  <c r="AA1044" i="3"/>
  <c r="AB1043" i="3"/>
  <c r="AA1043" i="3"/>
  <c r="AB1042" i="3"/>
  <c r="AA1042" i="3"/>
  <c r="AB1041" i="3"/>
  <c r="AA1041" i="3"/>
  <c r="AB1040" i="3"/>
  <c r="AA1040" i="3"/>
  <c r="AB1039" i="3"/>
  <c r="AA1039" i="3"/>
  <c r="AB1038" i="3"/>
  <c r="AA1038" i="3"/>
  <c r="AB1037" i="3"/>
  <c r="AA1037" i="3"/>
  <c r="AB1036" i="3"/>
  <c r="AA1036" i="3"/>
  <c r="AB1035" i="3"/>
  <c r="AA1035" i="3"/>
  <c r="AB1034" i="3"/>
  <c r="AA1034" i="3"/>
  <c r="AB1033" i="3"/>
  <c r="AA1033" i="3"/>
  <c r="AB1032" i="3"/>
  <c r="AA1032" i="3"/>
  <c r="AB1031" i="3"/>
  <c r="AA1031" i="3"/>
  <c r="AB1030" i="3"/>
  <c r="AA1030" i="3"/>
  <c r="AB1029" i="3"/>
  <c r="AA1029" i="3"/>
  <c r="AB1028" i="3"/>
  <c r="AA1028" i="3"/>
  <c r="AB1027" i="3"/>
  <c r="AA1027" i="3"/>
  <c r="AB1026" i="3"/>
  <c r="AA1026" i="3"/>
  <c r="AB1025" i="3"/>
  <c r="AA1025" i="3"/>
  <c r="AB1024" i="3"/>
  <c r="AA1024" i="3"/>
  <c r="AB1023" i="3"/>
  <c r="AA1023" i="3"/>
  <c r="AB1022" i="3"/>
  <c r="AA1022" i="3"/>
  <c r="AB1021" i="3"/>
  <c r="AA1021" i="3"/>
  <c r="AB1020" i="3"/>
  <c r="AA1020" i="3"/>
  <c r="AB1019" i="3"/>
  <c r="AA1019" i="3"/>
  <c r="AB1018" i="3"/>
  <c r="AA1018" i="3"/>
  <c r="AB1017" i="3"/>
  <c r="AA1017" i="3"/>
  <c r="AB1016" i="3"/>
  <c r="AA1016" i="3"/>
  <c r="AB1015" i="3"/>
  <c r="AA1015" i="3"/>
  <c r="AB1014" i="3"/>
  <c r="AA1014" i="3"/>
  <c r="AB1013" i="3"/>
  <c r="AA1013" i="3"/>
  <c r="AB1012" i="3"/>
  <c r="AA1012" i="3"/>
  <c r="AB1011" i="3"/>
  <c r="AA1011" i="3"/>
  <c r="AB1010" i="3"/>
  <c r="AA1010" i="3"/>
  <c r="AB1009" i="3"/>
  <c r="AA1009" i="3"/>
  <c r="AB1008" i="3"/>
  <c r="AA1008" i="3"/>
  <c r="AB1007" i="3"/>
  <c r="AA1007" i="3"/>
  <c r="AB1006" i="3"/>
  <c r="AA1006" i="3"/>
  <c r="AB1005" i="3"/>
  <c r="AA1005" i="3"/>
  <c r="AB1004" i="3"/>
  <c r="AA1004" i="3"/>
  <c r="AB1003" i="3"/>
  <c r="AA1003" i="3"/>
  <c r="AB1002" i="3"/>
  <c r="AA1002" i="3"/>
  <c r="AB1001" i="3"/>
  <c r="AA1001" i="3"/>
  <c r="AB1000" i="3"/>
  <c r="AA1000" i="3"/>
  <c r="AB999" i="3"/>
  <c r="AA999" i="3"/>
  <c r="AB998" i="3"/>
  <c r="AA998" i="3"/>
  <c r="AB997" i="3"/>
  <c r="AA997" i="3"/>
  <c r="AB996" i="3"/>
  <c r="AA996" i="3"/>
  <c r="AB995" i="3"/>
  <c r="AA995" i="3"/>
  <c r="AB994" i="3"/>
  <c r="AA994" i="3"/>
  <c r="AB993" i="3"/>
  <c r="AA993" i="3"/>
  <c r="AB992" i="3"/>
  <c r="AA992" i="3"/>
  <c r="AB991" i="3"/>
  <c r="AA991" i="3"/>
  <c r="AB990" i="3"/>
  <c r="AA990" i="3"/>
  <c r="AB989" i="3"/>
  <c r="AA989" i="3"/>
  <c r="AB988" i="3"/>
  <c r="AA988" i="3"/>
  <c r="AB987" i="3"/>
  <c r="AA987" i="3"/>
  <c r="AB986" i="3"/>
  <c r="AA986" i="3"/>
  <c r="AB985" i="3"/>
  <c r="AA985" i="3"/>
  <c r="AB984" i="3"/>
  <c r="AA984" i="3"/>
  <c r="AB983" i="3"/>
  <c r="AA983" i="3"/>
  <c r="AB982" i="3"/>
  <c r="AA982" i="3"/>
  <c r="AB981" i="3"/>
  <c r="AA981" i="3"/>
  <c r="AB980" i="3"/>
  <c r="AA980" i="3"/>
  <c r="AB979" i="3"/>
  <c r="AA979" i="3"/>
  <c r="AB978" i="3"/>
  <c r="AA978" i="3"/>
  <c r="AB977" i="3"/>
  <c r="AA977" i="3"/>
  <c r="AB976" i="3"/>
  <c r="AA976" i="3"/>
  <c r="AB975" i="3"/>
  <c r="AA975" i="3"/>
  <c r="AB974" i="3"/>
  <c r="AA974" i="3"/>
  <c r="AB973" i="3"/>
  <c r="AA973" i="3"/>
  <c r="AB972" i="3"/>
  <c r="AA972" i="3"/>
  <c r="AB971" i="3"/>
  <c r="AA971" i="3"/>
  <c r="AB970" i="3"/>
  <c r="AA970" i="3"/>
  <c r="AB969" i="3"/>
  <c r="AA969" i="3"/>
  <c r="AB968" i="3"/>
  <c r="AA968" i="3"/>
  <c r="AB967" i="3"/>
  <c r="AA967" i="3"/>
  <c r="AB966" i="3"/>
  <c r="AA966" i="3"/>
  <c r="AB965" i="3"/>
  <c r="AA965" i="3"/>
  <c r="AB964" i="3"/>
  <c r="AA964" i="3"/>
  <c r="AB963" i="3"/>
  <c r="AA963" i="3"/>
  <c r="AB962" i="3"/>
  <c r="AA962" i="3"/>
  <c r="AB961" i="3"/>
  <c r="AA961" i="3"/>
  <c r="AB960" i="3"/>
  <c r="AA960" i="3"/>
  <c r="AB959" i="3"/>
  <c r="AA959" i="3"/>
  <c r="AB958" i="3"/>
  <c r="AA958" i="3"/>
  <c r="AB957" i="3"/>
  <c r="AA957" i="3"/>
  <c r="AB956" i="3"/>
  <c r="AA956" i="3"/>
  <c r="AB955" i="3"/>
  <c r="AA955" i="3"/>
  <c r="AB954" i="3"/>
  <c r="AA954" i="3"/>
  <c r="AB953" i="3"/>
  <c r="AA953" i="3"/>
  <c r="AB952" i="3"/>
  <c r="AA952" i="3"/>
  <c r="AB951" i="3"/>
  <c r="AA951" i="3"/>
  <c r="AB950" i="3"/>
  <c r="AA950" i="3"/>
  <c r="AB949" i="3"/>
  <c r="AA949" i="3"/>
  <c r="AB948" i="3"/>
  <c r="AA948" i="3"/>
  <c r="AB947" i="3"/>
  <c r="AA947" i="3"/>
  <c r="AB946" i="3"/>
  <c r="AA946" i="3"/>
  <c r="AB945" i="3"/>
  <c r="AA945" i="3"/>
  <c r="AB944" i="3"/>
  <c r="AA944" i="3"/>
  <c r="AB943" i="3"/>
  <c r="AA943" i="3"/>
  <c r="AB942" i="3"/>
  <c r="AA942" i="3"/>
  <c r="AB941" i="3"/>
  <c r="AA941" i="3"/>
  <c r="AB940" i="3"/>
  <c r="AA940" i="3"/>
  <c r="AB939" i="3"/>
  <c r="AA939" i="3"/>
  <c r="AB938" i="3"/>
  <c r="AA938" i="3"/>
  <c r="AB937" i="3"/>
  <c r="AA937" i="3"/>
  <c r="AB936" i="3"/>
  <c r="AA936" i="3"/>
  <c r="AB935" i="3"/>
  <c r="AA935" i="3"/>
  <c r="AB934" i="3"/>
  <c r="AA934" i="3"/>
  <c r="AB933" i="3"/>
  <c r="AA933" i="3"/>
  <c r="AB932" i="3"/>
  <c r="AA932" i="3"/>
  <c r="AB931" i="3"/>
  <c r="AA931" i="3"/>
  <c r="AB930" i="3"/>
  <c r="AA930" i="3"/>
  <c r="AB929" i="3"/>
  <c r="AA929" i="3"/>
  <c r="AB928" i="3"/>
  <c r="AA928" i="3"/>
  <c r="AB927" i="3"/>
  <c r="AA927" i="3"/>
  <c r="AB926" i="3"/>
  <c r="AA926" i="3"/>
  <c r="AB925" i="3"/>
  <c r="AA925" i="3"/>
  <c r="AB924" i="3"/>
  <c r="AA924" i="3"/>
  <c r="AB923" i="3"/>
  <c r="AA923" i="3"/>
  <c r="AB922" i="3"/>
  <c r="AA922" i="3"/>
  <c r="AB921" i="3"/>
  <c r="AA921" i="3"/>
  <c r="AB920" i="3"/>
  <c r="AA920" i="3"/>
  <c r="AB919" i="3"/>
  <c r="AA919" i="3"/>
  <c r="AB918" i="3"/>
  <c r="AA918" i="3"/>
  <c r="AB917" i="3"/>
  <c r="AA917" i="3"/>
  <c r="AB916" i="3"/>
  <c r="AA916" i="3"/>
  <c r="AB915" i="3"/>
  <c r="AA915" i="3"/>
  <c r="AB914" i="3"/>
  <c r="AA914" i="3"/>
  <c r="AB913" i="3"/>
  <c r="AA913" i="3"/>
  <c r="AB912" i="3"/>
  <c r="AA912" i="3"/>
  <c r="AB911" i="3"/>
  <c r="AA911" i="3"/>
  <c r="AB910" i="3"/>
  <c r="AA910" i="3"/>
  <c r="AB909" i="3"/>
  <c r="AA909" i="3"/>
  <c r="AB908" i="3"/>
  <c r="AA908" i="3"/>
  <c r="AB907" i="3"/>
  <c r="AA907" i="3"/>
  <c r="AB906" i="3"/>
  <c r="AA906" i="3"/>
  <c r="AB905" i="3"/>
  <c r="AA905" i="3"/>
  <c r="AB904" i="3"/>
  <c r="AA904" i="3"/>
  <c r="AB903" i="3"/>
  <c r="AA903" i="3"/>
  <c r="AB902" i="3"/>
  <c r="AA902" i="3"/>
  <c r="AB901" i="3"/>
  <c r="AA901" i="3"/>
  <c r="AB900" i="3"/>
  <c r="AA900" i="3"/>
  <c r="AB899" i="3"/>
  <c r="AA899" i="3"/>
  <c r="AB898" i="3"/>
  <c r="AA898" i="3"/>
  <c r="AB897" i="3"/>
  <c r="AA897" i="3"/>
  <c r="AB896" i="3"/>
  <c r="AA896" i="3"/>
  <c r="AB895" i="3"/>
  <c r="AA895" i="3"/>
  <c r="AB894" i="3"/>
  <c r="AA894" i="3"/>
  <c r="AB893" i="3"/>
  <c r="AA893" i="3"/>
  <c r="AB892" i="3"/>
  <c r="AA892" i="3"/>
  <c r="AB891" i="3"/>
  <c r="AA891" i="3"/>
  <c r="AB890" i="3"/>
  <c r="AA890" i="3"/>
  <c r="AB889" i="3"/>
  <c r="AA889" i="3"/>
  <c r="AB888" i="3"/>
  <c r="AA888" i="3"/>
  <c r="AB887" i="3"/>
  <c r="AA887" i="3"/>
  <c r="AB886" i="3"/>
  <c r="AA886" i="3"/>
  <c r="AB885" i="3"/>
  <c r="AA885" i="3"/>
  <c r="AB884" i="3"/>
  <c r="AA884" i="3"/>
  <c r="AB883" i="3"/>
  <c r="AA883" i="3"/>
  <c r="AB882" i="3"/>
  <c r="AA882" i="3"/>
  <c r="AB881" i="3"/>
  <c r="AA881" i="3"/>
  <c r="AB880" i="3"/>
  <c r="AA880" i="3"/>
  <c r="AB879" i="3"/>
  <c r="AA879" i="3"/>
  <c r="AB878" i="3"/>
  <c r="AA878" i="3"/>
  <c r="AB877" i="3"/>
  <c r="AA877" i="3"/>
  <c r="AB876" i="3"/>
  <c r="AA876" i="3"/>
  <c r="AB875" i="3"/>
  <c r="AA875" i="3"/>
  <c r="AB874" i="3"/>
  <c r="AA874" i="3"/>
  <c r="AB873" i="3"/>
  <c r="AA873" i="3"/>
  <c r="AB872" i="3"/>
  <c r="AA872" i="3"/>
  <c r="AB871" i="3"/>
  <c r="AA871" i="3"/>
  <c r="AB870" i="3"/>
  <c r="AA870" i="3"/>
  <c r="AB869" i="3"/>
  <c r="AA869" i="3"/>
  <c r="AB868" i="3"/>
  <c r="AA868" i="3"/>
  <c r="AB867" i="3"/>
  <c r="AA867" i="3"/>
  <c r="AB866" i="3"/>
  <c r="AA866" i="3"/>
  <c r="AB865" i="3"/>
  <c r="AA865" i="3"/>
  <c r="AB864" i="3"/>
  <c r="AA864" i="3"/>
  <c r="AB863" i="3"/>
  <c r="AA863" i="3"/>
  <c r="AB862" i="3"/>
  <c r="AA862" i="3"/>
  <c r="AB861" i="3"/>
  <c r="AA861" i="3"/>
  <c r="AB860" i="3"/>
  <c r="AA860" i="3"/>
  <c r="AB859" i="3"/>
  <c r="AA859" i="3"/>
  <c r="AB858" i="3"/>
  <c r="AA858" i="3"/>
  <c r="AB857" i="3"/>
  <c r="AA857" i="3"/>
  <c r="AB856" i="3"/>
  <c r="AA856" i="3"/>
  <c r="AB855" i="3"/>
  <c r="AA855" i="3"/>
  <c r="AB854" i="3"/>
  <c r="AA854" i="3"/>
  <c r="AB853" i="3"/>
  <c r="AA853" i="3"/>
  <c r="AB852" i="3"/>
  <c r="AA852" i="3"/>
  <c r="AB851" i="3"/>
  <c r="AA851" i="3"/>
  <c r="AB850" i="3"/>
  <c r="AA850" i="3"/>
  <c r="AB849" i="3"/>
  <c r="AA849" i="3"/>
  <c r="AB848" i="3"/>
  <c r="AA848" i="3"/>
  <c r="AB847" i="3"/>
  <c r="AA847" i="3"/>
  <c r="AB846" i="3"/>
  <c r="AA846" i="3"/>
  <c r="AB845" i="3"/>
  <c r="AA845" i="3"/>
  <c r="AB844" i="3"/>
  <c r="AA844" i="3"/>
  <c r="AB843" i="3"/>
  <c r="AA843" i="3"/>
  <c r="AB842" i="3"/>
  <c r="AA842" i="3"/>
  <c r="AB841" i="3"/>
  <c r="AA841" i="3"/>
  <c r="AB840" i="3"/>
  <c r="AA840" i="3"/>
  <c r="AB839" i="3"/>
  <c r="AA839" i="3"/>
  <c r="AB838" i="3"/>
  <c r="AA838" i="3"/>
  <c r="AB837" i="3"/>
  <c r="AA837" i="3"/>
  <c r="AB836" i="3"/>
  <c r="AA836" i="3"/>
  <c r="AB835" i="3"/>
  <c r="AA835" i="3"/>
  <c r="AB834" i="3"/>
  <c r="AA834" i="3"/>
  <c r="AB833" i="3"/>
  <c r="AA833" i="3"/>
  <c r="AB832" i="3"/>
  <c r="AA832" i="3"/>
  <c r="AB831" i="3"/>
  <c r="AA831" i="3"/>
  <c r="AB830" i="3"/>
  <c r="AA830" i="3"/>
  <c r="AB829" i="3"/>
  <c r="AA829" i="3"/>
  <c r="AB828" i="3"/>
  <c r="AA828" i="3"/>
  <c r="AB827" i="3"/>
  <c r="AA827" i="3"/>
  <c r="AB826" i="3"/>
  <c r="AA826" i="3"/>
  <c r="AB825" i="3"/>
  <c r="AA825" i="3"/>
  <c r="AB824" i="3"/>
  <c r="AA824" i="3"/>
  <c r="AB823" i="3"/>
  <c r="AA823" i="3"/>
  <c r="AB822" i="3"/>
  <c r="AA822" i="3"/>
  <c r="AB821" i="3"/>
  <c r="AA821" i="3"/>
  <c r="AB820" i="3"/>
  <c r="AA820" i="3"/>
  <c r="AB819" i="3"/>
  <c r="AA819" i="3"/>
  <c r="AB818" i="3"/>
  <c r="AA818" i="3"/>
  <c r="AB817" i="3"/>
  <c r="AA817" i="3"/>
  <c r="AB816" i="3"/>
  <c r="AA816" i="3"/>
  <c r="AB815" i="3"/>
  <c r="AA815" i="3"/>
  <c r="AB814" i="3"/>
  <c r="AA814" i="3"/>
  <c r="AB813" i="3"/>
  <c r="AA813" i="3"/>
  <c r="AB812" i="3"/>
  <c r="AA812" i="3"/>
  <c r="AB811" i="3"/>
  <c r="AA811" i="3"/>
  <c r="AB810" i="3"/>
  <c r="AA810" i="3"/>
  <c r="AB809" i="3"/>
  <c r="AA809" i="3"/>
  <c r="AB808" i="3"/>
  <c r="AA808" i="3"/>
  <c r="AB807" i="3"/>
  <c r="AA807" i="3"/>
  <c r="AB806" i="3"/>
  <c r="AA806" i="3"/>
  <c r="AB805" i="3"/>
  <c r="AA805" i="3"/>
  <c r="AB804" i="3"/>
  <c r="AA804" i="3"/>
  <c r="AB803" i="3"/>
  <c r="AA803" i="3"/>
  <c r="AB802" i="3"/>
  <c r="AA802" i="3"/>
  <c r="AB801" i="3"/>
  <c r="AA801" i="3"/>
  <c r="AB800" i="3"/>
  <c r="AA800" i="3"/>
  <c r="AB799" i="3"/>
  <c r="AA799" i="3"/>
  <c r="AB798" i="3"/>
  <c r="AA798" i="3"/>
  <c r="AB797" i="3"/>
  <c r="AA797" i="3"/>
  <c r="AB796" i="3"/>
  <c r="AA796" i="3"/>
  <c r="AB795" i="3"/>
  <c r="AA795" i="3"/>
  <c r="AB794" i="3"/>
  <c r="AA794" i="3"/>
  <c r="AB793" i="3"/>
  <c r="AA793" i="3"/>
  <c r="AB792" i="3"/>
  <c r="AA792" i="3"/>
  <c r="AB791" i="3"/>
  <c r="AA791" i="3"/>
  <c r="AB790" i="3"/>
  <c r="AA790" i="3"/>
  <c r="AB789" i="3"/>
  <c r="AA789" i="3"/>
  <c r="AB788" i="3"/>
  <c r="AA788" i="3"/>
  <c r="AB787" i="3"/>
  <c r="AA787" i="3"/>
  <c r="AB786" i="3"/>
  <c r="AA786" i="3"/>
  <c r="AB785" i="3"/>
  <c r="AA785" i="3"/>
  <c r="AB784" i="3"/>
  <c r="AA784" i="3"/>
  <c r="AB783" i="3"/>
  <c r="AA783" i="3"/>
  <c r="AB782" i="3"/>
  <c r="AA782" i="3"/>
  <c r="AB781" i="3"/>
  <c r="AA781" i="3"/>
  <c r="AB780" i="3"/>
  <c r="AA780" i="3"/>
  <c r="AB779" i="3"/>
  <c r="AA779" i="3"/>
  <c r="AB778" i="3"/>
  <c r="AA778" i="3"/>
  <c r="AB777" i="3"/>
  <c r="AA777" i="3"/>
  <c r="AB776" i="3"/>
  <c r="AA776" i="3"/>
  <c r="AB775" i="3"/>
  <c r="AA775" i="3"/>
  <c r="AB774" i="3"/>
  <c r="AA774" i="3"/>
  <c r="AB773" i="3"/>
  <c r="AA773" i="3"/>
  <c r="AB772" i="3"/>
  <c r="AA772" i="3"/>
  <c r="AB771" i="3"/>
  <c r="AA771" i="3"/>
  <c r="AB770" i="3"/>
  <c r="AA770" i="3"/>
  <c r="AB769" i="3"/>
  <c r="AA769" i="3"/>
  <c r="AB768" i="3"/>
  <c r="AA768" i="3"/>
  <c r="AB767" i="3"/>
  <c r="AA767" i="3"/>
  <c r="AB766" i="3"/>
  <c r="AA766" i="3"/>
  <c r="AB765" i="3"/>
  <c r="AA765" i="3"/>
  <c r="AB764" i="3"/>
  <c r="AA764" i="3"/>
  <c r="AB763" i="3"/>
  <c r="AA763" i="3"/>
  <c r="AB762" i="3"/>
  <c r="AA762" i="3"/>
  <c r="AB761" i="3"/>
  <c r="AA761" i="3"/>
  <c r="AB760" i="3"/>
  <c r="AA760" i="3"/>
  <c r="AB759" i="3"/>
  <c r="AA759" i="3"/>
  <c r="AB758" i="3"/>
  <c r="AA758" i="3"/>
  <c r="AB757" i="3"/>
  <c r="AA757" i="3"/>
  <c r="AB756" i="3"/>
  <c r="AA756" i="3"/>
  <c r="AB755" i="3"/>
  <c r="AA755" i="3"/>
  <c r="AB754" i="3"/>
  <c r="AA754" i="3"/>
  <c r="AB753" i="3"/>
  <c r="AA753" i="3"/>
  <c r="AB752" i="3"/>
  <c r="AA752" i="3"/>
  <c r="AB751" i="3"/>
  <c r="AA751" i="3"/>
  <c r="AB750" i="3"/>
  <c r="AA750" i="3"/>
  <c r="AB749" i="3"/>
  <c r="AA749" i="3"/>
  <c r="AB748" i="3"/>
  <c r="AA748" i="3"/>
  <c r="AB747" i="3"/>
  <c r="AA747" i="3"/>
  <c r="AB746" i="3"/>
  <c r="AA746" i="3"/>
  <c r="AB745" i="3"/>
  <c r="AA745" i="3"/>
  <c r="AB744" i="3"/>
  <c r="AA744" i="3"/>
  <c r="AB743" i="3"/>
  <c r="AA743" i="3"/>
  <c r="AB742" i="3"/>
  <c r="AA742" i="3"/>
  <c r="AB741" i="3"/>
  <c r="AA741" i="3"/>
  <c r="AB740" i="3"/>
  <c r="AA740" i="3"/>
  <c r="AB739" i="3"/>
  <c r="AA739" i="3"/>
  <c r="AB738" i="3"/>
  <c r="AA738" i="3"/>
  <c r="AB737" i="3"/>
  <c r="AA737" i="3"/>
  <c r="AB736" i="3"/>
  <c r="AA736" i="3"/>
  <c r="AB735" i="3"/>
  <c r="AA735" i="3"/>
  <c r="AB734" i="3"/>
  <c r="AA734" i="3"/>
  <c r="AB733" i="3"/>
  <c r="AA733" i="3"/>
  <c r="AB732" i="3"/>
  <c r="AA732" i="3"/>
  <c r="AB731" i="3"/>
  <c r="AA731" i="3"/>
  <c r="AB730" i="3"/>
  <c r="AA730" i="3"/>
  <c r="AB729" i="3"/>
  <c r="AA729" i="3"/>
  <c r="AB728" i="3"/>
  <c r="AA728" i="3"/>
  <c r="AB727" i="3"/>
  <c r="AA727" i="3"/>
  <c r="AB726" i="3"/>
  <c r="AA726" i="3"/>
  <c r="AB725" i="3"/>
  <c r="AA725" i="3"/>
  <c r="AB724" i="3"/>
  <c r="AA724" i="3"/>
  <c r="AB723" i="3"/>
  <c r="AA723" i="3"/>
  <c r="AB722" i="3"/>
  <c r="AA722" i="3"/>
  <c r="AB721" i="3"/>
  <c r="AA721" i="3"/>
  <c r="AB720" i="3"/>
  <c r="AA720" i="3"/>
  <c r="AB719" i="3"/>
  <c r="AA719" i="3"/>
  <c r="AB718" i="3"/>
  <c r="AA718" i="3"/>
  <c r="AB717" i="3"/>
  <c r="AA717" i="3"/>
  <c r="AB716" i="3"/>
  <c r="AA716" i="3"/>
  <c r="AB715" i="3"/>
  <c r="AA715" i="3"/>
  <c r="AB714" i="3"/>
  <c r="AA714" i="3"/>
  <c r="AB713" i="3"/>
  <c r="AA713" i="3"/>
  <c r="AB712" i="3"/>
  <c r="AA712" i="3"/>
  <c r="AB711" i="3"/>
  <c r="AA711" i="3"/>
  <c r="AB710" i="3"/>
  <c r="AA710" i="3"/>
  <c r="AB709" i="3"/>
  <c r="AA709" i="3"/>
  <c r="AB708" i="3"/>
  <c r="AA708" i="3"/>
  <c r="AB707" i="3"/>
  <c r="AA707" i="3"/>
  <c r="AB706" i="3"/>
  <c r="AA706" i="3"/>
  <c r="AB705" i="3"/>
  <c r="AA705" i="3"/>
  <c r="AB704" i="3"/>
  <c r="AA704" i="3"/>
  <c r="AB703" i="3"/>
  <c r="AA703" i="3"/>
  <c r="AB702" i="3"/>
  <c r="AA702" i="3"/>
  <c r="AB701" i="3"/>
  <c r="AA701" i="3"/>
  <c r="AB700" i="3"/>
  <c r="AA700" i="3"/>
  <c r="AB699" i="3"/>
  <c r="AA699" i="3"/>
  <c r="AB698" i="3"/>
  <c r="AA698" i="3"/>
  <c r="AB697" i="3"/>
  <c r="AA697" i="3"/>
  <c r="AB696" i="3"/>
  <c r="AA696" i="3"/>
  <c r="AB695" i="3"/>
  <c r="AA695" i="3"/>
  <c r="AB694" i="3"/>
  <c r="AA694" i="3"/>
  <c r="AB693" i="3"/>
  <c r="AA693" i="3"/>
  <c r="AB692" i="3"/>
  <c r="AA692" i="3"/>
  <c r="AB691" i="3"/>
  <c r="AA691" i="3"/>
  <c r="AB690" i="3"/>
  <c r="AA690" i="3"/>
  <c r="AB689" i="3"/>
  <c r="AA689" i="3"/>
  <c r="AB688" i="3"/>
  <c r="AA688" i="3"/>
  <c r="AB687" i="3"/>
  <c r="AA687" i="3"/>
  <c r="AB686" i="3"/>
  <c r="AA686" i="3"/>
  <c r="AB685" i="3"/>
  <c r="AA685" i="3"/>
  <c r="AB684" i="3"/>
  <c r="AA684" i="3"/>
  <c r="AB683" i="3"/>
  <c r="AA683" i="3"/>
  <c r="AB682" i="3"/>
  <c r="AA682" i="3"/>
  <c r="AB681" i="3"/>
  <c r="AA681" i="3"/>
  <c r="AB680" i="3"/>
  <c r="AA680" i="3"/>
  <c r="AB679" i="3"/>
  <c r="AA679" i="3"/>
  <c r="AB678" i="3"/>
  <c r="AA678" i="3"/>
  <c r="AB677" i="3"/>
  <c r="AA677" i="3"/>
  <c r="AB676" i="3"/>
  <c r="AA676" i="3"/>
  <c r="AB675" i="3"/>
  <c r="AA675" i="3"/>
  <c r="AB674" i="3"/>
  <c r="AA674" i="3"/>
  <c r="AB673" i="3"/>
  <c r="AA673" i="3"/>
  <c r="AB672" i="3"/>
  <c r="AA672" i="3"/>
  <c r="AB671" i="3"/>
  <c r="AA671" i="3"/>
  <c r="AB670" i="3"/>
  <c r="AA670" i="3"/>
  <c r="AB669" i="3"/>
  <c r="AA669" i="3"/>
  <c r="AB668" i="3"/>
  <c r="AA668" i="3"/>
  <c r="AB667" i="3"/>
  <c r="AA667" i="3"/>
  <c r="AB666" i="3"/>
  <c r="AA666" i="3"/>
  <c r="AB665" i="3"/>
  <c r="AA665" i="3"/>
  <c r="AB664" i="3"/>
  <c r="AA664" i="3"/>
  <c r="AB663" i="3"/>
  <c r="AA663" i="3"/>
  <c r="AB662" i="3"/>
  <c r="AA662" i="3"/>
  <c r="AB661" i="3"/>
  <c r="AA661" i="3"/>
  <c r="AB660" i="3"/>
  <c r="AA660" i="3"/>
  <c r="AB659" i="3"/>
  <c r="AA659" i="3"/>
  <c r="AB658" i="3"/>
  <c r="AA658" i="3"/>
  <c r="AB657" i="3"/>
  <c r="AA657" i="3"/>
  <c r="AB656" i="3"/>
  <c r="AA656" i="3"/>
  <c r="AB655" i="3"/>
  <c r="AA655" i="3"/>
  <c r="AB654" i="3"/>
  <c r="AA654" i="3"/>
  <c r="AB653" i="3"/>
  <c r="AA653" i="3"/>
  <c r="AB652" i="3"/>
  <c r="AA652" i="3"/>
  <c r="AB651" i="3"/>
  <c r="AA651" i="3"/>
  <c r="AB650" i="3"/>
  <c r="AA650" i="3"/>
  <c r="AB649" i="3"/>
  <c r="AA649" i="3"/>
  <c r="AB648" i="3"/>
  <c r="AA648" i="3"/>
  <c r="AB647" i="3"/>
  <c r="AA647" i="3"/>
  <c r="AB646" i="3"/>
  <c r="AA646" i="3"/>
  <c r="AB645" i="3"/>
  <c r="AA645" i="3"/>
  <c r="AB644" i="3"/>
  <c r="AA644" i="3"/>
  <c r="AB643" i="3"/>
  <c r="AA643" i="3"/>
  <c r="AB642" i="3"/>
  <c r="AA642" i="3"/>
  <c r="AB641" i="3"/>
  <c r="AA641" i="3"/>
  <c r="AB640" i="3"/>
  <c r="AA640" i="3"/>
  <c r="AB639" i="3"/>
  <c r="AA639" i="3"/>
  <c r="AB638" i="3"/>
  <c r="AA638" i="3"/>
  <c r="AB637" i="3"/>
  <c r="AA637" i="3"/>
  <c r="AB636" i="3"/>
  <c r="AA636" i="3"/>
  <c r="AB635" i="3"/>
  <c r="AA635" i="3"/>
  <c r="AB634" i="3"/>
  <c r="AA634" i="3"/>
  <c r="AB633" i="3"/>
  <c r="AA633" i="3"/>
  <c r="AB632" i="3"/>
  <c r="AA632" i="3"/>
  <c r="AB631" i="3"/>
  <c r="AA631" i="3"/>
  <c r="AB630" i="3"/>
  <c r="AA630" i="3"/>
  <c r="AB629" i="3"/>
  <c r="AA629" i="3"/>
  <c r="AB628" i="3"/>
  <c r="AA628" i="3"/>
  <c r="AB627" i="3"/>
  <c r="AA627" i="3"/>
  <c r="AB626" i="3"/>
  <c r="AA626" i="3"/>
  <c r="AB625" i="3"/>
  <c r="AA625" i="3"/>
  <c r="AB624" i="3"/>
  <c r="AA624" i="3"/>
  <c r="AB623" i="3"/>
  <c r="AA623" i="3"/>
  <c r="AB622" i="3"/>
  <c r="AA622" i="3"/>
  <c r="AB621" i="3"/>
  <c r="AA621" i="3"/>
  <c r="AB620" i="3"/>
  <c r="AA620" i="3"/>
  <c r="AB619" i="3"/>
  <c r="AA619" i="3"/>
  <c r="AB618" i="3"/>
  <c r="AA618" i="3"/>
  <c r="AB617" i="3"/>
  <c r="AA617" i="3"/>
  <c r="AB616" i="3"/>
  <c r="AA616" i="3"/>
  <c r="AB615" i="3"/>
  <c r="AA615" i="3"/>
  <c r="AB614" i="3"/>
  <c r="AA614" i="3"/>
  <c r="AB613" i="3"/>
  <c r="AA613" i="3"/>
  <c r="AB612" i="3"/>
  <c r="AA612" i="3"/>
  <c r="AB611" i="3"/>
  <c r="AA611" i="3"/>
  <c r="AB610" i="3"/>
  <c r="AA610" i="3"/>
  <c r="AB609" i="3"/>
  <c r="AA609" i="3"/>
  <c r="AB608" i="3"/>
  <c r="AA608" i="3"/>
  <c r="AB607" i="3"/>
  <c r="AA607" i="3"/>
  <c r="AB606" i="3"/>
  <c r="AA606" i="3"/>
  <c r="AB605" i="3"/>
  <c r="AA605" i="3"/>
  <c r="AB604" i="3"/>
  <c r="AA604" i="3"/>
  <c r="AB603" i="3"/>
  <c r="AA603" i="3"/>
  <c r="AB602" i="3"/>
  <c r="AA602" i="3"/>
  <c r="AB601" i="3"/>
  <c r="AA601" i="3"/>
  <c r="AB600" i="3"/>
  <c r="AA600" i="3"/>
  <c r="AB599" i="3"/>
  <c r="AA599" i="3"/>
  <c r="AB598" i="3"/>
  <c r="AA598" i="3"/>
  <c r="AB597" i="3"/>
  <c r="AA597" i="3"/>
  <c r="AB596" i="3"/>
  <c r="AA596" i="3"/>
  <c r="AB595" i="3"/>
  <c r="AA595" i="3"/>
  <c r="AB594" i="3"/>
  <c r="AA594" i="3"/>
  <c r="AB593" i="3"/>
  <c r="AA593" i="3"/>
  <c r="AB592" i="3"/>
  <c r="AA592" i="3"/>
  <c r="AB591" i="3"/>
  <c r="AA591" i="3"/>
  <c r="AB590" i="3"/>
  <c r="AA590" i="3"/>
  <c r="AB589" i="3"/>
  <c r="AA589" i="3"/>
  <c r="AB588" i="3"/>
  <c r="AA588" i="3"/>
  <c r="AB587" i="3"/>
  <c r="AA587" i="3"/>
  <c r="AB586" i="3"/>
  <c r="AA586" i="3"/>
  <c r="AB585" i="3"/>
  <c r="AA585" i="3"/>
  <c r="AB584" i="3"/>
  <c r="AA584" i="3"/>
  <c r="AB583" i="3"/>
  <c r="AA583" i="3"/>
  <c r="AB582" i="3"/>
  <c r="AA582" i="3"/>
  <c r="AB581" i="3"/>
  <c r="AA581" i="3"/>
  <c r="AB580" i="3"/>
  <c r="AA580" i="3"/>
  <c r="AB579" i="3"/>
  <c r="AA579" i="3"/>
  <c r="AB578" i="3"/>
  <c r="AA578" i="3"/>
  <c r="AB577" i="3"/>
  <c r="AA577" i="3"/>
  <c r="AB576" i="3"/>
  <c r="AA576" i="3"/>
  <c r="AB575" i="3"/>
  <c r="AA575" i="3"/>
  <c r="AB574" i="3"/>
  <c r="AA574" i="3"/>
  <c r="AB573" i="3"/>
  <c r="AA573" i="3"/>
  <c r="AB572" i="3"/>
  <c r="AA572" i="3"/>
  <c r="AB571" i="3"/>
  <c r="AA571" i="3"/>
  <c r="AB570" i="3"/>
  <c r="AA570" i="3"/>
  <c r="AB569" i="3"/>
  <c r="AA569" i="3"/>
  <c r="AB568" i="3"/>
  <c r="AA568" i="3"/>
  <c r="AB567" i="3"/>
  <c r="AA567" i="3"/>
  <c r="AB566" i="3"/>
  <c r="AA566" i="3"/>
  <c r="AB565" i="3"/>
  <c r="AA565" i="3"/>
  <c r="AB564" i="3"/>
  <c r="AA564" i="3"/>
  <c r="AB563" i="3"/>
  <c r="AA563" i="3"/>
  <c r="AB562" i="3"/>
  <c r="AA562" i="3"/>
  <c r="AB561" i="3"/>
  <c r="AA561" i="3"/>
  <c r="AB560" i="3"/>
  <c r="AA560" i="3"/>
  <c r="AB559" i="3"/>
  <c r="AA559" i="3"/>
  <c r="AB558" i="3"/>
  <c r="AA558" i="3"/>
  <c r="AB557" i="3"/>
  <c r="AA557" i="3"/>
  <c r="AB556" i="3"/>
  <c r="AA556" i="3"/>
  <c r="AB555" i="3"/>
  <c r="AA555" i="3"/>
  <c r="AB554" i="3"/>
  <c r="AA554" i="3"/>
  <c r="AB553" i="3"/>
  <c r="AA553" i="3"/>
  <c r="AB552" i="3"/>
  <c r="AA552" i="3"/>
  <c r="AB551" i="3"/>
  <c r="AA551" i="3"/>
  <c r="AB550" i="3"/>
  <c r="AA550" i="3"/>
  <c r="AB549" i="3"/>
  <c r="AA549" i="3"/>
  <c r="AB548" i="3"/>
  <c r="AA548" i="3"/>
  <c r="AB547" i="3"/>
  <c r="AA547" i="3"/>
  <c r="AB546" i="3"/>
  <c r="AA546" i="3"/>
  <c r="AB545" i="3"/>
  <c r="AA545" i="3"/>
  <c r="AB544" i="3"/>
  <c r="AA544" i="3"/>
  <c r="AB543" i="3"/>
  <c r="AA543" i="3"/>
  <c r="AB542" i="3"/>
  <c r="AA542" i="3"/>
  <c r="AB541" i="3"/>
  <c r="AA541" i="3"/>
  <c r="AB540" i="3"/>
  <c r="AA540" i="3"/>
  <c r="AB539" i="3"/>
  <c r="AA539" i="3"/>
  <c r="AB538" i="3"/>
  <c r="AA538" i="3"/>
  <c r="AB537" i="3"/>
  <c r="AA537" i="3"/>
  <c r="AB536" i="3"/>
  <c r="AA536" i="3"/>
  <c r="AB535" i="3"/>
  <c r="AA535" i="3"/>
  <c r="AB534" i="3"/>
  <c r="AA534" i="3"/>
  <c r="AB533" i="3"/>
  <c r="AA533" i="3"/>
  <c r="AB532" i="3"/>
  <c r="AA532" i="3"/>
  <c r="AB531" i="3"/>
  <c r="AA531" i="3"/>
  <c r="AB530" i="3"/>
  <c r="AA530" i="3"/>
  <c r="AB529" i="3"/>
  <c r="AA529" i="3"/>
  <c r="AB528" i="3"/>
  <c r="AA528" i="3"/>
  <c r="AB527" i="3"/>
  <c r="AA527" i="3"/>
  <c r="AB526" i="3"/>
  <c r="AA526" i="3"/>
  <c r="AB525" i="3"/>
  <c r="AA525" i="3"/>
  <c r="AB524" i="3"/>
  <c r="AA524" i="3"/>
  <c r="AB523" i="3"/>
  <c r="AA523" i="3"/>
  <c r="AB522" i="3"/>
  <c r="AA522" i="3"/>
  <c r="AB521" i="3"/>
  <c r="AA521" i="3"/>
  <c r="AB520" i="3"/>
  <c r="AA520" i="3"/>
  <c r="AB519" i="3"/>
  <c r="AA519" i="3"/>
  <c r="AB518" i="3"/>
  <c r="AA518" i="3"/>
  <c r="AB517" i="3"/>
  <c r="AA517" i="3"/>
  <c r="AB516" i="3"/>
  <c r="AA516" i="3"/>
  <c r="AB515" i="3"/>
  <c r="AA515" i="3"/>
  <c r="AB514" i="3"/>
  <c r="AA514" i="3"/>
  <c r="AB513" i="3"/>
  <c r="AA513" i="3"/>
  <c r="AB512" i="3"/>
  <c r="AA512" i="3"/>
  <c r="AB511" i="3"/>
  <c r="AA511" i="3"/>
  <c r="AB510" i="3"/>
  <c r="AA510" i="3"/>
  <c r="AB509" i="3"/>
  <c r="AA509" i="3"/>
  <c r="AB508" i="3"/>
  <c r="AA508" i="3"/>
  <c r="AB507" i="3"/>
  <c r="AA507" i="3"/>
  <c r="AB506" i="3"/>
  <c r="AA506" i="3"/>
  <c r="AB505" i="3"/>
  <c r="AA505" i="3"/>
  <c r="AB504" i="3"/>
  <c r="AA504" i="3"/>
  <c r="AB503" i="3"/>
  <c r="AA503" i="3"/>
  <c r="AB502" i="3"/>
  <c r="AA502" i="3"/>
  <c r="AB501" i="3"/>
  <c r="AA501" i="3"/>
  <c r="AB500" i="3"/>
  <c r="AA500" i="3"/>
  <c r="AB499" i="3"/>
  <c r="AA499" i="3"/>
  <c r="AB498" i="3"/>
  <c r="AA498" i="3"/>
  <c r="AB497" i="3"/>
  <c r="AA497" i="3"/>
  <c r="AB496" i="3"/>
  <c r="AA496" i="3"/>
  <c r="AB495" i="3"/>
  <c r="AA495" i="3"/>
  <c r="AB494" i="3"/>
  <c r="AA494" i="3"/>
  <c r="AB493" i="3"/>
  <c r="AA493" i="3"/>
  <c r="AB492" i="3"/>
  <c r="AA492" i="3"/>
  <c r="AB491" i="3"/>
  <c r="AA491" i="3"/>
  <c r="AB490" i="3"/>
  <c r="AA490" i="3"/>
  <c r="AB489" i="3"/>
  <c r="AA489" i="3"/>
  <c r="AB488" i="3"/>
  <c r="AA488" i="3"/>
  <c r="AB487" i="3"/>
  <c r="AA487" i="3"/>
  <c r="AB486" i="3"/>
  <c r="AA486" i="3"/>
  <c r="AB485" i="3"/>
  <c r="AA485" i="3"/>
  <c r="AB484" i="3"/>
  <c r="AA484" i="3"/>
  <c r="AB483" i="3"/>
  <c r="AA483" i="3"/>
  <c r="AB482" i="3"/>
  <c r="AA482" i="3"/>
  <c r="AB481" i="3"/>
  <c r="AA481" i="3"/>
  <c r="AB480" i="3"/>
  <c r="AA480" i="3"/>
  <c r="AB479" i="3"/>
  <c r="AA479" i="3"/>
  <c r="AB478" i="3"/>
  <c r="AA478" i="3"/>
  <c r="AB477" i="3"/>
  <c r="AA477" i="3"/>
  <c r="AB476" i="3"/>
  <c r="AA476" i="3"/>
  <c r="AB475" i="3"/>
  <c r="AA475" i="3"/>
  <c r="AB474" i="3"/>
  <c r="AA474" i="3"/>
  <c r="AB473" i="3"/>
  <c r="AA473" i="3"/>
  <c r="AB472" i="3"/>
  <c r="AA472" i="3"/>
  <c r="AB471" i="3"/>
  <c r="AA471" i="3"/>
  <c r="AB470" i="3"/>
  <c r="AA470" i="3"/>
  <c r="AB469" i="3"/>
  <c r="AA469" i="3"/>
  <c r="AB468" i="3"/>
  <c r="AA468" i="3"/>
  <c r="AB467" i="3"/>
  <c r="AA467" i="3"/>
  <c r="AB466" i="3"/>
  <c r="AA466" i="3"/>
  <c r="AB465" i="3"/>
  <c r="AA465" i="3"/>
  <c r="AB464" i="3"/>
  <c r="AA464" i="3"/>
  <c r="AB463" i="3"/>
  <c r="AA463" i="3"/>
  <c r="AB462" i="3"/>
  <c r="AA462" i="3"/>
  <c r="AB461" i="3"/>
  <c r="AA461" i="3"/>
  <c r="AB460" i="3"/>
  <c r="AA460" i="3"/>
  <c r="AB459" i="3"/>
  <c r="AA459" i="3"/>
  <c r="AB458" i="3"/>
  <c r="AA458" i="3"/>
  <c r="AB457" i="3"/>
  <c r="AA457" i="3"/>
  <c r="AB456" i="3"/>
  <c r="AA456" i="3"/>
  <c r="AB455" i="3"/>
  <c r="AA455" i="3"/>
  <c r="AB454" i="3"/>
  <c r="AA454" i="3"/>
  <c r="AB453" i="3"/>
  <c r="AA453" i="3"/>
  <c r="AB452" i="3"/>
  <c r="AA452" i="3"/>
  <c r="AB451" i="3"/>
  <c r="AA451" i="3"/>
  <c r="AB450" i="3"/>
  <c r="AA450" i="3"/>
  <c r="AB449" i="3"/>
  <c r="AA449" i="3"/>
  <c r="AB448" i="3"/>
  <c r="AA448" i="3"/>
  <c r="AB447" i="3"/>
  <c r="AA447" i="3"/>
  <c r="AB446" i="3"/>
  <c r="AA446" i="3"/>
  <c r="AB445" i="3"/>
  <c r="AA445" i="3"/>
  <c r="AB444" i="3"/>
  <c r="AA444" i="3"/>
  <c r="AB443" i="3"/>
  <c r="AA443" i="3"/>
  <c r="AB442" i="3"/>
  <c r="AA442" i="3"/>
  <c r="AB441" i="3"/>
  <c r="AA441" i="3"/>
  <c r="AB440" i="3"/>
  <c r="AA440" i="3"/>
  <c r="AB439" i="3"/>
  <c r="AA439" i="3"/>
  <c r="AB438" i="3"/>
  <c r="AA438" i="3"/>
  <c r="AB437" i="3"/>
  <c r="AA437" i="3"/>
  <c r="AB436" i="3"/>
  <c r="AA436" i="3"/>
  <c r="AB435" i="3"/>
  <c r="AA435" i="3"/>
  <c r="AB434" i="3"/>
  <c r="AA434" i="3"/>
  <c r="AB433" i="3"/>
  <c r="AA433" i="3"/>
  <c r="AB432" i="3"/>
  <c r="AA432" i="3"/>
  <c r="AB431" i="3"/>
  <c r="AA431" i="3"/>
  <c r="AB430" i="3"/>
  <c r="AA430" i="3"/>
  <c r="AB429" i="3"/>
  <c r="AA429" i="3"/>
  <c r="AB428" i="3"/>
  <c r="AA428" i="3"/>
  <c r="AB427" i="3"/>
  <c r="AA427" i="3"/>
  <c r="AB426" i="3"/>
  <c r="AA426" i="3"/>
  <c r="AB425" i="3"/>
  <c r="AA425" i="3"/>
  <c r="AB424" i="3"/>
  <c r="AA424" i="3"/>
  <c r="AB423" i="3"/>
  <c r="AA423" i="3"/>
  <c r="AB422" i="3"/>
  <c r="AA422" i="3"/>
  <c r="AB421" i="3"/>
  <c r="AA421" i="3"/>
  <c r="AB420" i="3"/>
  <c r="AA420" i="3"/>
  <c r="AB419" i="3"/>
  <c r="AA419" i="3"/>
  <c r="AB418" i="3"/>
  <c r="AA418" i="3"/>
  <c r="AB417" i="3"/>
  <c r="AA417" i="3"/>
  <c r="AB416" i="3"/>
  <c r="AA416" i="3"/>
  <c r="AB415" i="3"/>
  <c r="AA415" i="3"/>
  <c r="AB414" i="3"/>
  <c r="AA414" i="3"/>
  <c r="AB413" i="3"/>
  <c r="AA413" i="3"/>
  <c r="AB412" i="3"/>
  <c r="AA412" i="3"/>
  <c r="AB411" i="3"/>
  <c r="AA411" i="3"/>
  <c r="AB410" i="3"/>
  <c r="AA410" i="3"/>
  <c r="AB409" i="3"/>
  <c r="AA409" i="3"/>
  <c r="AB408" i="3"/>
  <c r="AA408" i="3"/>
  <c r="AB407" i="3"/>
  <c r="AA407" i="3"/>
  <c r="AB406" i="3"/>
  <c r="AA406" i="3"/>
  <c r="AB405" i="3"/>
  <c r="AA405" i="3"/>
  <c r="AB404" i="3"/>
  <c r="AA404" i="3"/>
  <c r="AB403" i="3"/>
  <c r="AA403" i="3"/>
  <c r="AB402" i="3"/>
  <c r="AA402" i="3"/>
  <c r="AB401" i="3"/>
  <c r="AA401" i="3"/>
  <c r="AB400" i="3"/>
  <c r="AA400" i="3"/>
  <c r="AB399" i="3"/>
  <c r="AA399" i="3"/>
  <c r="AB398" i="3"/>
  <c r="AA398" i="3"/>
  <c r="AB397" i="3"/>
  <c r="AA397" i="3"/>
  <c r="AB396" i="3"/>
  <c r="AA396" i="3"/>
  <c r="AB395" i="3"/>
  <c r="AA395" i="3"/>
  <c r="AB394" i="3"/>
  <c r="AA394" i="3"/>
  <c r="AB393" i="3"/>
  <c r="AA393" i="3"/>
  <c r="AB392" i="3"/>
  <c r="AA392" i="3"/>
  <c r="AB391" i="3"/>
  <c r="AA391" i="3"/>
  <c r="AB390" i="3"/>
  <c r="AA390" i="3"/>
  <c r="AB389" i="3"/>
  <c r="AA389" i="3"/>
  <c r="AB388" i="3"/>
  <c r="AA388" i="3"/>
  <c r="AB387" i="3"/>
  <c r="AA387" i="3"/>
  <c r="AB386" i="3"/>
  <c r="AA386" i="3"/>
  <c r="AB385" i="3"/>
  <c r="AA385" i="3"/>
  <c r="AB384" i="3"/>
  <c r="AA384" i="3"/>
  <c r="AB383" i="3"/>
  <c r="AA383" i="3"/>
  <c r="AB382" i="3"/>
  <c r="AA382" i="3"/>
  <c r="AB381" i="3"/>
  <c r="AA381" i="3"/>
  <c r="AB380" i="3"/>
  <c r="AA380" i="3"/>
  <c r="AB379" i="3"/>
  <c r="AA379" i="3"/>
  <c r="AB378" i="3"/>
  <c r="AA378" i="3"/>
  <c r="AB377" i="3"/>
  <c r="AA377" i="3"/>
  <c r="AB376" i="3"/>
  <c r="AA376" i="3"/>
  <c r="AB375" i="3"/>
  <c r="AA375" i="3"/>
  <c r="AB374" i="3"/>
  <c r="AA374" i="3"/>
  <c r="AB373" i="3"/>
  <c r="AA373" i="3"/>
  <c r="AB372" i="3"/>
  <c r="AA372" i="3"/>
  <c r="AB371" i="3"/>
  <c r="AA371" i="3"/>
  <c r="AB370" i="3"/>
  <c r="AA370" i="3"/>
  <c r="AB369" i="3"/>
  <c r="AA369" i="3"/>
  <c r="AB368" i="3"/>
  <c r="AA368" i="3"/>
  <c r="AB367" i="3"/>
  <c r="AA367" i="3"/>
  <c r="AB366" i="3"/>
  <c r="AA366" i="3"/>
  <c r="AB365" i="3"/>
  <c r="AA365" i="3"/>
  <c r="AB364" i="3"/>
  <c r="AA364" i="3"/>
  <c r="AB363" i="3"/>
  <c r="AA363" i="3"/>
  <c r="AB362" i="3"/>
  <c r="AA362" i="3"/>
  <c r="AB361" i="3"/>
  <c r="AA361" i="3"/>
  <c r="AB360" i="3"/>
  <c r="AA360" i="3"/>
  <c r="AB359" i="3"/>
  <c r="AA359" i="3"/>
  <c r="AB358" i="3"/>
  <c r="AA358" i="3"/>
  <c r="AB357" i="3"/>
  <c r="AA357" i="3"/>
  <c r="AB356" i="3"/>
  <c r="AA356" i="3"/>
  <c r="AB355" i="3"/>
  <c r="AA355" i="3"/>
  <c r="AB354" i="3"/>
  <c r="AA354" i="3"/>
  <c r="AB353" i="3"/>
  <c r="AA353" i="3"/>
  <c r="AB352" i="3"/>
  <c r="AA352" i="3"/>
  <c r="AB351" i="3"/>
  <c r="AA351" i="3"/>
  <c r="AB350" i="3"/>
  <c r="AA350" i="3"/>
  <c r="AB349" i="3"/>
  <c r="AA349" i="3"/>
  <c r="AB348" i="3"/>
  <c r="AA348" i="3"/>
  <c r="AB347" i="3"/>
  <c r="AA347" i="3"/>
  <c r="AB346" i="3"/>
  <c r="AA346" i="3"/>
  <c r="AB345" i="3"/>
  <c r="AA345" i="3"/>
  <c r="AB344" i="3"/>
  <c r="AA344" i="3"/>
  <c r="AB343" i="3"/>
  <c r="AA343" i="3"/>
  <c r="AB342" i="3"/>
  <c r="AA342" i="3"/>
  <c r="AB341" i="3"/>
  <c r="AA341" i="3"/>
  <c r="AB340" i="3"/>
  <c r="AA340" i="3"/>
  <c r="AB339" i="3"/>
  <c r="AA339" i="3"/>
  <c r="AB338" i="3"/>
  <c r="AA338" i="3"/>
  <c r="AB337" i="3"/>
  <c r="AA337" i="3"/>
  <c r="AB336" i="3"/>
  <c r="AA336" i="3"/>
  <c r="AB335" i="3"/>
  <c r="AA335" i="3"/>
  <c r="AB334" i="3"/>
  <c r="AA334" i="3"/>
  <c r="AB333" i="3"/>
  <c r="AA333" i="3"/>
  <c r="AB332" i="3"/>
  <c r="AA332" i="3"/>
  <c r="AB331" i="3"/>
  <c r="AA331" i="3"/>
  <c r="AB330" i="3"/>
  <c r="AA330" i="3"/>
  <c r="AB329" i="3"/>
  <c r="AA329" i="3"/>
  <c r="AB328" i="3"/>
  <c r="AA328" i="3"/>
  <c r="AB327" i="3"/>
  <c r="AA327" i="3"/>
  <c r="AB326" i="3"/>
  <c r="AA326" i="3"/>
  <c r="AB325" i="3"/>
  <c r="AA325" i="3"/>
  <c r="AB324" i="3"/>
  <c r="AA324" i="3"/>
  <c r="AB323" i="3"/>
  <c r="AA323" i="3"/>
  <c r="AB322" i="3"/>
  <c r="AA322" i="3"/>
  <c r="AB321" i="3"/>
  <c r="AA321" i="3"/>
  <c r="AB320" i="3"/>
  <c r="AA320" i="3"/>
  <c r="AB319" i="3"/>
  <c r="AA319" i="3"/>
  <c r="AB318" i="3"/>
  <c r="AA318" i="3"/>
  <c r="AB317" i="3"/>
  <c r="AA317" i="3"/>
  <c r="AB316" i="3"/>
  <c r="AA316" i="3"/>
  <c r="AB315" i="3"/>
  <c r="AA315" i="3"/>
  <c r="AB314" i="3"/>
  <c r="AA314" i="3"/>
  <c r="AB313" i="3"/>
  <c r="AA313" i="3"/>
  <c r="AB312" i="3"/>
  <c r="AA312" i="3"/>
  <c r="AB311" i="3"/>
  <c r="AA311" i="3"/>
  <c r="AB310" i="3"/>
  <c r="AA310" i="3"/>
  <c r="AB309" i="3"/>
  <c r="AA309" i="3"/>
  <c r="AB308" i="3"/>
  <c r="AA308" i="3"/>
  <c r="AB307" i="3"/>
  <c r="AA307" i="3"/>
  <c r="AB306" i="3"/>
  <c r="AA306" i="3"/>
  <c r="AB305" i="3"/>
  <c r="AA305" i="3"/>
  <c r="AB304" i="3"/>
  <c r="AA304" i="3"/>
  <c r="AB303" i="3"/>
  <c r="AA303" i="3"/>
  <c r="AB302" i="3"/>
  <c r="AA302" i="3"/>
  <c r="AB301" i="3"/>
  <c r="AA301" i="3"/>
  <c r="AB300" i="3"/>
  <c r="AA300" i="3"/>
  <c r="AB299" i="3"/>
  <c r="AA299" i="3"/>
  <c r="AB298" i="3"/>
  <c r="AA298" i="3"/>
  <c r="AB297" i="3"/>
  <c r="AA297" i="3"/>
  <c r="AB296" i="3"/>
  <c r="AA296" i="3"/>
  <c r="AB295" i="3"/>
  <c r="AA295" i="3"/>
  <c r="AB294" i="3"/>
  <c r="AA294" i="3"/>
  <c r="AB293" i="3"/>
  <c r="AA293" i="3"/>
  <c r="AB292" i="3"/>
  <c r="AA292" i="3"/>
  <c r="AB291" i="3"/>
  <c r="AA291" i="3"/>
  <c r="AB290" i="3"/>
  <c r="AA290" i="3"/>
  <c r="AB289" i="3"/>
  <c r="AA289" i="3"/>
  <c r="AB288" i="3"/>
  <c r="AA288" i="3"/>
  <c r="AB287" i="3"/>
  <c r="AA287" i="3"/>
  <c r="AB286" i="3"/>
  <c r="AA286" i="3"/>
  <c r="AB285" i="3"/>
  <c r="AA285" i="3"/>
  <c r="AB284" i="3"/>
  <c r="AA284" i="3"/>
  <c r="AB283" i="3"/>
  <c r="AA283" i="3"/>
  <c r="AB282" i="3"/>
  <c r="AA282" i="3"/>
  <c r="AB281" i="3"/>
  <c r="AA281" i="3"/>
  <c r="AB280" i="3"/>
  <c r="AA280" i="3"/>
  <c r="AB279" i="3"/>
  <c r="AA279" i="3"/>
  <c r="AB278" i="3"/>
  <c r="AA278" i="3"/>
  <c r="AB277" i="3"/>
  <c r="AA277" i="3"/>
  <c r="AB276" i="3"/>
  <c r="AA276" i="3"/>
  <c r="AB275" i="3"/>
  <c r="AA275" i="3"/>
  <c r="AB274" i="3"/>
  <c r="AA274" i="3"/>
  <c r="AB273" i="3"/>
  <c r="AA273" i="3"/>
  <c r="AB272" i="3"/>
  <c r="AA272" i="3"/>
  <c r="AB271" i="3"/>
  <c r="AA271" i="3"/>
  <c r="AB270" i="3"/>
  <c r="AA270" i="3"/>
  <c r="AB269" i="3"/>
  <c r="AA269" i="3"/>
  <c r="AB268" i="3"/>
  <c r="AA268" i="3"/>
  <c r="AB267" i="3"/>
  <c r="AA267" i="3"/>
  <c r="AB266" i="3"/>
  <c r="AA266" i="3"/>
  <c r="AB265" i="3"/>
  <c r="AA265" i="3"/>
  <c r="AB264" i="3"/>
  <c r="AA264" i="3"/>
  <c r="AB263" i="3"/>
  <c r="AA263" i="3"/>
  <c r="AB262" i="3"/>
  <c r="AA262" i="3"/>
  <c r="AB261" i="3"/>
  <c r="AA261" i="3"/>
  <c r="AB260" i="3"/>
  <c r="AA260" i="3"/>
  <c r="AB259" i="3"/>
  <c r="AA259" i="3"/>
  <c r="AB258" i="3"/>
  <c r="AA258" i="3"/>
  <c r="AB257" i="3"/>
  <c r="AA257" i="3"/>
  <c r="AB256" i="3"/>
  <c r="AA256" i="3"/>
  <c r="AB255" i="3"/>
  <c r="AA255" i="3"/>
  <c r="AB254" i="3"/>
  <c r="AA254" i="3"/>
  <c r="AB253" i="3"/>
  <c r="AA253" i="3"/>
  <c r="AB252" i="3"/>
  <c r="AA252" i="3"/>
  <c r="AB251" i="3"/>
  <c r="AA251" i="3"/>
  <c r="AB250" i="3"/>
  <c r="AA250" i="3"/>
  <c r="AB249" i="3"/>
  <c r="AA249" i="3"/>
  <c r="AB248" i="3"/>
  <c r="AA248" i="3"/>
  <c r="AB247" i="3"/>
  <c r="AA247" i="3"/>
  <c r="AB246" i="3"/>
  <c r="AA246" i="3"/>
  <c r="AB245" i="3"/>
  <c r="AA245" i="3"/>
  <c r="AB244" i="3"/>
  <c r="AA244" i="3"/>
  <c r="AB243" i="3"/>
  <c r="AA243" i="3"/>
  <c r="AB242" i="3"/>
  <c r="AA242" i="3"/>
  <c r="AB241" i="3"/>
  <c r="AA241" i="3"/>
  <c r="AB240" i="3"/>
  <c r="AA240" i="3"/>
  <c r="AB239" i="3"/>
  <c r="AA239" i="3"/>
  <c r="AB238" i="3"/>
  <c r="AA238" i="3"/>
  <c r="AB237" i="3"/>
  <c r="AA237" i="3"/>
  <c r="AB236" i="3"/>
  <c r="AA236" i="3"/>
  <c r="AB235" i="3"/>
  <c r="AA235" i="3"/>
  <c r="AB234" i="3"/>
  <c r="AA234" i="3"/>
  <c r="AB233" i="3"/>
  <c r="AA233" i="3"/>
  <c r="AB232" i="3"/>
  <c r="AA232" i="3"/>
  <c r="AB231" i="3"/>
  <c r="AA231" i="3"/>
  <c r="AB230" i="3"/>
  <c r="AA230" i="3"/>
  <c r="AB229" i="3"/>
  <c r="AA229" i="3"/>
  <c r="AB228" i="3"/>
  <c r="AA228" i="3"/>
  <c r="AB227" i="3"/>
  <c r="AA227" i="3"/>
  <c r="AB226" i="3"/>
  <c r="AA226" i="3"/>
  <c r="AB225" i="3"/>
  <c r="AA225" i="3"/>
  <c r="AB224" i="3"/>
  <c r="AA224" i="3"/>
  <c r="AB223" i="3"/>
  <c r="AA223" i="3"/>
  <c r="AB222" i="3"/>
  <c r="AA222" i="3"/>
  <c r="AB221" i="3"/>
  <c r="AA221" i="3"/>
  <c r="AB220" i="3"/>
  <c r="AA220" i="3"/>
  <c r="AB219" i="3"/>
  <c r="AA219" i="3"/>
  <c r="AB218" i="3"/>
  <c r="AA218" i="3"/>
  <c r="AB217" i="3"/>
  <c r="AA217" i="3"/>
  <c r="AB216" i="3"/>
  <c r="AA216" i="3"/>
  <c r="AB215" i="3"/>
  <c r="AA215" i="3"/>
  <c r="AB214" i="3"/>
  <c r="AA214" i="3"/>
  <c r="AB213" i="3"/>
  <c r="AA213" i="3"/>
  <c r="AB212" i="3"/>
  <c r="AA212" i="3"/>
  <c r="AB211" i="3"/>
  <c r="AA211" i="3"/>
  <c r="AB210" i="3"/>
  <c r="AA210" i="3"/>
  <c r="AB209" i="3"/>
  <c r="AA209" i="3"/>
  <c r="AB208" i="3"/>
  <c r="AA208" i="3"/>
  <c r="AB207" i="3"/>
  <c r="AA207" i="3"/>
  <c r="AB206" i="3"/>
  <c r="AA206" i="3"/>
  <c r="AB205" i="3"/>
  <c r="AA205" i="3"/>
  <c r="AB204" i="3"/>
  <c r="AA204" i="3"/>
  <c r="AB203" i="3"/>
  <c r="AA203" i="3"/>
  <c r="AB202" i="3"/>
  <c r="AA202" i="3"/>
  <c r="AB201" i="3"/>
  <c r="AA201" i="3"/>
  <c r="AB200" i="3"/>
  <c r="AA200" i="3"/>
  <c r="AB199" i="3"/>
  <c r="AA199" i="3"/>
  <c r="AB198" i="3"/>
  <c r="AA198" i="3"/>
  <c r="AB197" i="3"/>
  <c r="AA197" i="3"/>
  <c r="AB196" i="3"/>
  <c r="AA196" i="3"/>
  <c r="AB195" i="3"/>
  <c r="AA195" i="3"/>
  <c r="AB194" i="3"/>
  <c r="AA194" i="3"/>
  <c r="AB193" i="3"/>
  <c r="AA193" i="3"/>
  <c r="AB192" i="3"/>
  <c r="AA192" i="3"/>
  <c r="AB191" i="3"/>
  <c r="AA191" i="3"/>
  <c r="AB190" i="3"/>
  <c r="AA190" i="3"/>
  <c r="AB189" i="3"/>
  <c r="AA189" i="3"/>
  <c r="AB188" i="3"/>
  <c r="AA188" i="3"/>
  <c r="AB187" i="3"/>
  <c r="AA187" i="3"/>
  <c r="AB186" i="3"/>
  <c r="AA186" i="3"/>
  <c r="AB185" i="3"/>
  <c r="AA185" i="3"/>
  <c r="AB184" i="3"/>
  <c r="AA184" i="3"/>
  <c r="AB183" i="3"/>
  <c r="AA183" i="3"/>
  <c r="AB182" i="3"/>
  <c r="AA182" i="3"/>
  <c r="AB181" i="3"/>
  <c r="AA181" i="3"/>
  <c r="AB180" i="3"/>
  <c r="AA180" i="3"/>
  <c r="AB179" i="3"/>
  <c r="AA179" i="3"/>
  <c r="AB178" i="3"/>
  <c r="AA178" i="3"/>
  <c r="AB177" i="3"/>
  <c r="AA177" i="3"/>
  <c r="AB176" i="3"/>
  <c r="AA176" i="3"/>
  <c r="AB175" i="3"/>
  <c r="AA175" i="3"/>
  <c r="AB174" i="3"/>
  <c r="AA174" i="3"/>
  <c r="AB173" i="3"/>
  <c r="AA173" i="3"/>
  <c r="AB172" i="3"/>
  <c r="AA172" i="3"/>
  <c r="AB171" i="3"/>
  <c r="AA171" i="3"/>
  <c r="AB170" i="3"/>
  <c r="AA170" i="3"/>
  <c r="AB169" i="3"/>
  <c r="AA169" i="3"/>
  <c r="AB168" i="3"/>
  <c r="AA168" i="3"/>
  <c r="AB167" i="3"/>
  <c r="AA167" i="3"/>
  <c r="AB166" i="3"/>
  <c r="AA166" i="3"/>
  <c r="AB165" i="3"/>
  <c r="AA165" i="3"/>
  <c r="AB164" i="3"/>
  <c r="AA164" i="3"/>
  <c r="AB163" i="3"/>
  <c r="AA163" i="3"/>
  <c r="AB162" i="3"/>
  <c r="AA162" i="3"/>
  <c r="AB161" i="3"/>
  <c r="AA161" i="3"/>
  <c r="AB160" i="3"/>
  <c r="AA160" i="3"/>
  <c r="AB159" i="3"/>
  <c r="AA159" i="3"/>
  <c r="AB158" i="3"/>
  <c r="AA158" i="3"/>
  <c r="AB157" i="3"/>
  <c r="AA157" i="3"/>
  <c r="AB156" i="3"/>
  <c r="AA156" i="3"/>
  <c r="AB155" i="3"/>
  <c r="AA155" i="3"/>
  <c r="AB154" i="3"/>
  <c r="AA154" i="3"/>
  <c r="AB153" i="3"/>
  <c r="AA153" i="3"/>
  <c r="AB152" i="3"/>
  <c r="AA152" i="3"/>
  <c r="AB151" i="3"/>
  <c r="AA151" i="3"/>
  <c r="AB150" i="3"/>
  <c r="AA150" i="3"/>
  <c r="AB149" i="3"/>
  <c r="AA149" i="3"/>
  <c r="AB148" i="3"/>
  <c r="AA148" i="3"/>
  <c r="AB147" i="3"/>
  <c r="AA147" i="3"/>
  <c r="AB146" i="3"/>
  <c r="AA146" i="3"/>
  <c r="AB145" i="3"/>
  <c r="AA145" i="3"/>
  <c r="AB144" i="3"/>
  <c r="AA144" i="3"/>
  <c r="AB143" i="3"/>
  <c r="AA143" i="3"/>
  <c r="AB142" i="3"/>
  <c r="AA142" i="3"/>
  <c r="AB141" i="3"/>
  <c r="AA141" i="3"/>
  <c r="AB140" i="3"/>
  <c r="AA140" i="3"/>
  <c r="AB139" i="3"/>
  <c r="AA139" i="3"/>
  <c r="AB138" i="3"/>
  <c r="AA138" i="3"/>
  <c r="AB137" i="3"/>
  <c r="AA137" i="3"/>
  <c r="AB136" i="3"/>
  <c r="AA136" i="3"/>
  <c r="AB135" i="3"/>
  <c r="AA135" i="3"/>
  <c r="AB134" i="3"/>
  <c r="AA134" i="3"/>
  <c r="AB133" i="3"/>
  <c r="AA133" i="3"/>
  <c r="AB132" i="3"/>
  <c r="AA132" i="3"/>
  <c r="AB131" i="3"/>
  <c r="AA131" i="3"/>
  <c r="AB130" i="3"/>
  <c r="AA130" i="3"/>
  <c r="AB129" i="3"/>
  <c r="AA129" i="3"/>
  <c r="AB128" i="3"/>
  <c r="AA128" i="3"/>
  <c r="AB127" i="3"/>
  <c r="AA127" i="3"/>
  <c r="AB126" i="3"/>
  <c r="AA126" i="3"/>
  <c r="AB125" i="3"/>
  <c r="AA125" i="3"/>
  <c r="AB124" i="3"/>
  <c r="AA124" i="3"/>
  <c r="AB123" i="3"/>
  <c r="AA123" i="3"/>
  <c r="AB122" i="3"/>
  <c r="AA122" i="3"/>
  <c r="AB121" i="3"/>
  <c r="AA121" i="3"/>
  <c r="AB120" i="3"/>
  <c r="AA120" i="3"/>
  <c r="AB119" i="3"/>
  <c r="AA119" i="3"/>
  <c r="AB118" i="3"/>
  <c r="AA118" i="3"/>
  <c r="AB117" i="3"/>
  <c r="AA117" i="3"/>
  <c r="AB116" i="3"/>
  <c r="AA116" i="3"/>
  <c r="AB115" i="3"/>
  <c r="AA115" i="3"/>
  <c r="AB114" i="3"/>
  <c r="AA114" i="3"/>
  <c r="AB113" i="3"/>
  <c r="AA113" i="3"/>
  <c r="AB112" i="3"/>
  <c r="AA112" i="3"/>
  <c r="AB111" i="3"/>
  <c r="AA111" i="3"/>
  <c r="AB110" i="3"/>
  <c r="AA110" i="3"/>
  <c r="AB109" i="3"/>
  <c r="AA109" i="3"/>
  <c r="AB108" i="3"/>
  <c r="AA108" i="3"/>
  <c r="AB107" i="3"/>
  <c r="AA107" i="3"/>
  <c r="AB106" i="3"/>
  <c r="AA106" i="3"/>
  <c r="AB105" i="3"/>
  <c r="AA105" i="3"/>
  <c r="AB104" i="3"/>
  <c r="AA104" i="3"/>
  <c r="AB103" i="3"/>
  <c r="AA103" i="3"/>
  <c r="AB102" i="3"/>
  <c r="AA102" i="3"/>
  <c r="AB101" i="3"/>
  <c r="AA101" i="3"/>
  <c r="AB100" i="3"/>
  <c r="AA100" i="3"/>
  <c r="AB99" i="3"/>
  <c r="AA99" i="3"/>
  <c r="AB98" i="3"/>
  <c r="AA98" i="3"/>
  <c r="AB97" i="3"/>
  <c r="AA97" i="3"/>
  <c r="AB96" i="3"/>
  <c r="AA96" i="3"/>
  <c r="AB95" i="3"/>
  <c r="AA95" i="3"/>
  <c r="AB94" i="3"/>
  <c r="AA94" i="3"/>
  <c r="AB93" i="3"/>
  <c r="AA93" i="3"/>
  <c r="AB92" i="3"/>
  <c r="AA92" i="3"/>
  <c r="AB91" i="3"/>
  <c r="AA91" i="3"/>
  <c r="AB90" i="3"/>
  <c r="AA90" i="3"/>
  <c r="AB89" i="3"/>
  <c r="AA89" i="3"/>
  <c r="AB88" i="3"/>
  <c r="AA88" i="3"/>
  <c r="AB87" i="3"/>
  <c r="AA87" i="3"/>
  <c r="AB86" i="3"/>
  <c r="AA86" i="3"/>
  <c r="AB85" i="3"/>
  <c r="AA85" i="3"/>
  <c r="AB84" i="3"/>
  <c r="AA84" i="3"/>
  <c r="AB83" i="3"/>
  <c r="AA83" i="3"/>
  <c r="AB82" i="3"/>
  <c r="AA82" i="3"/>
  <c r="AB81" i="3"/>
  <c r="AA81" i="3"/>
  <c r="AB80" i="3"/>
  <c r="AA80" i="3"/>
  <c r="AB79" i="3"/>
  <c r="AA79" i="3"/>
  <c r="AB78" i="3"/>
  <c r="AA78" i="3"/>
  <c r="AB77" i="3"/>
  <c r="AA77" i="3"/>
  <c r="AB76" i="3"/>
  <c r="AA76" i="3"/>
  <c r="AB75" i="3"/>
  <c r="AA75" i="3"/>
  <c r="AB74" i="3"/>
  <c r="AA74" i="3"/>
  <c r="AB73" i="3"/>
  <c r="AA73" i="3"/>
  <c r="AB72" i="3"/>
  <c r="AA72" i="3"/>
  <c r="AB71" i="3"/>
  <c r="AA71" i="3"/>
  <c r="AB70" i="3"/>
  <c r="AA70" i="3"/>
  <c r="AB69" i="3"/>
  <c r="AA69" i="3"/>
  <c r="AB68" i="3"/>
  <c r="AA68" i="3"/>
  <c r="AB67" i="3"/>
  <c r="AA67" i="3"/>
  <c r="AB66" i="3"/>
  <c r="AA66" i="3"/>
  <c r="AB65" i="3"/>
  <c r="AA65" i="3"/>
  <c r="AB64" i="3"/>
  <c r="AA64" i="3"/>
  <c r="AB63" i="3"/>
  <c r="AA63" i="3"/>
  <c r="AB62" i="3"/>
  <c r="AA62" i="3"/>
  <c r="AB61" i="3"/>
  <c r="AA61" i="3"/>
  <c r="AB60" i="3"/>
  <c r="AA60" i="3"/>
  <c r="AB59" i="3"/>
  <c r="AA59" i="3"/>
  <c r="AB58" i="3"/>
  <c r="AA58" i="3"/>
  <c r="AB57" i="3"/>
  <c r="AA57" i="3"/>
  <c r="AB56" i="3"/>
  <c r="AA56" i="3"/>
  <c r="AB55" i="3"/>
  <c r="AA55" i="3"/>
  <c r="AB54" i="3"/>
  <c r="AA54" i="3"/>
  <c r="AB53" i="3"/>
  <c r="AA53" i="3"/>
  <c r="AB52" i="3"/>
  <c r="AA52" i="3"/>
  <c r="AB51" i="3"/>
  <c r="AA51" i="3"/>
  <c r="AB50" i="3"/>
  <c r="AA50" i="3"/>
  <c r="AB49" i="3"/>
  <c r="AA49" i="3"/>
  <c r="AB48" i="3"/>
  <c r="AA48" i="3"/>
  <c r="AB47" i="3"/>
  <c r="AA47" i="3"/>
  <c r="AB46" i="3"/>
  <c r="AA46" i="3"/>
  <c r="AB45" i="3"/>
  <c r="AA45" i="3"/>
  <c r="AB44" i="3"/>
  <c r="AA44" i="3"/>
  <c r="AB43" i="3"/>
  <c r="AA43" i="3"/>
  <c r="AB42" i="3"/>
  <c r="AA42" i="3"/>
  <c r="AB41" i="3"/>
  <c r="AA41" i="3"/>
  <c r="AB40" i="3"/>
  <c r="AA40" i="3"/>
  <c r="AB39" i="3"/>
  <c r="AA39" i="3"/>
  <c r="AB38" i="3"/>
  <c r="AA38" i="3"/>
  <c r="AB37" i="3"/>
  <c r="AA37" i="3"/>
  <c r="AB36" i="3"/>
  <c r="AA36" i="3"/>
  <c r="AB35" i="3"/>
  <c r="AA35" i="3"/>
  <c r="AB34" i="3"/>
  <c r="AA34" i="3"/>
  <c r="AB33" i="3"/>
  <c r="AA33" i="3"/>
  <c r="AB32" i="3"/>
  <c r="AA32" i="3"/>
  <c r="AB31" i="3"/>
  <c r="AA31" i="3"/>
  <c r="AB30" i="3"/>
  <c r="AA30" i="3"/>
  <c r="AB29" i="3"/>
  <c r="AA29" i="3"/>
  <c r="AB28" i="3"/>
  <c r="AA28" i="3"/>
  <c r="AB27" i="3"/>
  <c r="AA27" i="3"/>
  <c r="AB26" i="3"/>
  <c r="AA26" i="3"/>
  <c r="AB25" i="3"/>
  <c r="AA25" i="3"/>
  <c r="AB24" i="3"/>
  <c r="AA24" i="3"/>
  <c r="AB23" i="3"/>
  <c r="AA23" i="3"/>
  <c r="AB22" i="3"/>
  <c r="AA22" i="3"/>
  <c r="AB21" i="3"/>
  <c r="AA21" i="3"/>
  <c r="AB20" i="3"/>
  <c r="AA20" i="3"/>
  <c r="AB19" i="3"/>
  <c r="AA19" i="3"/>
  <c r="AB18" i="3"/>
  <c r="AA18" i="3"/>
  <c r="AB17" i="3"/>
  <c r="AA17" i="3"/>
  <c r="AB16" i="3"/>
  <c r="AA16" i="3"/>
  <c r="AB15" i="3"/>
  <c r="AA15" i="3"/>
  <c r="AB14" i="3"/>
  <c r="AA14" i="3"/>
  <c r="AB13" i="3"/>
  <c r="AA13" i="3"/>
  <c r="AB12" i="3"/>
  <c r="AA12" i="3"/>
  <c r="AB11" i="3"/>
  <c r="AA11" i="3"/>
  <c r="AB10" i="3"/>
  <c r="AA10" i="3"/>
  <c r="AB9" i="3"/>
  <c r="AA9" i="3"/>
  <c r="AB8" i="3"/>
  <c r="AA8" i="3"/>
  <c r="AB7" i="3"/>
  <c r="AA7" i="3"/>
  <c r="AB6" i="3"/>
  <c r="AA6" i="3"/>
  <c r="AB5" i="3"/>
  <c r="AA5" i="3"/>
  <c r="AB4" i="3"/>
  <c r="AA4" i="3"/>
  <c r="AB3" i="3"/>
  <c r="AA3" i="3"/>
  <c r="AB2" i="3"/>
  <c r="AA2" i="3"/>
  <c r="AC2192" i="1"/>
  <c r="AB2192" i="1"/>
  <c r="AC2191" i="1"/>
  <c r="AB2191" i="1"/>
  <c r="AC2190" i="1"/>
  <c r="AB2190" i="1"/>
  <c r="AC2189" i="1"/>
  <c r="AB2189" i="1"/>
  <c r="AC2188" i="1"/>
  <c r="AB2188" i="1"/>
  <c r="AC2187" i="1"/>
  <c r="AB2187" i="1"/>
  <c r="AC2186" i="1"/>
  <c r="AB2186" i="1"/>
  <c r="AC2185" i="1"/>
  <c r="AB2185" i="1"/>
  <c r="AC2184" i="1"/>
  <c r="AB2184" i="1"/>
  <c r="AC2183" i="1"/>
  <c r="AB2183" i="1"/>
  <c r="AC2182" i="1"/>
  <c r="AB2182" i="1"/>
  <c r="AC2181" i="1"/>
  <c r="AB2181" i="1"/>
  <c r="AC2180" i="1"/>
  <c r="AB2180" i="1"/>
  <c r="AC2179" i="1"/>
  <c r="AB2179" i="1"/>
  <c r="AC2178" i="1"/>
  <c r="AB2178" i="1"/>
  <c r="AC2177" i="1"/>
  <c r="AB2177" i="1"/>
  <c r="AC2176" i="1"/>
  <c r="AB2176" i="1"/>
  <c r="AC2175" i="1"/>
  <c r="AB2175" i="1"/>
  <c r="AC2174" i="1"/>
  <c r="AB2174" i="1"/>
  <c r="AC2173" i="1"/>
  <c r="AB2173" i="1"/>
  <c r="AC2172" i="1"/>
  <c r="AB2172" i="1"/>
  <c r="AC2171" i="1"/>
  <c r="AB2171" i="1"/>
  <c r="AC2170" i="1"/>
  <c r="AB2170" i="1"/>
  <c r="AC2169" i="1"/>
  <c r="AB2169" i="1"/>
  <c r="AC2168" i="1"/>
  <c r="AB2168" i="1"/>
  <c r="AC2167" i="1"/>
  <c r="AB2167" i="1"/>
  <c r="AC2166" i="1"/>
  <c r="AB2166" i="1"/>
  <c r="AC2165" i="1"/>
  <c r="AB2165" i="1"/>
  <c r="AC2164" i="1"/>
  <c r="AB2164" i="1"/>
  <c r="AC2163" i="1"/>
  <c r="AB2163" i="1"/>
  <c r="AC2162" i="1"/>
  <c r="AB2162" i="1"/>
  <c r="AC2161" i="1"/>
  <c r="AB2161" i="1"/>
  <c r="AC2160" i="1"/>
  <c r="AB2160" i="1"/>
  <c r="AC2159" i="1"/>
  <c r="AB2159" i="1"/>
  <c r="AC2158" i="1"/>
  <c r="AB2158" i="1"/>
  <c r="AC2157" i="1"/>
  <c r="AB2157" i="1"/>
  <c r="AC2156" i="1"/>
  <c r="AB2156" i="1"/>
  <c r="AC2155" i="1"/>
  <c r="AB2155" i="1"/>
  <c r="AC2154" i="1"/>
  <c r="AB2154" i="1"/>
  <c r="AC2153" i="1"/>
  <c r="AB2153" i="1"/>
  <c r="AC2152" i="1"/>
  <c r="AB2152" i="1"/>
  <c r="AC2151" i="1"/>
  <c r="AB2151" i="1"/>
  <c r="AC2150" i="1"/>
  <c r="AB2150" i="1"/>
  <c r="AC2149" i="1"/>
  <c r="AB2149" i="1"/>
  <c r="AC2148" i="1"/>
  <c r="AB2148" i="1"/>
  <c r="AC2147" i="1"/>
  <c r="AB2147" i="1"/>
  <c r="AC2146" i="1"/>
  <c r="AB2146" i="1"/>
  <c r="AC2145" i="1"/>
  <c r="AB2145" i="1"/>
  <c r="AC2144" i="1"/>
  <c r="AB2144" i="1"/>
  <c r="AC2143" i="1"/>
  <c r="AB2143" i="1"/>
  <c r="AC2142" i="1"/>
  <c r="AB2142" i="1"/>
  <c r="AC2141" i="1"/>
  <c r="AB2141" i="1"/>
  <c r="AC2140" i="1"/>
  <c r="AB2140" i="1"/>
  <c r="AC2139" i="1"/>
  <c r="AB2139" i="1"/>
  <c r="AC2138" i="1"/>
  <c r="AB2138" i="1"/>
  <c r="AC2137" i="1"/>
  <c r="AB2137" i="1"/>
  <c r="AC2136" i="1"/>
  <c r="AB2136" i="1"/>
  <c r="AC2135" i="1"/>
  <c r="AB2135" i="1"/>
  <c r="AC2134" i="1"/>
  <c r="AB2134" i="1"/>
  <c r="AC2133" i="1"/>
  <c r="AB2133" i="1"/>
  <c r="AC2132" i="1"/>
  <c r="AB2132" i="1"/>
  <c r="AC2131" i="1"/>
  <c r="AB2131" i="1"/>
  <c r="AC2130" i="1"/>
  <c r="AB2130" i="1"/>
  <c r="AC2129" i="1"/>
  <c r="AB2129" i="1"/>
  <c r="AC2128" i="1"/>
  <c r="AB2128" i="1"/>
  <c r="AC2127" i="1"/>
  <c r="AB2127" i="1"/>
  <c r="AC2126" i="1"/>
  <c r="AB2126" i="1"/>
  <c r="AC2125" i="1"/>
  <c r="AB2125" i="1"/>
  <c r="AC2124" i="1"/>
  <c r="AB2124" i="1"/>
  <c r="AC2123" i="1"/>
  <c r="AB2123" i="1"/>
  <c r="AC2122" i="1"/>
  <c r="AB2122" i="1"/>
  <c r="AC2121" i="1"/>
  <c r="AB2121" i="1"/>
  <c r="AC2120" i="1"/>
  <c r="AB2120" i="1"/>
  <c r="AC2119" i="1"/>
  <c r="AB2119" i="1"/>
  <c r="AC2118" i="1"/>
  <c r="AB2118" i="1"/>
  <c r="AC2117" i="1"/>
  <c r="AB2117" i="1"/>
  <c r="AC2116" i="1"/>
  <c r="AB2116" i="1"/>
  <c r="AC2115" i="1"/>
  <c r="AB2115" i="1"/>
  <c r="AC2114" i="1"/>
  <c r="AB2114" i="1"/>
  <c r="AC2113" i="1"/>
  <c r="AB2113" i="1"/>
  <c r="AC2112" i="1"/>
  <c r="AB2112" i="1"/>
  <c r="AC2111" i="1"/>
  <c r="AB2111" i="1"/>
  <c r="AC2110" i="1"/>
  <c r="AB2110" i="1"/>
  <c r="AC2109" i="1"/>
  <c r="AB2109" i="1"/>
  <c r="AC2108" i="1"/>
  <c r="AB2108" i="1"/>
  <c r="AC2107" i="1"/>
  <c r="AB2107" i="1"/>
  <c r="AC2106" i="1"/>
  <c r="AB2106" i="1"/>
  <c r="AC2105" i="1"/>
  <c r="AB2105" i="1"/>
  <c r="AC2104" i="1"/>
  <c r="AB2104" i="1"/>
  <c r="AC2103" i="1"/>
  <c r="AB2103" i="1"/>
  <c r="AC2102" i="1"/>
  <c r="AB2102" i="1"/>
  <c r="AC2101" i="1"/>
  <c r="AB2101" i="1"/>
  <c r="AC2100" i="1"/>
  <c r="AB2100" i="1"/>
  <c r="AC2099" i="1"/>
  <c r="AB2099" i="1"/>
  <c r="AC2098" i="1"/>
  <c r="AB2098" i="1"/>
  <c r="AC2097" i="1"/>
  <c r="AB2097" i="1"/>
  <c r="AC2096" i="1"/>
  <c r="AB2096" i="1"/>
  <c r="AC2095" i="1"/>
  <c r="AB2095" i="1"/>
  <c r="AC2094" i="1"/>
  <c r="AB2094" i="1"/>
  <c r="AC2093" i="1"/>
  <c r="AB2093" i="1"/>
  <c r="AC2092" i="1"/>
  <c r="AB2092" i="1"/>
  <c r="AC2091" i="1"/>
  <c r="AB2091" i="1"/>
  <c r="AC2090" i="1"/>
  <c r="AB2090" i="1"/>
  <c r="AC2089" i="1"/>
  <c r="AB2089" i="1"/>
  <c r="AC2088" i="1"/>
  <c r="AB2088" i="1"/>
  <c r="AC2087" i="1"/>
  <c r="AB2087" i="1"/>
  <c r="AC2086" i="1"/>
  <c r="AB2086" i="1"/>
  <c r="AC2085" i="1"/>
  <c r="AB2085" i="1"/>
  <c r="AC2084" i="1"/>
  <c r="AB2084" i="1"/>
  <c r="AC2083" i="1"/>
  <c r="AB2083" i="1"/>
  <c r="AC2082" i="1"/>
  <c r="AB2082" i="1"/>
  <c r="AC2081" i="1"/>
  <c r="AB2081" i="1"/>
  <c r="AC2080" i="1"/>
  <c r="AB2080" i="1"/>
  <c r="AC2079" i="1"/>
  <c r="AB2079" i="1"/>
  <c r="AC2078" i="1"/>
  <c r="AB2078" i="1"/>
  <c r="AC2077" i="1"/>
  <c r="AB2077" i="1"/>
  <c r="AC2076" i="1"/>
  <c r="AB2076" i="1"/>
  <c r="AC2075" i="1"/>
  <c r="AB2075" i="1"/>
  <c r="AC2074" i="1"/>
  <c r="AB2074" i="1"/>
  <c r="AC2073" i="1"/>
  <c r="AB2073" i="1"/>
  <c r="AC2072" i="1"/>
  <c r="AB2072" i="1"/>
  <c r="AC2071" i="1"/>
  <c r="AB2071" i="1"/>
  <c r="AC2070" i="1"/>
  <c r="AB2070" i="1"/>
  <c r="AC2069" i="1"/>
  <c r="AB2069" i="1"/>
  <c r="AC2068" i="1"/>
  <c r="AB2068" i="1"/>
  <c r="AC2067" i="1"/>
  <c r="AB2067" i="1"/>
  <c r="AC2066" i="1"/>
  <c r="AB2066" i="1"/>
  <c r="AC2065" i="1"/>
  <c r="AB2065" i="1"/>
  <c r="AC2064" i="1"/>
  <c r="AB2064" i="1"/>
  <c r="AC2063" i="1"/>
  <c r="AB2063" i="1"/>
  <c r="AC2062" i="1"/>
  <c r="AB2062" i="1"/>
  <c r="AC2061" i="1"/>
  <c r="AB2061" i="1"/>
  <c r="AC2060" i="1"/>
  <c r="AB2060" i="1"/>
  <c r="AC2059" i="1"/>
  <c r="AB2059" i="1"/>
  <c r="AC2058" i="1"/>
  <c r="AB2058" i="1"/>
  <c r="AC2057" i="1"/>
  <c r="AB2057" i="1"/>
  <c r="AC2056" i="1"/>
  <c r="AB2056" i="1"/>
  <c r="AC2055" i="1"/>
  <c r="AB2055" i="1"/>
  <c r="AC2054" i="1"/>
  <c r="AB2054" i="1"/>
  <c r="AC2053" i="1"/>
  <c r="AB2053" i="1"/>
  <c r="AC2052" i="1"/>
  <c r="AB2052" i="1"/>
  <c r="AC2051" i="1"/>
  <c r="AB2051" i="1"/>
  <c r="AC2050" i="1"/>
  <c r="AB2050" i="1"/>
  <c r="AC2049" i="1"/>
  <c r="AB2049" i="1"/>
  <c r="AC2048" i="1"/>
  <c r="AB2048" i="1"/>
  <c r="AC2047" i="1"/>
  <c r="AB2047" i="1"/>
  <c r="AC2046" i="1"/>
  <c r="AB2046" i="1"/>
  <c r="AC2045" i="1"/>
  <c r="AB2045" i="1"/>
  <c r="AC2044" i="1"/>
  <c r="AB2044" i="1"/>
  <c r="AC2043" i="1"/>
  <c r="AB2043" i="1"/>
  <c r="AC2042" i="1"/>
  <c r="AB2042" i="1"/>
  <c r="AC2041" i="1"/>
  <c r="AB2041" i="1"/>
  <c r="AC2040" i="1"/>
  <c r="AB2040" i="1"/>
  <c r="AC2039" i="1"/>
  <c r="AB2039" i="1"/>
  <c r="AC2038" i="1"/>
  <c r="AB2038" i="1"/>
  <c r="AC2037" i="1"/>
  <c r="AB2037" i="1"/>
  <c r="AC2036" i="1"/>
  <c r="AB2036" i="1"/>
  <c r="AC2035" i="1"/>
  <c r="AB2035" i="1"/>
  <c r="AC2034" i="1"/>
  <c r="AB2034" i="1"/>
  <c r="AC2033" i="1"/>
  <c r="AB2033" i="1"/>
  <c r="AC2032" i="1"/>
  <c r="AB2032" i="1"/>
  <c r="AC2031" i="1"/>
  <c r="AB2031" i="1"/>
  <c r="AC2030" i="1"/>
  <c r="AB2030" i="1"/>
  <c r="AC2029" i="1"/>
  <c r="AB2029" i="1"/>
  <c r="AC2028" i="1"/>
  <c r="AB2028" i="1"/>
  <c r="AC2027" i="1"/>
  <c r="AB2027" i="1"/>
  <c r="AC2026" i="1"/>
  <c r="AB2026" i="1"/>
  <c r="AC2025" i="1"/>
  <c r="AB2025" i="1"/>
  <c r="AC2024" i="1"/>
  <c r="AB2024" i="1"/>
  <c r="AC2023" i="1"/>
  <c r="AB2023" i="1"/>
  <c r="AC2022" i="1"/>
  <c r="AB2022" i="1"/>
  <c r="AC2021" i="1"/>
  <c r="AB2021" i="1"/>
  <c r="AC2020" i="1"/>
  <c r="AB2020" i="1"/>
  <c r="AC2019" i="1"/>
  <c r="AB2019" i="1"/>
  <c r="AC2018" i="1"/>
  <c r="AB2018" i="1"/>
  <c r="AC2017" i="1"/>
  <c r="AB2017" i="1"/>
  <c r="AC2016" i="1"/>
  <c r="AB2016" i="1"/>
  <c r="AC2015" i="1"/>
  <c r="AB2015" i="1"/>
  <c r="AC2014" i="1"/>
  <c r="AB2014" i="1"/>
  <c r="AC2013" i="1"/>
  <c r="AB2013" i="1"/>
  <c r="AC2012" i="1"/>
  <c r="AB2012" i="1"/>
  <c r="AC2011" i="1"/>
  <c r="AB2011" i="1"/>
  <c r="AC2010" i="1"/>
  <c r="AB2010" i="1"/>
  <c r="AC2009" i="1"/>
  <c r="AB2009" i="1"/>
  <c r="AC2008" i="1"/>
  <c r="AB2008" i="1"/>
  <c r="AC2007" i="1"/>
  <c r="AB2007" i="1"/>
  <c r="AC2006" i="1"/>
  <c r="AB2006" i="1"/>
  <c r="AC2005" i="1"/>
  <c r="AB2005" i="1"/>
  <c r="AC2004" i="1"/>
  <c r="AB2004" i="1"/>
  <c r="AC2003" i="1"/>
  <c r="AB2003" i="1"/>
  <c r="AC2002" i="1"/>
  <c r="AB2002" i="1"/>
  <c r="AC2001" i="1"/>
  <c r="AB2001" i="1"/>
  <c r="AC2000" i="1"/>
  <c r="AB2000" i="1"/>
  <c r="AC1999" i="1"/>
  <c r="AB1999" i="1"/>
  <c r="AC1998" i="1"/>
  <c r="AB1998" i="1"/>
  <c r="AC1997" i="1"/>
  <c r="AB1997" i="1"/>
  <c r="AC1996" i="1"/>
  <c r="AB1996" i="1"/>
  <c r="AC1995" i="1"/>
  <c r="AB1995" i="1"/>
  <c r="AC1994" i="1"/>
  <c r="AB1994" i="1"/>
  <c r="AC1993" i="1"/>
  <c r="AB1993" i="1"/>
  <c r="AC1992" i="1"/>
  <c r="AB1992" i="1"/>
  <c r="AC1991" i="1"/>
  <c r="AB1991" i="1"/>
  <c r="AC1990" i="1"/>
  <c r="AB1990" i="1"/>
  <c r="AC1989" i="1"/>
  <c r="AB1989" i="1"/>
  <c r="AC1985" i="1"/>
  <c r="AB1985" i="1"/>
  <c r="AC1984" i="1"/>
  <c r="AB1984" i="1"/>
  <c r="AC1983" i="1"/>
  <c r="AB1983" i="1"/>
  <c r="AC1982" i="1"/>
  <c r="AB1982" i="1"/>
  <c r="AC1981" i="1"/>
  <c r="AB1981" i="1"/>
  <c r="AC1980" i="1"/>
  <c r="AB1980" i="1"/>
  <c r="AC1979" i="1"/>
  <c r="AB1979" i="1"/>
  <c r="AC1978" i="1"/>
  <c r="AB1978" i="1"/>
  <c r="AC1977" i="1"/>
  <c r="AB1977" i="1"/>
  <c r="AC1976" i="1"/>
  <c r="AB1976" i="1"/>
  <c r="AC1975" i="1"/>
  <c r="AB1975" i="1"/>
  <c r="AC1974" i="1"/>
  <c r="AB1974" i="1"/>
  <c r="AC1973" i="1"/>
  <c r="AB1973" i="1"/>
  <c r="AC1972" i="1"/>
  <c r="AB1972" i="1"/>
  <c r="AC1971" i="1"/>
  <c r="AB1971" i="1"/>
  <c r="AC1970" i="1"/>
  <c r="AB1970" i="1"/>
  <c r="AC1969" i="1"/>
  <c r="AB1969" i="1"/>
  <c r="AC1968" i="1"/>
  <c r="AB1968" i="1"/>
  <c r="AC1967" i="1"/>
  <c r="AB1967" i="1"/>
  <c r="AC1966" i="1"/>
  <c r="AB1966" i="1"/>
  <c r="AC1965" i="1"/>
  <c r="AB1965" i="1"/>
  <c r="AC1964" i="1"/>
  <c r="AB1964" i="1"/>
  <c r="AC1963" i="1"/>
  <c r="AB1963" i="1"/>
  <c r="AC1962" i="1"/>
  <c r="AB1962" i="1"/>
  <c r="AC1961" i="1"/>
  <c r="AB1961" i="1"/>
  <c r="AC1960" i="1"/>
  <c r="AB1960" i="1"/>
  <c r="AC1959" i="1"/>
  <c r="AB1959" i="1"/>
  <c r="AC1958" i="1"/>
  <c r="AB1958" i="1"/>
  <c r="AC1957" i="1"/>
  <c r="AB1957" i="1"/>
  <c r="AC1956" i="1"/>
  <c r="AB1956" i="1"/>
  <c r="AC1955" i="1"/>
  <c r="AB1955" i="1"/>
  <c r="AC1954" i="1"/>
  <c r="AB1954" i="1"/>
  <c r="AC1953" i="1"/>
  <c r="AB1953" i="1"/>
  <c r="AC1952" i="1"/>
  <c r="AB1952" i="1"/>
  <c r="AC1951" i="1"/>
  <c r="AB1951" i="1"/>
  <c r="AC1950" i="1"/>
  <c r="AB1950" i="1"/>
  <c r="AC1949" i="1"/>
  <c r="AB1949" i="1"/>
  <c r="AC1948" i="1"/>
  <c r="AB1948" i="1"/>
  <c r="AC1947" i="1"/>
  <c r="AB1947" i="1"/>
  <c r="AC1946" i="1"/>
  <c r="AB1946" i="1"/>
  <c r="AC1945" i="1"/>
  <c r="AB1945" i="1"/>
  <c r="AC1944" i="1"/>
  <c r="AB1944" i="1"/>
  <c r="AC1943" i="1"/>
  <c r="AB1943" i="1"/>
  <c r="AC1942" i="1"/>
  <c r="AB1942" i="1"/>
  <c r="AC1941" i="1"/>
  <c r="AB1941" i="1"/>
  <c r="AC1940" i="1"/>
  <c r="AB1940" i="1"/>
  <c r="AC1939" i="1"/>
  <c r="AB1939" i="1"/>
  <c r="AC1938" i="1"/>
  <c r="AB1938" i="1"/>
  <c r="AC1937" i="1"/>
  <c r="AB1937" i="1"/>
  <c r="AC1936" i="1"/>
  <c r="AB1936" i="1"/>
  <c r="AC1935" i="1"/>
  <c r="AB1935" i="1"/>
  <c r="AC1934" i="1"/>
  <c r="AB1934" i="1"/>
  <c r="AC1933" i="1"/>
  <c r="AB1933" i="1"/>
  <c r="AC1932" i="1"/>
  <c r="AB1932" i="1"/>
  <c r="AC1931" i="1"/>
  <c r="AB1931" i="1"/>
  <c r="AC1930" i="1"/>
  <c r="AB1930" i="1"/>
  <c r="AC1929" i="1"/>
  <c r="AB1929" i="1"/>
  <c r="AC1928" i="1"/>
  <c r="AB1928" i="1"/>
  <c r="AC1927" i="1"/>
  <c r="AB1927" i="1"/>
  <c r="AC1926" i="1"/>
  <c r="AB1926" i="1"/>
  <c r="AC1925" i="1"/>
  <c r="AB1925" i="1"/>
  <c r="AC1924" i="1"/>
  <c r="AB1924" i="1"/>
  <c r="AC1923" i="1"/>
  <c r="AB1923" i="1"/>
  <c r="AC1922" i="1"/>
  <c r="AB1922" i="1"/>
  <c r="AC1921" i="1"/>
  <c r="AB1921" i="1"/>
  <c r="AC1920" i="1"/>
  <c r="AB1920" i="1"/>
  <c r="AC1919" i="1"/>
  <c r="AB1919" i="1"/>
  <c r="AC1918" i="1"/>
  <c r="AB1918" i="1"/>
  <c r="AC1917" i="1"/>
  <c r="AB1917" i="1"/>
  <c r="AC1916" i="1"/>
  <c r="AB1916" i="1"/>
  <c r="AC1915" i="1"/>
  <c r="AB1915" i="1"/>
  <c r="AC1914" i="1"/>
  <c r="AB1914" i="1"/>
  <c r="AC1913" i="1"/>
  <c r="AB1913" i="1"/>
  <c r="AC1912" i="1"/>
  <c r="AB1912" i="1"/>
  <c r="AC1911" i="1"/>
  <c r="AB1911" i="1"/>
  <c r="AC1910" i="1"/>
  <c r="AB1910" i="1"/>
  <c r="AC1909" i="1"/>
  <c r="AB1909" i="1"/>
  <c r="AC1908" i="1"/>
  <c r="AB1908" i="1"/>
  <c r="AC1907" i="1"/>
  <c r="AB1907" i="1"/>
  <c r="AC1906" i="1"/>
  <c r="AB1906" i="1"/>
  <c r="AC1905" i="1"/>
  <c r="AB1905" i="1"/>
  <c r="AC1904" i="1"/>
  <c r="AB1904" i="1"/>
  <c r="AC1903" i="1"/>
  <c r="AB1903" i="1"/>
  <c r="AC1902" i="1"/>
  <c r="AB1902" i="1"/>
  <c r="AC1901" i="1"/>
  <c r="AB1901" i="1"/>
  <c r="AC1900" i="1"/>
  <c r="AB1900" i="1"/>
  <c r="AC1899" i="1"/>
  <c r="AB1899" i="1"/>
  <c r="AC1898" i="1"/>
  <c r="AB1898" i="1"/>
  <c r="AC1897" i="1"/>
  <c r="AB1897" i="1"/>
  <c r="AC1896" i="1"/>
  <c r="AB1896" i="1"/>
  <c r="AC1895" i="1"/>
  <c r="AB1895" i="1"/>
  <c r="AC1894" i="1"/>
  <c r="AB1894" i="1"/>
  <c r="AC1893" i="1"/>
  <c r="AB1893" i="1"/>
  <c r="AC1892" i="1"/>
  <c r="AB1892" i="1"/>
  <c r="AC1891" i="1"/>
  <c r="AB1891" i="1"/>
  <c r="AC1890" i="1"/>
  <c r="AB1890" i="1"/>
  <c r="AC1889" i="1"/>
  <c r="AB1889" i="1"/>
  <c r="AC1888" i="1"/>
  <c r="AB1888" i="1"/>
  <c r="AC1887" i="1"/>
  <c r="AB1887" i="1"/>
  <c r="AC1886" i="1"/>
  <c r="AB1886" i="1"/>
  <c r="AC1885" i="1"/>
  <c r="AB1885" i="1"/>
  <c r="AC1884" i="1"/>
  <c r="AB1884" i="1"/>
  <c r="AC1883" i="1"/>
  <c r="AB1883" i="1"/>
  <c r="AC1882" i="1"/>
  <c r="AB1882" i="1"/>
  <c r="AC1881" i="1"/>
  <c r="AB1881" i="1"/>
  <c r="AC1880" i="1"/>
  <c r="AB1880" i="1"/>
  <c r="AC1879" i="1"/>
  <c r="AB1879" i="1"/>
  <c r="AC1878" i="1"/>
  <c r="AB1878" i="1"/>
  <c r="AC1877" i="1"/>
  <c r="AB1877" i="1"/>
  <c r="AC1876" i="1"/>
  <c r="AB1876" i="1"/>
  <c r="AC1875" i="1"/>
  <c r="AB1875" i="1"/>
  <c r="AC1874" i="1"/>
  <c r="AB1874" i="1"/>
  <c r="AC1873" i="1"/>
  <c r="AB1873" i="1"/>
  <c r="AC1872" i="1"/>
  <c r="AB1872" i="1"/>
  <c r="AC1871" i="1"/>
  <c r="AB1871" i="1"/>
  <c r="AC1870" i="1"/>
  <c r="AB1870" i="1"/>
  <c r="AC1869" i="1"/>
  <c r="AB1869" i="1"/>
  <c r="AC1868" i="1"/>
  <c r="AB1868" i="1"/>
  <c r="AC1867" i="1"/>
  <c r="AB1867" i="1"/>
  <c r="AC1866" i="1"/>
  <c r="AB1866" i="1"/>
  <c r="AC1865" i="1"/>
  <c r="AB1865" i="1"/>
  <c r="AC1864" i="1"/>
  <c r="AB1864" i="1"/>
  <c r="AC1863" i="1"/>
  <c r="AB1863" i="1"/>
  <c r="AC1862" i="1"/>
  <c r="AB1862" i="1"/>
  <c r="AC1861" i="1"/>
  <c r="AB1861" i="1"/>
  <c r="AC1860" i="1"/>
  <c r="AB1860" i="1"/>
  <c r="AC1859" i="1"/>
  <c r="AB1859" i="1"/>
  <c r="AC1858" i="1"/>
  <c r="AB1858" i="1"/>
  <c r="AC1857" i="1"/>
  <c r="AB1857" i="1"/>
  <c r="AC1856" i="1"/>
  <c r="AB1856" i="1"/>
  <c r="AC1855" i="1"/>
  <c r="AB1855" i="1"/>
  <c r="AC1854" i="1"/>
  <c r="AB1854" i="1"/>
  <c r="AC1853" i="1"/>
  <c r="AB1853" i="1"/>
  <c r="AC1852" i="1"/>
  <c r="AB1852" i="1"/>
  <c r="AC1851" i="1"/>
  <c r="AB1851" i="1"/>
  <c r="AC1850" i="1"/>
  <c r="AB1850" i="1"/>
  <c r="AC1849" i="1"/>
  <c r="AB1849" i="1"/>
  <c r="AC1848" i="1"/>
  <c r="AB1848" i="1"/>
  <c r="AC1847" i="1"/>
  <c r="AB1847" i="1"/>
  <c r="AC1846" i="1"/>
  <c r="AB1846" i="1"/>
  <c r="AC1845" i="1"/>
  <c r="AB1845" i="1"/>
  <c r="AC1844" i="1"/>
  <c r="AB1844" i="1"/>
  <c r="AC1843" i="1"/>
  <c r="AB1843" i="1"/>
  <c r="AC1842" i="1"/>
  <c r="AB1842" i="1"/>
  <c r="AC1841" i="1"/>
  <c r="AB1841" i="1"/>
  <c r="AC1840" i="1"/>
  <c r="AB1840" i="1"/>
  <c r="AC1839" i="1"/>
  <c r="AB1839" i="1"/>
  <c r="AC1838" i="1"/>
  <c r="AB1838" i="1"/>
  <c r="AC1837" i="1"/>
  <c r="AB1837" i="1"/>
  <c r="AC1836" i="1"/>
  <c r="AB1836" i="1"/>
  <c r="AC1835" i="1"/>
  <c r="AB1835" i="1"/>
  <c r="AC1834" i="1"/>
  <c r="AB1834" i="1"/>
  <c r="AC1833" i="1"/>
  <c r="AB1833" i="1"/>
  <c r="AC1832" i="1"/>
  <c r="AB1832" i="1"/>
  <c r="AC1831" i="1"/>
  <c r="AB1831" i="1"/>
  <c r="AC1830" i="1"/>
  <c r="AB1830" i="1"/>
  <c r="AC1829" i="1"/>
  <c r="AB1829" i="1"/>
  <c r="AC1828" i="1"/>
  <c r="AB1828" i="1"/>
  <c r="AC1827" i="1"/>
  <c r="AB1827" i="1"/>
  <c r="AC1826" i="1"/>
  <c r="AB1826" i="1"/>
  <c r="AC1825" i="1"/>
  <c r="AB1825" i="1"/>
  <c r="AC1824" i="1"/>
  <c r="AB1824" i="1"/>
  <c r="AC1823" i="1"/>
  <c r="AB1823" i="1"/>
  <c r="AC1822" i="1"/>
  <c r="AB1822" i="1"/>
  <c r="AC1821" i="1"/>
  <c r="AB1821" i="1"/>
  <c r="AC1820" i="1"/>
  <c r="AB1820" i="1"/>
  <c r="AC1819" i="1"/>
  <c r="AB1819" i="1"/>
  <c r="AC1818" i="1"/>
  <c r="AB1818" i="1"/>
  <c r="AC1817" i="1"/>
  <c r="AB1817" i="1"/>
  <c r="AC1816" i="1"/>
  <c r="AB1816" i="1"/>
  <c r="AC1815" i="1"/>
  <c r="AB1815" i="1"/>
  <c r="AC1814" i="1"/>
  <c r="AB1814" i="1"/>
  <c r="AC1813" i="1"/>
  <c r="AB1813" i="1"/>
  <c r="AC1812" i="1"/>
  <c r="AB1812" i="1"/>
  <c r="AC1811" i="1"/>
  <c r="AB1811" i="1"/>
  <c r="AC1810" i="1"/>
  <c r="AB1810" i="1"/>
  <c r="AC1809" i="1"/>
  <c r="AB1809" i="1"/>
  <c r="AC1808" i="1"/>
  <c r="AB1808" i="1"/>
  <c r="AC1807" i="1"/>
  <c r="AB1807" i="1"/>
  <c r="AC1806" i="1"/>
  <c r="AB1806" i="1"/>
  <c r="AC1805" i="1"/>
  <c r="AB1805" i="1"/>
  <c r="AC1804" i="1"/>
  <c r="AB1804" i="1"/>
  <c r="AC1803" i="1"/>
  <c r="AB1803" i="1"/>
  <c r="AC1802" i="1"/>
  <c r="AB1802" i="1"/>
  <c r="AC1801" i="1"/>
  <c r="AB1801" i="1"/>
  <c r="AC1800" i="1"/>
  <c r="AB1800" i="1"/>
  <c r="AC1799" i="1"/>
  <c r="AB1799" i="1"/>
  <c r="AC1798" i="1"/>
  <c r="AB1798" i="1"/>
  <c r="AC1797" i="1"/>
  <c r="AB1797" i="1"/>
  <c r="AC1796" i="1"/>
  <c r="AB1796" i="1"/>
  <c r="AC1795" i="1"/>
  <c r="AB1795" i="1"/>
  <c r="AC1794" i="1"/>
  <c r="AB1794" i="1"/>
  <c r="AC1793" i="1"/>
  <c r="AB1793" i="1"/>
  <c r="AC1792" i="1"/>
  <c r="AB1792" i="1"/>
  <c r="AC1791" i="1"/>
  <c r="AB1791" i="1"/>
  <c r="AC1790" i="1"/>
  <c r="AB1790" i="1"/>
  <c r="AC1789" i="1"/>
  <c r="AB1789" i="1"/>
  <c r="AC1788" i="1"/>
  <c r="AB1788" i="1"/>
  <c r="AC1787" i="1"/>
  <c r="AB1787" i="1"/>
  <c r="AC1786" i="1"/>
  <c r="AB1786" i="1"/>
  <c r="AC1785" i="1"/>
  <c r="AB1785" i="1"/>
  <c r="AC1784" i="1"/>
  <c r="AB1784" i="1"/>
  <c r="AC1783" i="1"/>
  <c r="AB1783" i="1"/>
  <c r="AC1782" i="1"/>
  <c r="AB1782" i="1"/>
  <c r="AC1781" i="1"/>
  <c r="AB1781" i="1"/>
  <c r="AC1780" i="1"/>
  <c r="AB1780" i="1"/>
  <c r="AC1779" i="1"/>
  <c r="AB1779" i="1"/>
  <c r="AC1778" i="1"/>
  <c r="AB1778" i="1"/>
  <c r="AC1777" i="1"/>
  <c r="AB1777" i="1"/>
  <c r="AC1776" i="1"/>
  <c r="AB1776" i="1"/>
  <c r="AC1775" i="1"/>
  <c r="AB1775" i="1"/>
  <c r="AC1774" i="1"/>
  <c r="AB1774" i="1"/>
  <c r="AC1773" i="1"/>
  <c r="AB1773" i="1"/>
  <c r="AC1772" i="1"/>
  <c r="AB1772" i="1"/>
  <c r="AC1771" i="1"/>
  <c r="AB1771" i="1"/>
  <c r="AC1770" i="1"/>
  <c r="AB1770" i="1"/>
  <c r="AC1769" i="1"/>
  <c r="AB1769" i="1"/>
  <c r="AC1768" i="1"/>
  <c r="AB1768" i="1"/>
  <c r="AC1767" i="1"/>
  <c r="AB1767" i="1"/>
  <c r="AC1766" i="1"/>
  <c r="AB1766" i="1"/>
  <c r="AC1765" i="1"/>
  <c r="AB1765" i="1"/>
  <c r="AC1764" i="1"/>
  <c r="AB1764" i="1"/>
  <c r="AC1763" i="1"/>
  <c r="AB1763" i="1"/>
  <c r="AC1762" i="1"/>
  <c r="AB1762" i="1"/>
  <c r="AC1761" i="1"/>
  <c r="AB1761" i="1"/>
  <c r="AC1760" i="1"/>
  <c r="AB1760" i="1"/>
  <c r="AC1759" i="1"/>
  <c r="AB1759" i="1"/>
  <c r="AC1758" i="1"/>
  <c r="AB1758" i="1"/>
  <c r="AC1757" i="1"/>
  <c r="AB1757" i="1"/>
  <c r="AC1756" i="1"/>
  <c r="AB1756" i="1"/>
  <c r="AC1755" i="1"/>
  <c r="AB1755" i="1"/>
  <c r="AC1754" i="1"/>
  <c r="AB1754" i="1"/>
  <c r="AC1753" i="1"/>
  <c r="AB1753" i="1"/>
  <c r="AC1752" i="1"/>
  <c r="AB1752" i="1"/>
  <c r="AC1751" i="1"/>
  <c r="AB1751" i="1"/>
  <c r="AC1750" i="1"/>
  <c r="AB1750" i="1"/>
  <c r="AC1749" i="1"/>
  <c r="AB1749" i="1"/>
  <c r="AC1748" i="1"/>
  <c r="AB1748" i="1"/>
  <c r="AC1747" i="1"/>
  <c r="AB1747" i="1"/>
  <c r="AC1746" i="1"/>
  <c r="AB1746" i="1"/>
  <c r="AC1745" i="1"/>
  <c r="AB1745" i="1"/>
  <c r="AC1744" i="1"/>
  <c r="AB1744" i="1"/>
  <c r="AC1743" i="1"/>
  <c r="AB1743" i="1"/>
  <c r="AC1742" i="1"/>
  <c r="AB1742" i="1"/>
  <c r="AC1741" i="1"/>
  <c r="AB1741" i="1"/>
  <c r="AC1740" i="1"/>
  <c r="AB1740" i="1"/>
  <c r="AC1739" i="1"/>
  <c r="AB1739" i="1"/>
  <c r="AC1738" i="1"/>
  <c r="AB1738" i="1"/>
  <c r="AC1737" i="1"/>
  <c r="AB1737" i="1"/>
  <c r="AC1736" i="1"/>
  <c r="AB1736" i="1"/>
  <c r="AC1735" i="1"/>
  <c r="AB1735" i="1"/>
  <c r="AC1734" i="1"/>
  <c r="AB1734" i="1"/>
  <c r="AC1733" i="1"/>
  <c r="AB1733" i="1"/>
  <c r="AC1732" i="1"/>
  <c r="AB1732" i="1"/>
  <c r="AC1731" i="1"/>
  <c r="AB1731" i="1"/>
  <c r="AC1730" i="1"/>
  <c r="AB1730" i="1"/>
  <c r="AC1729" i="1"/>
  <c r="AB1729" i="1"/>
  <c r="AC1728" i="1"/>
  <c r="AB1728" i="1"/>
  <c r="AC1727" i="1"/>
  <c r="AB1727" i="1"/>
  <c r="AC1726" i="1"/>
  <c r="AB1726" i="1"/>
  <c r="AC1725" i="1"/>
  <c r="AB1725" i="1"/>
  <c r="AC1724" i="1"/>
  <c r="AB1724" i="1"/>
  <c r="AC1723" i="1"/>
  <c r="AB1723" i="1"/>
  <c r="AC1722" i="1"/>
  <c r="AB1722" i="1"/>
  <c r="AC1721" i="1"/>
  <c r="AB1721" i="1"/>
  <c r="AC1720" i="1"/>
  <c r="AB1720" i="1"/>
  <c r="AC1719" i="1"/>
  <c r="AB1719" i="1"/>
  <c r="AC1718" i="1"/>
  <c r="AB1718" i="1"/>
  <c r="AC1717" i="1"/>
  <c r="AB1717" i="1"/>
  <c r="AC1716" i="1"/>
  <c r="AB1716" i="1"/>
  <c r="AC1715" i="1"/>
  <c r="AB1715" i="1"/>
  <c r="AC1714" i="1"/>
  <c r="AB1714" i="1"/>
  <c r="AC1713" i="1"/>
  <c r="AB1713" i="1"/>
  <c r="AC1712" i="1"/>
  <c r="AB1712" i="1"/>
  <c r="AC1711" i="1"/>
  <c r="AB1711" i="1"/>
  <c r="AC1710" i="1"/>
  <c r="AB1710" i="1"/>
  <c r="AC1709" i="1"/>
  <c r="AB1709" i="1"/>
  <c r="AC1708" i="1"/>
  <c r="AB1708" i="1"/>
  <c r="AC1707" i="1"/>
  <c r="AB1707" i="1"/>
  <c r="AC1706" i="1"/>
  <c r="AB1706" i="1"/>
  <c r="AC1705" i="1"/>
  <c r="AB1705" i="1"/>
  <c r="AC1704" i="1"/>
  <c r="AB1704" i="1"/>
  <c r="AC1703" i="1"/>
  <c r="AB1703" i="1"/>
  <c r="AC1702" i="1"/>
  <c r="AB1702" i="1"/>
  <c r="AC1701" i="1"/>
  <c r="AB1701" i="1"/>
  <c r="AC1700" i="1"/>
  <c r="AB1700" i="1"/>
  <c r="AC1699" i="1"/>
  <c r="AB1699" i="1"/>
  <c r="AC1698" i="1"/>
  <c r="AB1698" i="1"/>
  <c r="AC1697" i="1"/>
  <c r="AB1697" i="1"/>
  <c r="AC1696" i="1"/>
  <c r="AB1696" i="1"/>
  <c r="AC1695" i="1"/>
  <c r="AB1695" i="1"/>
  <c r="AC1694" i="1"/>
  <c r="AB1694" i="1"/>
  <c r="AC1693" i="1"/>
  <c r="AB1693" i="1"/>
  <c r="AC1692" i="1"/>
  <c r="AB1692" i="1"/>
  <c r="AC1691" i="1"/>
  <c r="AB1691" i="1"/>
  <c r="AC1690" i="1"/>
  <c r="AB1690" i="1"/>
  <c r="AC1689" i="1"/>
  <c r="AB1689" i="1"/>
  <c r="AC1688" i="1"/>
  <c r="AB1688" i="1"/>
  <c r="AC1687" i="1"/>
  <c r="AB1687" i="1"/>
  <c r="AC1686" i="1"/>
  <c r="AB1686" i="1"/>
  <c r="AC1685" i="1"/>
  <c r="AB1685" i="1"/>
  <c r="AC1684" i="1"/>
  <c r="AB1684" i="1"/>
  <c r="AC1683" i="1"/>
  <c r="AB1683" i="1"/>
  <c r="AC1682" i="1"/>
  <c r="AB1682" i="1"/>
  <c r="AC1681" i="1"/>
  <c r="AB1681" i="1"/>
  <c r="AC1680" i="1"/>
  <c r="AB1680" i="1"/>
  <c r="AC1679" i="1"/>
  <c r="AB1679" i="1"/>
  <c r="AC1678" i="1"/>
  <c r="AB1678" i="1"/>
  <c r="AC1677" i="1"/>
  <c r="AB1677" i="1"/>
  <c r="AC1676" i="1"/>
  <c r="AB1676" i="1"/>
  <c r="AC1675" i="1"/>
  <c r="AB1675" i="1"/>
  <c r="AC1674" i="1"/>
  <c r="AB1674" i="1"/>
  <c r="AC1673" i="1"/>
  <c r="AB1673" i="1"/>
  <c r="AC1672" i="1"/>
  <c r="AB1672" i="1"/>
  <c r="AC1671" i="1"/>
  <c r="AB1671" i="1"/>
  <c r="AC1670" i="1"/>
  <c r="AB1670" i="1"/>
  <c r="AC1669" i="1"/>
  <c r="AB1669" i="1"/>
  <c r="AC1668" i="1"/>
  <c r="AB1668" i="1"/>
  <c r="AC1667" i="1"/>
  <c r="AB1667" i="1"/>
  <c r="AC1666" i="1"/>
  <c r="AB1666" i="1"/>
  <c r="AC1665" i="1"/>
  <c r="AB1665" i="1"/>
  <c r="AC1664" i="1"/>
  <c r="AB1664" i="1"/>
  <c r="AC1663" i="1"/>
  <c r="AB1663" i="1"/>
  <c r="AC1662" i="1"/>
  <c r="AB1662" i="1"/>
  <c r="AC1661" i="1"/>
  <c r="AB1661" i="1"/>
  <c r="AC1660" i="1"/>
  <c r="AB1660" i="1"/>
  <c r="AC1659" i="1"/>
  <c r="AB1659" i="1"/>
  <c r="AC1658" i="1"/>
  <c r="AB1658" i="1"/>
  <c r="AC1657" i="1"/>
  <c r="AB1657" i="1"/>
  <c r="AC1656" i="1"/>
  <c r="AB1656" i="1"/>
  <c r="AC1655" i="1"/>
  <c r="AB1655" i="1"/>
  <c r="AC1654" i="1"/>
  <c r="AB1654" i="1"/>
  <c r="AC1653" i="1"/>
  <c r="AB1653" i="1"/>
  <c r="AC1652" i="1"/>
  <c r="AB1652" i="1"/>
  <c r="AC1651" i="1"/>
  <c r="AB1651" i="1"/>
  <c r="AC1650" i="1"/>
  <c r="AB1650" i="1"/>
  <c r="AC1649" i="1"/>
  <c r="AB1649" i="1"/>
  <c r="AC1648" i="1"/>
  <c r="AB1648" i="1"/>
  <c r="AC1647" i="1"/>
  <c r="AB1647" i="1"/>
  <c r="AC1646" i="1"/>
  <c r="AB1646" i="1"/>
  <c r="AC1645" i="1"/>
  <c r="AB1645" i="1"/>
  <c r="AC1644" i="1"/>
  <c r="AB1644" i="1"/>
  <c r="AC1643" i="1"/>
  <c r="AB1643" i="1"/>
  <c r="AC1642" i="1"/>
  <c r="AB1642" i="1"/>
  <c r="AC1641" i="1"/>
  <c r="AB1641" i="1"/>
  <c r="AC1640" i="1"/>
  <c r="AB1640" i="1"/>
  <c r="AC1639" i="1"/>
  <c r="AB1639" i="1"/>
  <c r="AC1638" i="1"/>
  <c r="AB1638" i="1"/>
  <c r="AC1637" i="1"/>
  <c r="AB1637" i="1"/>
  <c r="AC1636" i="1"/>
  <c r="AB1636" i="1"/>
  <c r="AC1635" i="1"/>
  <c r="AB1635" i="1"/>
  <c r="AC1634" i="1"/>
  <c r="AB1634" i="1"/>
  <c r="AC1633" i="1"/>
  <c r="AB1633" i="1"/>
  <c r="AC1632" i="1"/>
  <c r="AB1632" i="1"/>
  <c r="AC1631" i="1"/>
  <c r="AB1631" i="1"/>
  <c r="AC1630" i="1"/>
  <c r="AB1630" i="1"/>
  <c r="AC1629" i="1"/>
  <c r="AB1629" i="1"/>
  <c r="AC1628" i="1"/>
  <c r="AB1628" i="1"/>
  <c r="AC1627" i="1"/>
  <c r="AB1627" i="1"/>
  <c r="AC1626" i="1"/>
  <c r="AB1626" i="1"/>
  <c r="AC1625" i="1"/>
  <c r="AB1625" i="1"/>
  <c r="AC1624" i="1"/>
  <c r="AB1624" i="1"/>
  <c r="AC1623" i="1"/>
  <c r="AB1623" i="1"/>
  <c r="AC1622" i="1"/>
  <c r="AB1622" i="1"/>
  <c r="AC1621" i="1"/>
  <c r="AB1621" i="1"/>
  <c r="AC1620" i="1"/>
  <c r="AB1620" i="1"/>
  <c r="AC1619" i="1"/>
  <c r="AB1619" i="1"/>
  <c r="AC1618" i="1"/>
  <c r="AB1618" i="1"/>
  <c r="AC1617" i="1"/>
  <c r="AB1617" i="1"/>
  <c r="AC1616" i="1"/>
  <c r="AB1616" i="1"/>
  <c r="AC1615" i="1"/>
  <c r="AB1615" i="1"/>
  <c r="AC1614" i="1"/>
  <c r="AB1614" i="1"/>
  <c r="AC1613" i="1"/>
  <c r="AB1613" i="1"/>
  <c r="AC1612" i="1"/>
  <c r="AB1612" i="1"/>
  <c r="AC1611" i="1"/>
  <c r="AB1611" i="1"/>
  <c r="AC1610" i="1"/>
  <c r="AB1610" i="1"/>
  <c r="AC1609" i="1"/>
  <c r="AB1609" i="1"/>
  <c r="AC1608" i="1"/>
  <c r="AB1608" i="1"/>
  <c r="AC1607" i="1"/>
  <c r="AB1607" i="1"/>
  <c r="AC1606" i="1"/>
  <c r="AB1606" i="1"/>
  <c r="AC1605" i="1"/>
  <c r="AB1605" i="1"/>
  <c r="AC1604" i="1"/>
  <c r="AB1604" i="1"/>
  <c r="AC1603" i="1"/>
  <c r="AB1603" i="1"/>
  <c r="AC1602" i="1"/>
  <c r="AB1602" i="1"/>
  <c r="AC1601" i="1"/>
  <c r="AB1601" i="1"/>
  <c r="AC1600" i="1"/>
  <c r="AB1600" i="1"/>
  <c r="AC1599" i="1"/>
  <c r="AB1599" i="1"/>
  <c r="AC1598" i="1"/>
  <c r="AB1598" i="1"/>
  <c r="AC1597" i="1"/>
  <c r="AB1597" i="1"/>
  <c r="AC1596" i="1"/>
  <c r="AB1596" i="1"/>
  <c r="AC1595" i="1"/>
  <c r="AB1595" i="1"/>
  <c r="AC1594" i="1"/>
  <c r="AB1594" i="1"/>
  <c r="AC1593" i="1"/>
  <c r="AB1593" i="1"/>
  <c r="AC1592" i="1"/>
  <c r="AB1592" i="1"/>
  <c r="AC1591" i="1"/>
  <c r="AB1591" i="1"/>
  <c r="AC1590" i="1"/>
  <c r="AB1590" i="1"/>
  <c r="AC1589" i="1"/>
  <c r="AB1589" i="1"/>
  <c r="AC1588" i="1"/>
  <c r="AB1588" i="1"/>
  <c r="AC1587" i="1"/>
  <c r="AB1587" i="1"/>
  <c r="AC1586" i="1"/>
  <c r="AB1586" i="1"/>
  <c r="AC1585" i="1"/>
  <c r="AB1585" i="1"/>
  <c r="AC1584" i="1"/>
  <c r="AB1584" i="1"/>
  <c r="AC1583" i="1"/>
  <c r="AB1583" i="1"/>
  <c r="AC1582" i="1"/>
  <c r="AB1582" i="1"/>
  <c r="AC1581" i="1"/>
  <c r="AB1581" i="1"/>
  <c r="AC1580" i="1"/>
  <c r="AB1580" i="1"/>
  <c r="AC1579" i="1"/>
  <c r="AB1579" i="1"/>
  <c r="AC1578" i="1"/>
  <c r="AB1578" i="1"/>
  <c r="AC1577" i="1"/>
  <c r="AB1577" i="1"/>
  <c r="AC1576" i="1"/>
  <c r="AB1576" i="1"/>
  <c r="AC1575" i="1"/>
  <c r="AB1575" i="1"/>
  <c r="AC1574" i="1"/>
  <c r="AB1574" i="1"/>
  <c r="AC1573" i="1"/>
  <c r="AB1573" i="1"/>
  <c r="AC1572" i="1"/>
  <c r="AB1572" i="1"/>
  <c r="AC1571" i="1"/>
  <c r="AB1571" i="1"/>
  <c r="AC1570" i="1"/>
  <c r="AB1570" i="1"/>
  <c r="AC1569" i="1"/>
  <c r="AB1569" i="1"/>
  <c r="AC1568" i="1"/>
  <c r="AB1568" i="1"/>
  <c r="AC1567" i="1"/>
  <c r="AB1567" i="1"/>
  <c r="AC1566" i="1"/>
  <c r="AB1566" i="1"/>
  <c r="AC1565" i="1"/>
  <c r="AB1565" i="1"/>
  <c r="AC1564" i="1"/>
  <c r="AB1564" i="1"/>
  <c r="AC1563" i="1"/>
  <c r="AB1563" i="1"/>
  <c r="AC1562" i="1"/>
  <c r="AB1562" i="1"/>
  <c r="AC1561" i="1"/>
  <c r="AB1561" i="1"/>
  <c r="AC1560" i="1"/>
  <c r="AB1560" i="1"/>
  <c r="AC1559" i="1"/>
  <c r="AB1559" i="1"/>
  <c r="AC1558" i="1"/>
  <c r="AB1558" i="1"/>
  <c r="AC1557" i="1"/>
  <c r="AB1557" i="1"/>
  <c r="AC1556" i="1"/>
  <c r="AB1556" i="1"/>
  <c r="AC1555" i="1"/>
  <c r="AB1555" i="1"/>
  <c r="AC1554" i="1"/>
  <c r="AB1554" i="1"/>
  <c r="AC1553" i="1"/>
  <c r="AB1553" i="1"/>
  <c r="AC1552" i="1"/>
  <c r="AB1552" i="1"/>
  <c r="AC1551" i="1"/>
  <c r="AB1551" i="1"/>
  <c r="AC1550" i="1"/>
  <c r="AB1550" i="1"/>
  <c r="AC1549" i="1"/>
  <c r="AB1549" i="1"/>
  <c r="AC1548" i="1"/>
  <c r="AB1548" i="1"/>
  <c r="AC1547" i="1"/>
  <c r="AB1547" i="1"/>
  <c r="AC1546" i="1"/>
  <c r="AB1546" i="1"/>
  <c r="AC1545" i="1"/>
  <c r="AB1545" i="1"/>
  <c r="AC1544" i="1"/>
  <c r="AB1544" i="1"/>
  <c r="AC1543" i="1"/>
  <c r="AB1543" i="1"/>
  <c r="AC1542" i="1"/>
  <c r="AB1542" i="1"/>
  <c r="AC1541" i="1"/>
  <c r="AB1541" i="1"/>
  <c r="AC1540" i="1"/>
  <c r="AB1540" i="1"/>
  <c r="AC1539" i="1"/>
  <c r="AB1539" i="1"/>
  <c r="AC1538" i="1"/>
  <c r="AB1538" i="1"/>
  <c r="AC1537" i="1"/>
  <c r="AB1537" i="1"/>
  <c r="AC1536" i="1"/>
  <c r="AB1536" i="1"/>
  <c r="AC1535" i="1"/>
  <c r="AB1535" i="1"/>
  <c r="AC1534" i="1"/>
  <c r="AB1534" i="1"/>
  <c r="AC1533" i="1"/>
  <c r="AB1533" i="1"/>
  <c r="AC1532" i="1"/>
  <c r="AB1532" i="1"/>
  <c r="AC1531" i="1"/>
  <c r="AB1531" i="1"/>
  <c r="AC1530" i="1"/>
  <c r="AB1530" i="1"/>
  <c r="AC1529" i="1"/>
  <c r="AB1529" i="1"/>
  <c r="AC1528" i="1"/>
  <c r="AB1528" i="1"/>
  <c r="AC1527" i="1"/>
  <c r="AB1527" i="1"/>
  <c r="AC1526" i="1"/>
  <c r="AB1526" i="1"/>
  <c r="AC1525" i="1"/>
  <c r="AB1525" i="1"/>
  <c r="AC1524" i="1"/>
  <c r="AB1524" i="1"/>
  <c r="AC1523" i="1"/>
  <c r="AB1523" i="1"/>
  <c r="AC1522" i="1"/>
  <c r="AB1522" i="1"/>
  <c r="AC1521" i="1"/>
  <c r="AB1521" i="1"/>
  <c r="AC1520" i="1"/>
  <c r="AB1520" i="1"/>
  <c r="AC1519" i="1"/>
  <c r="AB1519" i="1"/>
  <c r="AC1518" i="1"/>
  <c r="AB1518" i="1"/>
  <c r="AC1517" i="1"/>
  <c r="AB1517" i="1"/>
  <c r="AC1516" i="1"/>
  <c r="AB1516" i="1"/>
  <c r="AC1515" i="1"/>
  <c r="AB1515" i="1"/>
  <c r="AC1514" i="1"/>
  <c r="AB1514" i="1"/>
  <c r="AC1513" i="1"/>
  <c r="AB1513" i="1"/>
  <c r="AC1512" i="1"/>
  <c r="AB1512" i="1"/>
  <c r="AC1511" i="1"/>
  <c r="AB1511" i="1"/>
  <c r="AC1510" i="1"/>
  <c r="AB1510" i="1"/>
  <c r="AC1509" i="1"/>
  <c r="AB1509" i="1"/>
  <c r="AC1508" i="1"/>
  <c r="AB1508" i="1"/>
  <c r="AC1507" i="1"/>
  <c r="AB1507" i="1"/>
  <c r="AC1506" i="1"/>
  <c r="AB1506" i="1"/>
  <c r="AC1505" i="1"/>
  <c r="AB1505" i="1"/>
  <c r="AC1504" i="1"/>
  <c r="AB1504" i="1"/>
  <c r="AC1503" i="1"/>
  <c r="AB1503" i="1"/>
  <c r="AC1502" i="1"/>
  <c r="AB1502" i="1"/>
  <c r="AC1501" i="1"/>
  <c r="AB1501" i="1"/>
  <c r="AC1500" i="1"/>
  <c r="AB1500" i="1"/>
  <c r="AC1499" i="1"/>
  <c r="AB1499" i="1"/>
  <c r="AC1498" i="1"/>
  <c r="AB1498" i="1"/>
  <c r="AC1497" i="1"/>
  <c r="AB1497" i="1"/>
  <c r="AC1496" i="1"/>
  <c r="AB1496" i="1"/>
  <c r="AC1495" i="1"/>
  <c r="AB1495" i="1"/>
  <c r="AC1494" i="1"/>
  <c r="AB1494" i="1"/>
  <c r="AC1493" i="1"/>
  <c r="AB1493" i="1"/>
  <c r="AC1492" i="1"/>
  <c r="AB1492" i="1"/>
  <c r="AC1491" i="1"/>
  <c r="AB1491" i="1"/>
  <c r="AC1490" i="1"/>
  <c r="AB1490" i="1"/>
  <c r="AC1489" i="1"/>
  <c r="AB1489" i="1"/>
  <c r="AC1488" i="1"/>
  <c r="AB1488" i="1"/>
  <c r="AC1487" i="1"/>
  <c r="AB1487" i="1"/>
  <c r="AC1486" i="1"/>
  <c r="AB1486" i="1"/>
  <c r="AC1485" i="1"/>
  <c r="AB1485" i="1"/>
  <c r="AC1484" i="1"/>
  <c r="AB1484" i="1"/>
  <c r="AC1483" i="1"/>
  <c r="AB1483" i="1"/>
  <c r="AC1482" i="1"/>
  <c r="AB1482" i="1"/>
  <c r="AC1481" i="1"/>
  <c r="AB1481" i="1"/>
  <c r="AC1480" i="1"/>
  <c r="AB1480" i="1"/>
  <c r="AC1479" i="1"/>
  <c r="AB1479" i="1"/>
  <c r="AC1478" i="1"/>
  <c r="AB1478" i="1"/>
  <c r="AC1477" i="1"/>
  <c r="AB1477" i="1"/>
  <c r="AC1476" i="1"/>
  <c r="AB1476" i="1"/>
  <c r="AC1475" i="1"/>
  <c r="AB1475" i="1"/>
  <c r="AC1474" i="1"/>
  <c r="AB1474" i="1"/>
  <c r="AC1473" i="1"/>
  <c r="AB1473" i="1"/>
  <c r="AC1472" i="1"/>
  <c r="AB1472" i="1"/>
  <c r="AC1471" i="1"/>
  <c r="AB1471" i="1"/>
  <c r="AC1470" i="1"/>
  <c r="AB1470" i="1"/>
  <c r="AC1469" i="1"/>
  <c r="AB1469" i="1"/>
  <c r="AC1468" i="1"/>
  <c r="AB1468" i="1"/>
  <c r="AC1467" i="1"/>
  <c r="AB1467" i="1"/>
  <c r="AC1466" i="1"/>
  <c r="AB1466" i="1"/>
  <c r="AC1465" i="1"/>
  <c r="AB1465" i="1"/>
  <c r="AC1464" i="1"/>
  <c r="AB1464" i="1"/>
  <c r="AC1463" i="1"/>
  <c r="AB1463" i="1"/>
  <c r="AC1462" i="1"/>
  <c r="AB1462" i="1"/>
  <c r="AC1461" i="1"/>
  <c r="AB1461" i="1"/>
  <c r="AC1460" i="1"/>
  <c r="AB1460" i="1"/>
  <c r="AC1459" i="1"/>
  <c r="AB1459" i="1"/>
  <c r="AC1458" i="1"/>
  <c r="AB1458" i="1"/>
  <c r="AC1457" i="1"/>
  <c r="AB1457" i="1"/>
  <c r="AC1456" i="1"/>
  <c r="AB1456" i="1"/>
  <c r="AC1455" i="1"/>
  <c r="AB1455" i="1"/>
  <c r="AC1454" i="1"/>
  <c r="AB1454" i="1"/>
  <c r="AC1453" i="1"/>
  <c r="AB1453" i="1"/>
  <c r="AC1452" i="1"/>
  <c r="AB1452" i="1"/>
  <c r="AC1451" i="1"/>
  <c r="AB1451" i="1"/>
  <c r="AC1450" i="1"/>
  <c r="AB1450" i="1"/>
  <c r="AC1449" i="1"/>
  <c r="AB1449" i="1"/>
  <c r="AC1448" i="1"/>
  <c r="AB1448" i="1"/>
  <c r="AC1447" i="1"/>
  <c r="AB1447" i="1"/>
  <c r="AC1446" i="1"/>
  <c r="AB1446" i="1"/>
  <c r="AC1445" i="1"/>
  <c r="AB1445" i="1"/>
  <c r="AC1444" i="1"/>
  <c r="AB1444" i="1"/>
  <c r="AC1443" i="1"/>
  <c r="AB1443" i="1"/>
  <c r="AC1442" i="1"/>
  <c r="AB1442" i="1"/>
  <c r="AC1441" i="1"/>
  <c r="AB1441" i="1"/>
  <c r="AC1440" i="1"/>
  <c r="AB1440" i="1"/>
  <c r="AC1439" i="1"/>
  <c r="AB1439" i="1"/>
  <c r="AC1438" i="1"/>
  <c r="AB1438" i="1"/>
  <c r="AC1437" i="1"/>
  <c r="AB1437" i="1"/>
  <c r="AC1436" i="1"/>
  <c r="AB1436" i="1"/>
  <c r="AC1435" i="1"/>
  <c r="AB1435" i="1"/>
  <c r="AC1434" i="1"/>
  <c r="AB1434" i="1"/>
  <c r="AC1433" i="1"/>
  <c r="AB1433" i="1"/>
  <c r="AC1432" i="1"/>
  <c r="AB1432" i="1"/>
  <c r="AC1431" i="1"/>
  <c r="AB1431" i="1"/>
  <c r="AC1430" i="1"/>
  <c r="AB1430" i="1"/>
  <c r="AC1429" i="1"/>
  <c r="AB1429" i="1"/>
  <c r="AC1428" i="1"/>
  <c r="AB1428" i="1"/>
  <c r="AC1427" i="1"/>
  <c r="AB1427" i="1"/>
  <c r="AC1426" i="1"/>
  <c r="AB1426" i="1"/>
  <c r="AC1425" i="1"/>
  <c r="AB1425" i="1"/>
  <c r="AC1424" i="1"/>
  <c r="AB1424" i="1"/>
  <c r="AC1423" i="1"/>
  <c r="AB1423" i="1"/>
  <c r="AC1422" i="1"/>
  <c r="AB1422" i="1"/>
  <c r="AC1421" i="1"/>
  <c r="AB1421" i="1"/>
  <c r="AC1420" i="1"/>
  <c r="AB1420" i="1"/>
  <c r="AC1419" i="1"/>
  <c r="AB1419" i="1"/>
  <c r="AC1418" i="1"/>
  <c r="AB1418" i="1"/>
  <c r="AC1417" i="1"/>
  <c r="AB1417" i="1"/>
  <c r="AC1416" i="1"/>
  <c r="AB1416" i="1"/>
  <c r="AC1415" i="1"/>
  <c r="AB1415" i="1"/>
  <c r="AC1414" i="1"/>
  <c r="AB1414" i="1"/>
  <c r="AC1413" i="1"/>
  <c r="AB1413" i="1"/>
  <c r="AC1412" i="1"/>
  <c r="AB1412" i="1"/>
  <c r="AC1411" i="1"/>
  <c r="AB1411" i="1"/>
  <c r="AC1410" i="1"/>
  <c r="AB1410" i="1"/>
  <c r="AC1409" i="1"/>
  <c r="AB1409" i="1"/>
  <c r="AC1408" i="1"/>
  <c r="AB1408" i="1"/>
  <c r="AC1407" i="1"/>
  <c r="AB1407" i="1"/>
  <c r="AC1406" i="1"/>
  <c r="AB1406" i="1"/>
  <c r="AC1405" i="1"/>
  <c r="AB1405" i="1"/>
  <c r="AC1404" i="1"/>
  <c r="AB1404" i="1"/>
  <c r="AC1403" i="1"/>
  <c r="AB1403" i="1"/>
  <c r="AC1402" i="1"/>
  <c r="AB1402" i="1"/>
  <c r="AC1401" i="1"/>
  <c r="AB1401" i="1"/>
  <c r="AC1400" i="1"/>
  <c r="AB1400" i="1"/>
  <c r="AC1399" i="1"/>
  <c r="AB1399" i="1"/>
  <c r="AC1398" i="1"/>
  <c r="AB1398" i="1"/>
  <c r="AC1397" i="1"/>
  <c r="AB1397" i="1"/>
  <c r="AC1396" i="1"/>
  <c r="AB1396" i="1"/>
  <c r="AC1395" i="1"/>
  <c r="AB1395" i="1"/>
  <c r="AC1394" i="1"/>
  <c r="AB1394" i="1"/>
  <c r="AC1393" i="1"/>
  <c r="AB1393" i="1"/>
  <c r="AC1392" i="1"/>
  <c r="AB1392" i="1"/>
  <c r="AC1391" i="1"/>
  <c r="AB1391" i="1"/>
  <c r="AC1390" i="1"/>
  <c r="AB1390" i="1"/>
  <c r="AC1389" i="1"/>
  <c r="AB1389" i="1"/>
  <c r="AC1388" i="1"/>
  <c r="AB1388" i="1"/>
  <c r="AC1387" i="1"/>
  <c r="AB1387" i="1"/>
  <c r="AC1386" i="1"/>
  <c r="AB1386" i="1"/>
  <c r="AC1385" i="1"/>
  <c r="AB1385" i="1"/>
  <c r="AC1384" i="1"/>
  <c r="AB1384" i="1"/>
  <c r="AC1383" i="1"/>
  <c r="AB1383" i="1"/>
  <c r="AC1382" i="1"/>
  <c r="AB1382" i="1"/>
  <c r="AC1381" i="1"/>
  <c r="AB1381" i="1"/>
  <c r="AC1380" i="1"/>
  <c r="AB1380" i="1"/>
  <c r="AC1379" i="1"/>
  <c r="AB1379" i="1"/>
  <c r="AC1378" i="1"/>
  <c r="AB1378" i="1"/>
  <c r="AC1377" i="1"/>
  <c r="AB1377" i="1"/>
  <c r="AC1376" i="1"/>
  <c r="AB1376" i="1"/>
  <c r="AC1375" i="1"/>
  <c r="AB1375" i="1"/>
  <c r="AC1374" i="1"/>
  <c r="AB1374" i="1"/>
  <c r="AC1373" i="1"/>
  <c r="AB1373" i="1"/>
  <c r="AC1372" i="1"/>
  <c r="AB1372" i="1"/>
  <c r="AC1371" i="1"/>
  <c r="AB1371" i="1"/>
  <c r="AC1370" i="1"/>
  <c r="AB1370" i="1"/>
  <c r="AC1369" i="1"/>
  <c r="AB1369" i="1"/>
  <c r="AC1368" i="1"/>
  <c r="AB1368" i="1"/>
  <c r="AC1367" i="1"/>
  <c r="AB1367" i="1"/>
  <c r="AC1366" i="1"/>
  <c r="AB1366" i="1"/>
  <c r="AC1365" i="1"/>
  <c r="AB1365" i="1"/>
  <c r="AC1364" i="1"/>
  <c r="AB1364" i="1"/>
  <c r="AC1363" i="1"/>
  <c r="AB1363" i="1"/>
  <c r="AC1362" i="1"/>
  <c r="AB1362" i="1"/>
  <c r="AC1361" i="1"/>
  <c r="AB1361" i="1"/>
  <c r="AC1360" i="1"/>
  <c r="AB1360" i="1"/>
  <c r="AC1359" i="1"/>
  <c r="AB1359" i="1"/>
  <c r="AC1358" i="1"/>
  <c r="AB1358" i="1"/>
  <c r="AC1357" i="1"/>
  <c r="AB1357" i="1"/>
  <c r="AC1356" i="1"/>
  <c r="AB1356" i="1"/>
  <c r="AC1355" i="1"/>
  <c r="AB1355" i="1"/>
  <c r="AC1354" i="1"/>
  <c r="AB1354" i="1"/>
  <c r="AC1353" i="1"/>
  <c r="AB1353" i="1"/>
  <c r="AC1352" i="1"/>
  <c r="AB1352" i="1"/>
  <c r="AC1351" i="1"/>
  <c r="AB1351" i="1"/>
  <c r="AC1350" i="1"/>
  <c r="AB1350" i="1"/>
  <c r="AC1349" i="1"/>
  <c r="AB1349" i="1"/>
  <c r="AC1348" i="1"/>
  <c r="AB1348" i="1"/>
  <c r="AC1347" i="1"/>
  <c r="AB1347" i="1"/>
  <c r="AC1346" i="1"/>
  <c r="AB1346" i="1"/>
  <c r="AC1345" i="1"/>
  <c r="AB1345" i="1"/>
  <c r="AC1344" i="1"/>
  <c r="AB1344" i="1"/>
  <c r="AC1343" i="1"/>
  <c r="AB1343" i="1"/>
  <c r="AC1342" i="1"/>
  <c r="AB1342" i="1"/>
  <c r="AC1341" i="1"/>
  <c r="AB1341" i="1"/>
  <c r="AC1340" i="1"/>
  <c r="AB1340" i="1"/>
  <c r="AC1339" i="1"/>
  <c r="AB1339" i="1"/>
  <c r="AC1338" i="1"/>
  <c r="AB1338" i="1"/>
  <c r="AC1337" i="1"/>
  <c r="AB1337" i="1"/>
  <c r="AC1336" i="1"/>
  <c r="AB1336" i="1"/>
  <c r="AC1335" i="1"/>
  <c r="AB1335" i="1"/>
  <c r="AC1334" i="1"/>
  <c r="AB1334" i="1"/>
  <c r="AC1333" i="1"/>
  <c r="AB1333" i="1"/>
  <c r="AC1332" i="1"/>
  <c r="AB1332" i="1"/>
  <c r="AC1331" i="1"/>
  <c r="AB1331" i="1"/>
  <c r="AC1330" i="1"/>
  <c r="AB1330" i="1"/>
  <c r="AC1329" i="1"/>
  <c r="AB1329" i="1"/>
  <c r="AC1328" i="1"/>
  <c r="AB1328" i="1"/>
  <c r="AC1327" i="1"/>
  <c r="AB1327" i="1"/>
  <c r="AC1326" i="1"/>
  <c r="AB1326" i="1"/>
  <c r="AC1325" i="1"/>
  <c r="AB1325" i="1"/>
  <c r="AC1324" i="1"/>
  <c r="AB1324" i="1"/>
  <c r="AC1323" i="1"/>
  <c r="AB1323" i="1"/>
  <c r="AC1322" i="1"/>
  <c r="AB1322" i="1"/>
  <c r="AC1321" i="1"/>
  <c r="AB1321" i="1"/>
  <c r="AC1320" i="1"/>
  <c r="AB1320" i="1"/>
  <c r="AC1319" i="1"/>
  <c r="AB1319" i="1"/>
  <c r="AC1318" i="1"/>
  <c r="AB1318" i="1"/>
  <c r="AC1317" i="1"/>
  <c r="AB1317" i="1"/>
  <c r="AC1316" i="1"/>
  <c r="AB1316" i="1"/>
  <c r="AC1315" i="1"/>
  <c r="AB1315" i="1"/>
  <c r="AC1314" i="1"/>
  <c r="AB1314" i="1"/>
  <c r="AC1313" i="1"/>
  <c r="AB1313" i="1"/>
  <c r="AC1312" i="1"/>
  <c r="AB1312" i="1"/>
  <c r="AC1311" i="1"/>
  <c r="AB1311" i="1"/>
  <c r="AC1310" i="1"/>
  <c r="AB1310" i="1"/>
  <c r="AC1309" i="1"/>
  <c r="AB1309" i="1"/>
  <c r="AC1308" i="1"/>
  <c r="AB1308" i="1"/>
  <c r="AC1307" i="1"/>
  <c r="AB1307" i="1"/>
  <c r="AC1306" i="1"/>
  <c r="AB1306" i="1"/>
  <c r="AC1305" i="1"/>
  <c r="AB1305" i="1"/>
  <c r="AC1304" i="1"/>
  <c r="AB1304" i="1"/>
  <c r="AC1303" i="1"/>
  <c r="AB1303" i="1"/>
  <c r="AC1302" i="1"/>
  <c r="AB1302" i="1"/>
  <c r="AC1301" i="1"/>
  <c r="AB1301" i="1"/>
  <c r="AC1300" i="1"/>
  <c r="AB1300" i="1"/>
  <c r="AC1299" i="1"/>
  <c r="AB1299" i="1"/>
  <c r="AC1298" i="1"/>
  <c r="AB1298" i="1"/>
  <c r="AC1297" i="1"/>
  <c r="AB1297" i="1"/>
  <c r="AC1296" i="1"/>
  <c r="AB1296" i="1"/>
  <c r="AC1295" i="1"/>
  <c r="AB1295" i="1"/>
  <c r="AC1294" i="1"/>
  <c r="AB1294" i="1"/>
  <c r="AC1293" i="1"/>
  <c r="AB1293" i="1"/>
  <c r="AC1292" i="1"/>
  <c r="AB1292" i="1"/>
  <c r="AC1291" i="1"/>
  <c r="AB1291" i="1"/>
  <c r="AC1290" i="1"/>
  <c r="AB1290" i="1"/>
  <c r="AC1289" i="1"/>
  <c r="AB1289" i="1"/>
  <c r="AC1288" i="1"/>
  <c r="AB1288" i="1"/>
  <c r="AC1287" i="1"/>
  <c r="AB1287" i="1"/>
  <c r="AC1286" i="1"/>
  <c r="AB1286" i="1"/>
  <c r="AC1285" i="1"/>
  <c r="AB1285" i="1"/>
  <c r="AC1284" i="1"/>
  <c r="AB1284" i="1"/>
  <c r="AC1283" i="1"/>
  <c r="AB1283" i="1"/>
  <c r="AC1282" i="1"/>
  <c r="AB1282" i="1"/>
  <c r="AC1281" i="1"/>
  <c r="AB1281" i="1"/>
  <c r="AC1280" i="1"/>
  <c r="AB1280" i="1"/>
  <c r="AC1279" i="1"/>
  <c r="AB1279" i="1"/>
  <c r="AC1278" i="1"/>
  <c r="AB1278" i="1"/>
  <c r="AC1277" i="1"/>
  <c r="AB1277" i="1"/>
  <c r="AC1276" i="1"/>
  <c r="AB1276" i="1"/>
  <c r="AC1275" i="1"/>
  <c r="AB1275" i="1"/>
  <c r="AC1274" i="1"/>
  <c r="AB1274" i="1"/>
  <c r="AC1273" i="1"/>
  <c r="AB1273" i="1"/>
  <c r="AC1272" i="1"/>
  <c r="AB1272" i="1"/>
  <c r="AC1271" i="1"/>
  <c r="AB1271" i="1"/>
  <c r="AC1270" i="1"/>
  <c r="AB1270" i="1"/>
  <c r="AC1269" i="1"/>
  <c r="AB1269" i="1"/>
  <c r="AC1268" i="1"/>
  <c r="AB1268" i="1"/>
  <c r="AC1267" i="1"/>
  <c r="AB1267" i="1"/>
  <c r="AC1266" i="1"/>
  <c r="AB1266" i="1"/>
  <c r="AC1265" i="1"/>
  <c r="AB1265" i="1"/>
  <c r="AC1264" i="1"/>
  <c r="AB1264" i="1"/>
  <c r="AC1263" i="1"/>
  <c r="AB1263" i="1"/>
  <c r="AC1262" i="1"/>
  <c r="AB1262" i="1"/>
  <c r="AC1261" i="1"/>
  <c r="AB1261" i="1"/>
  <c r="AC1260" i="1"/>
  <c r="AB1260" i="1"/>
  <c r="AC1259" i="1"/>
  <c r="AB1259" i="1"/>
  <c r="AC1258" i="1"/>
  <c r="AB1258" i="1"/>
  <c r="AC1257" i="1"/>
  <c r="AB1257" i="1"/>
  <c r="AC1256" i="1"/>
  <c r="AB1256" i="1"/>
  <c r="AC1255" i="1"/>
  <c r="AB1255" i="1"/>
  <c r="AC1254" i="1"/>
  <c r="AB1254" i="1"/>
  <c r="AC1253" i="1"/>
  <c r="AB1253" i="1"/>
  <c r="AC1252" i="1"/>
  <c r="AB1252" i="1"/>
  <c r="AC1251" i="1"/>
  <c r="AB1251" i="1"/>
  <c r="AC1250" i="1"/>
  <c r="AB1250" i="1"/>
  <c r="AC1249" i="1"/>
  <c r="AB1249" i="1"/>
  <c r="AC1248" i="1"/>
  <c r="AB1248" i="1"/>
  <c r="AC1247" i="1"/>
  <c r="AB1247" i="1"/>
  <c r="AC1246" i="1"/>
  <c r="AB1246" i="1"/>
  <c r="AC1245" i="1"/>
  <c r="AB1245" i="1"/>
  <c r="AC1244" i="1"/>
  <c r="AB1244" i="1"/>
  <c r="AC1243" i="1"/>
  <c r="AB1243" i="1"/>
  <c r="AC1242" i="1"/>
  <c r="AB1242" i="1"/>
  <c r="AC1241" i="1"/>
  <c r="AB1241" i="1"/>
  <c r="AC1240" i="1"/>
  <c r="AB1240" i="1"/>
  <c r="AC1239" i="1"/>
  <c r="AB1239" i="1"/>
  <c r="AC1238" i="1"/>
  <c r="AB1238" i="1"/>
  <c r="AC1237" i="1"/>
  <c r="AB1237" i="1"/>
  <c r="AC1236" i="1"/>
  <c r="AB1236" i="1"/>
  <c r="AC1235" i="1"/>
  <c r="AB1235" i="1"/>
  <c r="AC1234" i="1"/>
  <c r="AB1234" i="1"/>
  <c r="AC1233" i="1"/>
  <c r="AB1233" i="1"/>
  <c r="AC1232" i="1"/>
  <c r="AB1232" i="1"/>
  <c r="AC1231" i="1"/>
  <c r="AB1231" i="1"/>
  <c r="AC1230" i="1"/>
  <c r="AB1230" i="1"/>
  <c r="AC1229" i="1"/>
  <c r="AB1229" i="1"/>
  <c r="AC1228" i="1"/>
  <c r="AB1228" i="1"/>
  <c r="AC1227" i="1"/>
  <c r="AB1227" i="1"/>
  <c r="AC1226" i="1"/>
  <c r="AB1226" i="1"/>
  <c r="AC1225" i="1"/>
  <c r="AB1225" i="1"/>
  <c r="AC1224" i="1"/>
  <c r="AB1224" i="1"/>
  <c r="AC1223" i="1"/>
  <c r="AB1223" i="1"/>
  <c r="AC1222" i="1"/>
  <c r="AB1222" i="1"/>
  <c r="AC1221" i="1"/>
  <c r="AB1221" i="1"/>
  <c r="AC1220" i="1"/>
  <c r="AB1220" i="1"/>
  <c r="AC1219" i="1"/>
  <c r="AB1219" i="1"/>
  <c r="AC1218" i="1"/>
  <c r="AB1218" i="1"/>
  <c r="AC1217" i="1"/>
  <c r="AB1217" i="1"/>
  <c r="AC1216" i="1"/>
  <c r="AB1216" i="1"/>
  <c r="AC1215" i="1"/>
  <c r="AB1215" i="1"/>
  <c r="AC1214" i="1"/>
  <c r="AB1214" i="1"/>
  <c r="AC1213" i="1"/>
  <c r="AB1213" i="1"/>
  <c r="AC1212" i="1"/>
  <c r="AB1212" i="1"/>
  <c r="AC1211" i="1"/>
  <c r="AB1211" i="1"/>
  <c r="AC1210" i="1"/>
  <c r="AB1210" i="1"/>
  <c r="AC1209" i="1"/>
  <c r="AB1209" i="1"/>
  <c r="AC1208" i="1"/>
  <c r="AB1208" i="1"/>
  <c r="AC1207" i="1"/>
  <c r="AB1207" i="1"/>
  <c r="AC1206" i="1"/>
  <c r="AB1206" i="1"/>
  <c r="AC1205" i="1"/>
  <c r="AB1205" i="1"/>
  <c r="AC1204" i="1"/>
  <c r="AB1204" i="1"/>
  <c r="AC1203" i="1"/>
  <c r="AB1203" i="1"/>
  <c r="AC1202" i="1"/>
  <c r="AB1202" i="1"/>
  <c r="AC1201" i="1"/>
  <c r="AB1201" i="1"/>
  <c r="AC1200" i="1"/>
  <c r="AB1200" i="1"/>
  <c r="AC1199" i="1"/>
  <c r="AB1199" i="1"/>
  <c r="AC1198" i="1"/>
  <c r="AB1198" i="1"/>
  <c r="AC1197" i="1"/>
  <c r="AB1197" i="1"/>
  <c r="AC1196" i="1"/>
  <c r="AB1196" i="1"/>
  <c r="AC1195" i="1"/>
  <c r="AB1195" i="1"/>
  <c r="AC1194" i="1"/>
  <c r="AB1194" i="1"/>
  <c r="AC1193" i="1"/>
  <c r="AB1193" i="1"/>
  <c r="AC1192" i="1"/>
  <c r="AB1192" i="1"/>
  <c r="AC1191" i="1"/>
  <c r="AB1191" i="1"/>
  <c r="AC1190" i="1"/>
  <c r="AB1190" i="1"/>
  <c r="AC1189" i="1"/>
  <c r="AB1189" i="1"/>
  <c r="AC1188" i="1"/>
  <c r="AB1188" i="1"/>
  <c r="AC1187" i="1"/>
  <c r="AB1187" i="1"/>
  <c r="AC1186" i="1"/>
  <c r="AB1186" i="1"/>
  <c r="AC1185" i="1"/>
  <c r="AB1185" i="1"/>
  <c r="AC1184" i="1"/>
  <c r="AB1184" i="1"/>
  <c r="AC1183" i="1"/>
  <c r="AB1183" i="1"/>
  <c r="AC1182" i="1"/>
  <c r="AB1182" i="1"/>
  <c r="AC1181" i="1"/>
  <c r="AB1181" i="1"/>
  <c r="AC1180" i="1"/>
  <c r="AB1180" i="1"/>
  <c r="AC1179" i="1"/>
  <c r="AB1179" i="1"/>
  <c r="AC1178" i="1"/>
  <c r="AB1178" i="1"/>
  <c r="AC1177" i="1"/>
  <c r="AB1177" i="1"/>
  <c r="AC1176" i="1"/>
  <c r="AB1176" i="1"/>
  <c r="AC1175" i="1"/>
  <c r="AB1175" i="1"/>
  <c r="AC1174" i="1"/>
  <c r="AB1174" i="1"/>
  <c r="AC1173" i="1"/>
  <c r="AB1173" i="1"/>
  <c r="AC1172" i="1"/>
  <c r="AB1172" i="1"/>
  <c r="AC1171" i="1"/>
  <c r="AB1171" i="1"/>
  <c r="AC1170" i="1"/>
  <c r="AB1170" i="1"/>
  <c r="AC1169" i="1"/>
  <c r="AB1169" i="1"/>
  <c r="AC1168" i="1"/>
  <c r="AB1168" i="1"/>
  <c r="AC1167" i="1"/>
  <c r="AB1167" i="1"/>
  <c r="AC1166" i="1"/>
  <c r="AB1166" i="1"/>
  <c r="AC1165" i="1"/>
  <c r="AB1165" i="1"/>
  <c r="AC1164" i="1"/>
  <c r="AB1164" i="1"/>
  <c r="AC1163" i="1"/>
  <c r="AB1163" i="1"/>
  <c r="AC1162" i="1"/>
  <c r="AB1162" i="1"/>
  <c r="AC1161" i="1"/>
  <c r="AB1161" i="1"/>
  <c r="AC1160" i="1"/>
  <c r="AB1160" i="1"/>
  <c r="AC1159" i="1"/>
  <c r="AB1159" i="1"/>
  <c r="AC1158" i="1"/>
  <c r="AB1158" i="1"/>
  <c r="AC1157" i="1"/>
  <c r="AB1157" i="1"/>
  <c r="AC1156" i="1"/>
  <c r="AB1156" i="1"/>
  <c r="AC1155" i="1"/>
  <c r="AB1155" i="1"/>
  <c r="AC1154" i="1"/>
  <c r="AB1154" i="1"/>
  <c r="AC1153" i="1"/>
  <c r="AB1153" i="1"/>
  <c r="AC1152" i="1"/>
  <c r="AB1152" i="1"/>
  <c r="AC1151" i="1"/>
  <c r="AB1151" i="1"/>
  <c r="AC1150" i="1"/>
  <c r="AB1150" i="1"/>
  <c r="AC1149" i="1"/>
  <c r="AB1149" i="1"/>
  <c r="AC1148" i="1"/>
  <c r="AB1148" i="1"/>
  <c r="AC1147" i="1"/>
  <c r="AB1147" i="1"/>
  <c r="AC1146" i="1"/>
  <c r="AB1146" i="1"/>
  <c r="AC1145" i="1"/>
  <c r="AB1145" i="1"/>
  <c r="AC1144" i="1"/>
  <c r="AB1144" i="1"/>
  <c r="AC1143" i="1"/>
  <c r="AB1143" i="1"/>
  <c r="AC1142" i="1"/>
  <c r="AB1142" i="1"/>
  <c r="AC1141" i="1"/>
  <c r="AB1141" i="1"/>
  <c r="AC1140" i="1"/>
  <c r="AB1140" i="1"/>
  <c r="AC1139" i="1"/>
  <c r="AB1139" i="1"/>
  <c r="AC1138" i="1"/>
  <c r="AB1138" i="1"/>
  <c r="AC1137" i="1"/>
  <c r="AB1137" i="1"/>
  <c r="AC1136" i="1"/>
  <c r="AB1136" i="1"/>
  <c r="AC1135" i="1"/>
  <c r="AB1135" i="1"/>
  <c r="AC1134" i="1"/>
  <c r="AB1134" i="1"/>
  <c r="AC1133" i="1"/>
  <c r="AB1133" i="1"/>
  <c r="AC1132" i="1"/>
  <c r="AB1132" i="1"/>
  <c r="AC1131" i="1"/>
  <c r="AB1131" i="1"/>
  <c r="AC1130" i="1"/>
  <c r="AB1130" i="1"/>
  <c r="AC1129" i="1"/>
  <c r="AB1129" i="1"/>
  <c r="AC1128" i="1"/>
  <c r="AB1128" i="1"/>
  <c r="AC1127" i="1"/>
  <c r="AB1127" i="1"/>
  <c r="AC1126" i="1"/>
  <c r="AB1126" i="1"/>
  <c r="AC1125" i="1"/>
  <c r="AB1125" i="1"/>
  <c r="AC1124" i="1"/>
  <c r="AB1124" i="1"/>
  <c r="AC1123" i="1"/>
  <c r="AB1123" i="1"/>
  <c r="AC1122" i="1"/>
  <c r="AB1122" i="1"/>
  <c r="AC1121" i="1"/>
  <c r="AB1121" i="1"/>
  <c r="AC1120" i="1"/>
  <c r="AB1120" i="1"/>
  <c r="AC1119" i="1"/>
  <c r="AB1119" i="1"/>
  <c r="AC1118" i="1"/>
  <c r="AB1118" i="1"/>
  <c r="AC1117" i="1"/>
  <c r="AB1117" i="1"/>
  <c r="AC1116" i="1"/>
  <c r="AB1116" i="1"/>
  <c r="AC1115" i="1"/>
  <c r="AB1115" i="1"/>
  <c r="AC1114" i="1"/>
  <c r="AB1114" i="1"/>
  <c r="AC1113" i="1"/>
  <c r="AB1113" i="1"/>
  <c r="AC1112" i="1"/>
  <c r="AB1112" i="1"/>
  <c r="AC1111" i="1"/>
  <c r="AB1111" i="1"/>
  <c r="AC1110" i="1"/>
  <c r="AB1110" i="1"/>
  <c r="AC1109" i="1"/>
  <c r="AB1109" i="1"/>
  <c r="AC1108" i="1"/>
  <c r="AB1108" i="1"/>
  <c r="AC1107" i="1"/>
  <c r="AB1107" i="1"/>
  <c r="AC1106" i="1"/>
  <c r="AB1106" i="1"/>
  <c r="AC1105" i="1"/>
  <c r="AB1105" i="1"/>
  <c r="AC1104" i="1"/>
  <c r="AB1104" i="1"/>
  <c r="AC1103" i="1"/>
  <c r="AB1103" i="1"/>
  <c r="AC1102" i="1"/>
  <c r="AB1102" i="1"/>
  <c r="AC1101" i="1"/>
  <c r="AB1101" i="1"/>
  <c r="AC1100" i="1"/>
  <c r="AB1100" i="1"/>
  <c r="AC1099" i="1"/>
  <c r="AB1099" i="1"/>
  <c r="AC1098" i="1"/>
  <c r="AB1098" i="1"/>
  <c r="AC1097" i="1"/>
  <c r="AB1097" i="1"/>
  <c r="AC1096" i="1"/>
  <c r="AB1096" i="1"/>
  <c r="AC1095" i="1"/>
  <c r="AB1095" i="1"/>
  <c r="AC1094" i="1"/>
  <c r="AB1094" i="1"/>
  <c r="AC1093" i="1"/>
  <c r="AB1093" i="1"/>
  <c r="AC1092" i="1"/>
  <c r="AB1092" i="1"/>
  <c r="AC1091" i="1"/>
  <c r="AB1091" i="1"/>
  <c r="AC1090" i="1"/>
  <c r="AB1090" i="1"/>
  <c r="AC1089" i="1"/>
  <c r="AB1089" i="1"/>
  <c r="AC1088" i="1"/>
  <c r="AB1088" i="1"/>
  <c r="AC1087" i="1"/>
  <c r="AB1087" i="1"/>
  <c r="AC1086" i="1"/>
  <c r="AB1086" i="1"/>
  <c r="AC1085" i="1"/>
  <c r="AB1085" i="1"/>
  <c r="AC1084" i="1"/>
  <c r="AB1084" i="1"/>
  <c r="AC1083" i="1"/>
  <c r="AB1083" i="1"/>
  <c r="AC1082" i="1"/>
  <c r="AB1082" i="1"/>
  <c r="AC1081" i="1"/>
  <c r="AB1081" i="1"/>
  <c r="AC1080" i="1"/>
  <c r="AB1080" i="1"/>
  <c r="AC1079" i="1"/>
  <c r="AB1079" i="1"/>
  <c r="AC1078" i="1"/>
  <c r="AB1078" i="1"/>
  <c r="AC1077" i="1"/>
  <c r="AB1077" i="1"/>
  <c r="AC1076" i="1"/>
  <c r="AB1076" i="1"/>
  <c r="AC1075" i="1"/>
  <c r="AB1075" i="1"/>
  <c r="AC1074" i="1"/>
  <c r="AB1074" i="1"/>
  <c r="AC1073" i="1"/>
  <c r="AB1073" i="1"/>
  <c r="AC1072" i="1"/>
  <c r="AB1072" i="1"/>
  <c r="AC1071" i="1"/>
  <c r="AB1071" i="1"/>
  <c r="AC1070" i="1"/>
  <c r="AB1070" i="1"/>
  <c r="AC1069" i="1"/>
  <c r="AB1069" i="1"/>
  <c r="AC1068" i="1"/>
  <c r="AB1068" i="1"/>
  <c r="AC1067" i="1"/>
  <c r="AB1067" i="1"/>
  <c r="AC1066" i="1"/>
  <c r="AB1066" i="1"/>
  <c r="AC1065" i="1"/>
  <c r="AB1065" i="1"/>
  <c r="AC1064" i="1"/>
  <c r="AB1064" i="1"/>
  <c r="AC1063" i="1"/>
  <c r="AB1063" i="1"/>
  <c r="AC1062" i="1"/>
  <c r="AB1062" i="1"/>
  <c r="AC1061" i="1"/>
  <c r="AB1061" i="1"/>
  <c r="AC1060" i="1"/>
  <c r="AB1060" i="1"/>
  <c r="AC1059" i="1"/>
  <c r="AB1059" i="1"/>
  <c r="AC1058" i="1"/>
  <c r="AB1058" i="1"/>
  <c r="AC1057" i="1"/>
  <c r="AB1057" i="1"/>
  <c r="AC1056" i="1"/>
  <c r="AB1056" i="1"/>
  <c r="AC1055" i="1"/>
  <c r="AB1055" i="1"/>
  <c r="AC1054" i="1"/>
  <c r="AB1054" i="1"/>
  <c r="AC1053" i="1"/>
  <c r="AB1053" i="1"/>
  <c r="AC1052" i="1"/>
  <c r="AB1052" i="1"/>
  <c r="AC1051" i="1"/>
  <c r="AB1051" i="1"/>
  <c r="AC1050" i="1"/>
  <c r="AB1050" i="1"/>
  <c r="AC1049" i="1"/>
  <c r="AB1049" i="1"/>
  <c r="AC1048" i="1"/>
  <c r="AB1048" i="1"/>
  <c r="AC1047" i="1"/>
  <c r="AB1047" i="1"/>
  <c r="AC1046" i="1"/>
  <c r="AB1046" i="1"/>
  <c r="AC1045" i="1"/>
  <c r="AB1045" i="1"/>
  <c r="AC1044" i="1"/>
  <c r="AB1044" i="1"/>
  <c r="AC1043" i="1"/>
  <c r="AB1043" i="1"/>
  <c r="AC1042" i="1"/>
  <c r="AB1042" i="1"/>
  <c r="AC1041" i="1"/>
  <c r="AB1041" i="1"/>
  <c r="AC1040" i="1"/>
  <c r="AB1040" i="1"/>
  <c r="AC1039" i="1"/>
  <c r="AB1039" i="1"/>
  <c r="AC1038" i="1"/>
  <c r="AB1038" i="1"/>
  <c r="AC1037" i="1"/>
  <c r="AB1037" i="1"/>
  <c r="AC1036" i="1"/>
  <c r="AB1036" i="1"/>
  <c r="AC1035" i="1"/>
  <c r="AB1035" i="1"/>
  <c r="AC1034" i="1"/>
  <c r="AB1034" i="1"/>
  <c r="AC1033" i="1"/>
  <c r="AB1033" i="1"/>
  <c r="AC1032" i="1"/>
  <c r="AB1032" i="1"/>
  <c r="AC1031" i="1"/>
  <c r="AB1031" i="1"/>
  <c r="AC1030" i="1"/>
  <c r="AB1030" i="1"/>
  <c r="AC1029" i="1"/>
  <c r="AB1029" i="1"/>
  <c r="AC1028" i="1"/>
  <c r="AB1028" i="1"/>
  <c r="AC1027" i="1"/>
  <c r="AB1027" i="1"/>
  <c r="AC1026" i="1"/>
  <c r="AB1026" i="1"/>
  <c r="AC1025" i="1"/>
  <c r="AB1025" i="1"/>
  <c r="AC1024" i="1"/>
  <c r="AB1024" i="1"/>
  <c r="AC1023" i="1"/>
  <c r="AB1023" i="1"/>
  <c r="AC1022" i="1"/>
  <c r="AB1022" i="1"/>
  <c r="AC1021" i="1"/>
  <c r="AB1021" i="1"/>
  <c r="AC1020" i="1"/>
  <c r="AB1020" i="1"/>
  <c r="AC1019" i="1"/>
  <c r="AB1019" i="1"/>
  <c r="AC1018" i="1"/>
  <c r="AB1018" i="1"/>
  <c r="AC1017" i="1"/>
  <c r="AB1017" i="1"/>
  <c r="AC1016" i="1"/>
  <c r="AB1016" i="1"/>
  <c r="AC1015" i="1"/>
  <c r="AB1015" i="1"/>
  <c r="AC1014" i="1"/>
  <c r="AB1014" i="1"/>
  <c r="AC1013" i="1"/>
  <c r="AB1013" i="1"/>
  <c r="AC1012" i="1"/>
  <c r="AB1012" i="1"/>
  <c r="AC1011" i="1"/>
  <c r="AB1011" i="1"/>
  <c r="AC1010" i="1"/>
  <c r="AB1010" i="1"/>
  <c r="AC1009" i="1"/>
  <c r="AB1009" i="1"/>
  <c r="AC1008" i="1"/>
  <c r="AB1008" i="1"/>
  <c r="AC1007" i="1"/>
  <c r="AB1007" i="1"/>
  <c r="AC1006" i="1"/>
  <c r="AB1006" i="1"/>
  <c r="AC1005" i="1"/>
  <c r="AB1005" i="1"/>
  <c r="AC1004" i="1"/>
  <c r="AB1004" i="1"/>
  <c r="AC1003" i="1"/>
  <c r="AB1003" i="1"/>
  <c r="AC1002" i="1"/>
  <c r="AB1002" i="1"/>
  <c r="AC1001" i="1"/>
  <c r="AB1001" i="1"/>
  <c r="AC1000" i="1"/>
  <c r="AB1000" i="1"/>
  <c r="AC999" i="1"/>
  <c r="AB999" i="1"/>
  <c r="AC998" i="1"/>
  <c r="AB998" i="1"/>
  <c r="AC997" i="1"/>
  <c r="AB997" i="1"/>
  <c r="AC996" i="1"/>
  <c r="AB996" i="1"/>
  <c r="AC995" i="1"/>
  <c r="AB995" i="1"/>
  <c r="AC994" i="1"/>
  <c r="AB994" i="1"/>
  <c r="AC993" i="1"/>
  <c r="AB993" i="1"/>
  <c r="AC992" i="1"/>
  <c r="AB992" i="1"/>
  <c r="AC991" i="1"/>
  <c r="AB991" i="1"/>
  <c r="AC990" i="1"/>
  <c r="AB990" i="1"/>
  <c r="AC989" i="1"/>
  <c r="AB989" i="1"/>
  <c r="AC988" i="1"/>
  <c r="AB988" i="1"/>
  <c r="AC987" i="1"/>
  <c r="AB987" i="1"/>
  <c r="AC986" i="1"/>
  <c r="AB986" i="1"/>
  <c r="AC985" i="1"/>
  <c r="AB985" i="1"/>
  <c r="AC984" i="1"/>
  <c r="AB984" i="1"/>
  <c r="AC983" i="1"/>
  <c r="AB983" i="1"/>
  <c r="AC982" i="1"/>
  <c r="AB982" i="1"/>
  <c r="AC981" i="1"/>
  <c r="AB981" i="1"/>
  <c r="AC980" i="1"/>
  <c r="AB980" i="1"/>
  <c r="AC979" i="1"/>
  <c r="AB979" i="1"/>
  <c r="AC978" i="1"/>
  <c r="AB978" i="1"/>
  <c r="AC977" i="1"/>
  <c r="AB977" i="1"/>
  <c r="AC976" i="1"/>
  <c r="AB976" i="1"/>
  <c r="AC975" i="1"/>
  <c r="AB975" i="1"/>
  <c r="AC974" i="1"/>
  <c r="AB974" i="1"/>
  <c r="AC973" i="1"/>
  <c r="AB973" i="1"/>
  <c r="AC972" i="1"/>
  <c r="AB972" i="1"/>
  <c r="AC971" i="1"/>
  <c r="AB971" i="1"/>
  <c r="AC970" i="1"/>
  <c r="AB970" i="1"/>
  <c r="AC969" i="1"/>
  <c r="AB969" i="1"/>
  <c r="AC968" i="1"/>
  <c r="AB968" i="1"/>
  <c r="AC967" i="1"/>
  <c r="AB967" i="1"/>
  <c r="AC966" i="1"/>
  <c r="AB966" i="1"/>
  <c r="AC965" i="1"/>
  <c r="AB965" i="1"/>
  <c r="AC964" i="1"/>
  <c r="AB964" i="1"/>
  <c r="AC963" i="1"/>
  <c r="AB963" i="1"/>
  <c r="AC962" i="1"/>
  <c r="AB962" i="1"/>
  <c r="AC961" i="1"/>
  <c r="AB961" i="1"/>
  <c r="AC960" i="1"/>
  <c r="AB960" i="1"/>
  <c r="AC959" i="1"/>
  <c r="AB959" i="1"/>
  <c r="AC958" i="1"/>
  <c r="AB958" i="1"/>
  <c r="AC957" i="1"/>
  <c r="AB957" i="1"/>
  <c r="AC956" i="1"/>
  <c r="AB956" i="1"/>
  <c r="AC955" i="1"/>
  <c r="AB955" i="1"/>
  <c r="AC954" i="1"/>
  <c r="AB954" i="1"/>
  <c r="AC953" i="1"/>
  <c r="AB953" i="1"/>
  <c r="AC952" i="1"/>
  <c r="AB952" i="1"/>
  <c r="AC951" i="1"/>
  <c r="AB951" i="1"/>
  <c r="AC950" i="1"/>
  <c r="AB950" i="1"/>
  <c r="AC949" i="1"/>
  <c r="AB949" i="1"/>
  <c r="AC948" i="1"/>
  <c r="AB948" i="1"/>
  <c r="AC947" i="1"/>
  <c r="AB947" i="1"/>
  <c r="AC946" i="1"/>
  <c r="AB946" i="1"/>
  <c r="AC945" i="1"/>
  <c r="AB945" i="1"/>
  <c r="AC944" i="1"/>
  <c r="AB944" i="1"/>
  <c r="AC943" i="1"/>
  <c r="AB943" i="1"/>
  <c r="AC942" i="1"/>
  <c r="AB942" i="1"/>
  <c r="AC941" i="1"/>
  <c r="AB941" i="1"/>
  <c r="AC940" i="1"/>
  <c r="AB940" i="1"/>
  <c r="AC939" i="1"/>
  <c r="AB939" i="1"/>
  <c r="AC938" i="1"/>
  <c r="AB938" i="1"/>
  <c r="AC937" i="1"/>
  <c r="AB937" i="1"/>
  <c r="AC936" i="1"/>
  <c r="AB936" i="1"/>
  <c r="AC935" i="1"/>
  <c r="AB935" i="1"/>
  <c r="AC934" i="1"/>
  <c r="AB934" i="1"/>
  <c r="AC933" i="1"/>
  <c r="AB933" i="1"/>
  <c r="AC932" i="1"/>
  <c r="AB932" i="1"/>
  <c r="AC931" i="1"/>
  <c r="AB931" i="1"/>
  <c r="AC930" i="1"/>
  <c r="AB930" i="1"/>
  <c r="AC929" i="1"/>
  <c r="AB929" i="1"/>
  <c r="AC928" i="1"/>
  <c r="AB928" i="1"/>
  <c r="AC927" i="1"/>
  <c r="AB927" i="1"/>
  <c r="AC926" i="1"/>
  <c r="AB926" i="1"/>
  <c r="AC925" i="1"/>
  <c r="AB925" i="1"/>
  <c r="AC924" i="1"/>
  <c r="AB924" i="1"/>
  <c r="AC923" i="1"/>
  <c r="AB923" i="1"/>
  <c r="AC922" i="1"/>
  <c r="AB922" i="1"/>
  <c r="AC921" i="1"/>
  <c r="AB921" i="1"/>
  <c r="AC920" i="1"/>
  <c r="AB920" i="1"/>
  <c r="AC919" i="1"/>
  <c r="AB919" i="1"/>
  <c r="AC918" i="1"/>
  <c r="AB918" i="1"/>
  <c r="AC917" i="1"/>
  <c r="AB917" i="1"/>
  <c r="AC916" i="1"/>
  <c r="AB916" i="1"/>
  <c r="AC915" i="1"/>
  <c r="AB915" i="1"/>
  <c r="AC914" i="1"/>
  <c r="AB914" i="1"/>
  <c r="AC913" i="1"/>
  <c r="AB913" i="1"/>
  <c r="AC912" i="1"/>
  <c r="AB912" i="1"/>
  <c r="AC911" i="1"/>
  <c r="AB911" i="1"/>
  <c r="AC910" i="1"/>
  <c r="AB910" i="1"/>
  <c r="AC909" i="1"/>
  <c r="AB909" i="1"/>
  <c r="AC908" i="1"/>
  <c r="AB908" i="1"/>
  <c r="AC907" i="1"/>
  <c r="AB907" i="1"/>
  <c r="AC906" i="1"/>
  <c r="AB906" i="1"/>
  <c r="AC905" i="1"/>
  <c r="AB905" i="1"/>
  <c r="AC904" i="1"/>
  <c r="AB904" i="1"/>
  <c r="AC903" i="1"/>
  <c r="AB903" i="1"/>
  <c r="AC902" i="1"/>
  <c r="AB902" i="1"/>
  <c r="AC901" i="1"/>
  <c r="AB901" i="1"/>
  <c r="AC900" i="1"/>
  <c r="AB900" i="1"/>
  <c r="AC899" i="1"/>
  <c r="AB899" i="1"/>
  <c r="AC898" i="1"/>
  <c r="AB898" i="1"/>
  <c r="AC897" i="1"/>
  <c r="AB897" i="1"/>
  <c r="AC896" i="1"/>
  <c r="AB896" i="1"/>
  <c r="AC895" i="1"/>
  <c r="AB895" i="1"/>
  <c r="AC894" i="1"/>
  <c r="AB894" i="1"/>
  <c r="AC893" i="1"/>
  <c r="AB893" i="1"/>
  <c r="AC892" i="1"/>
  <c r="AB892" i="1"/>
  <c r="AC891" i="1"/>
  <c r="AB891" i="1"/>
  <c r="AC890" i="1"/>
  <c r="AB890" i="1"/>
  <c r="AC889" i="1"/>
  <c r="AB889" i="1"/>
  <c r="AC888" i="1"/>
  <c r="AB888" i="1"/>
  <c r="AC887" i="1"/>
  <c r="AB887" i="1"/>
  <c r="AC886" i="1"/>
  <c r="AB886" i="1"/>
  <c r="AC885" i="1"/>
  <c r="AB885" i="1"/>
  <c r="AC884" i="1"/>
  <c r="AB884" i="1"/>
  <c r="AC883" i="1"/>
  <c r="AB883" i="1"/>
  <c r="AC882" i="1"/>
  <c r="AB882" i="1"/>
  <c r="AC881" i="1"/>
  <c r="AB881" i="1"/>
  <c r="AC880" i="1"/>
  <c r="AB880" i="1"/>
  <c r="AC879" i="1"/>
  <c r="AB879" i="1"/>
  <c r="AC878" i="1"/>
  <c r="AB878" i="1"/>
  <c r="AC877" i="1"/>
  <c r="AB877" i="1"/>
  <c r="AC876" i="1"/>
  <c r="AB876" i="1"/>
  <c r="AC875" i="1"/>
  <c r="AB875" i="1"/>
  <c r="AC874" i="1"/>
  <c r="AB874" i="1"/>
  <c r="AC873" i="1"/>
  <c r="AB873" i="1"/>
  <c r="AC872" i="1"/>
  <c r="AB872" i="1"/>
  <c r="AC871" i="1"/>
  <c r="AB871" i="1"/>
  <c r="AC870" i="1"/>
  <c r="AB870" i="1"/>
  <c r="AC869" i="1"/>
  <c r="AB869" i="1"/>
  <c r="AC868" i="1"/>
  <c r="AB868" i="1"/>
  <c r="AC867" i="1"/>
  <c r="AB867" i="1"/>
  <c r="AC866" i="1"/>
  <c r="AB866" i="1"/>
  <c r="AC865" i="1"/>
  <c r="AB865" i="1"/>
  <c r="AC864" i="1"/>
  <c r="AB864" i="1"/>
  <c r="AC863" i="1"/>
  <c r="AB863" i="1"/>
  <c r="AC862" i="1"/>
  <c r="AB862" i="1"/>
  <c r="AC861" i="1"/>
  <c r="AB861" i="1"/>
  <c r="AC860" i="1"/>
  <c r="AB860" i="1"/>
  <c r="AC859" i="1"/>
  <c r="AB859" i="1"/>
  <c r="AC858" i="1"/>
  <c r="AB858" i="1"/>
  <c r="AC857" i="1"/>
  <c r="AB857" i="1"/>
  <c r="AC856" i="1"/>
  <c r="AB856" i="1"/>
  <c r="AC855" i="1"/>
  <c r="AB855" i="1"/>
  <c r="AC854" i="1"/>
  <c r="AB854" i="1"/>
  <c r="AC853" i="1"/>
  <c r="AB853" i="1"/>
  <c r="AC852" i="1"/>
  <c r="AB852" i="1"/>
  <c r="AC851" i="1"/>
  <c r="AB851" i="1"/>
  <c r="AC850" i="1"/>
  <c r="AB850" i="1"/>
  <c r="AC849" i="1"/>
  <c r="AB849" i="1"/>
  <c r="AC848" i="1"/>
  <c r="AB848" i="1"/>
  <c r="AC847" i="1"/>
  <c r="AB847" i="1"/>
  <c r="AC846" i="1"/>
  <c r="AB846" i="1"/>
  <c r="AC845" i="1"/>
  <c r="AB845" i="1"/>
  <c r="AC844" i="1"/>
  <c r="AB844" i="1"/>
  <c r="AC843" i="1"/>
  <c r="AB843" i="1"/>
  <c r="AC842" i="1"/>
  <c r="AB842" i="1"/>
  <c r="AC841" i="1"/>
  <c r="AB841" i="1"/>
  <c r="AC840" i="1"/>
  <c r="AB840" i="1"/>
  <c r="AC839" i="1"/>
  <c r="AB839" i="1"/>
  <c r="AC838" i="1"/>
  <c r="AB838" i="1"/>
  <c r="AC837" i="1"/>
  <c r="AB837" i="1"/>
  <c r="AC836" i="1"/>
  <c r="AB836" i="1"/>
  <c r="AC835" i="1"/>
  <c r="AB835" i="1"/>
  <c r="AC834" i="1"/>
  <c r="AB834" i="1"/>
  <c r="AC833" i="1"/>
  <c r="AB833" i="1"/>
  <c r="AC832" i="1"/>
  <c r="AB832" i="1"/>
  <c r="AC831" i="1"/>
  <c r="AB831" i="1"/>
  <c r="AC830" i="1"/>
  <c r="AB830" i="1"/>
  <c r="AC829" i="1"/>
  <c r="AB829" i="1"/>
  <c r="AC828" i="1"/>
  <c r="AB828" i="1"/>
  <c r="AC827" i="1"/>
  <c r="AB827" i="1"/>
  <c r="AC826" i="1"/>
  <c r="AB826" i="1"/>
  <c r="AC825" i="1"/>
  <c r="AB825" i="1"/>
  <c r="AC824" i="1"/>
  <c r="AB824" i="1"/>
  <c r="AC823" i="1"/>
  <c r="AB823" i="1"/>
  <c r="AC822" i="1"/>
  <c r="AB822" i="1"/>
  <c r="AC821" i="1"/>
  <c r="AB821" i="1"/>
  <c r="AC820" i="1"/>
  <c r="AB820" i="1"/>
  <c r="AC819" i="1"/>
  <c r="AB819" i="1"/>
  <c r="AC818" i="1"/>
  <c r="AB818" i="1"/>
  <c r="AC817" i="1"/>
  <c r="AB817" i="1"/>
  <c r="AC816" i="1"/>
  <c r="AB816" i="1"/>
  <c r="AC815" i="1"/>
  <c r="AB815" i="1"/>
  <c r="AC814" i="1"/>
  <c r="AB814" i="1"/>
  <c r="AC813" i="1"/>
  <c r="AB813" i="1"/>
  <c r="AC812" i="1"/>
  <c r="AB812" i="1"/>
  <c r="AC811" i="1"/>
  <c r="AB811" i="1"/>
  <c r="AC810" i="1"/>
  <c r="AB810" i="1"/>
  <c r="AC809" i="1"/>
  <c r="AB809" i="1"/>
  <c r="AC808" i="1"/>
  <c r="AB808" i="1"/>
  <c r="AC807" i="1"/>
  <c r="AB807" i="1"/>
  <c r="AC806" i="1"/>
  <c r="AB806" i="1"/>
  <c r="AC805" i="1"/>
  <c r="AB805" i="1"/>
  <c r="AC804" i="1"/>
  <c r="AB804" i="1"/>
  <c r="AC803" i="1"/>
  <c r="AB803" i="1"/>
  <c r="AC802" i="1"/>
  <c r="AB802" i="1"/>
  <c r="AC801" i="1"/>
  <c r="AB801" i="1"/>
  <c r="AC800" i="1"/>
  <c r="AB800" i="1"/>
  <c r="AC799" i="1"/>
  <c r="AB799" i="1"/>
  <c r="AC798" i="1"/>
  <c r="AB798" i="1"/>
  <c r="AC797" i="1"/>
  <c r="AB797" i="1"/>
  <c r="AC796" i="1"/>
  <c r="AB796" i="1"/>
  <c r="AC795" i="1"/>
  <c r="AB795" i="1"/>
  <c r="AC794" i="1"/>
  <c r="AB794" i="1"/>
  <c r="AC793" i="1"/>
  <c r="AB793" i="1"/>
  <c r="AC792" i="1"/>
  <c r="AB792" i="1"/>
  <c r="AC791" i="1"/>
  <c r="AB791" i="1"/>
  <c r="AC790" i="1"/>
  <c r="AB790" i="1"/>
  <c r="AC789" i="1"/>
  <c r="AB789" i="1"/>
  <c r="AC788" i="1"/>
  <c r="AB788" i="1"/>
  <c r="AC787" i="1"/>
  <c r="AB787" i="1"/>
  <c r="AC786" i="1"/>
  <c r="AB786" i="1"/>
  <c r="AC785" i="1"/>
  <c r="AB785" i="1"/>
  <c r="AC784" i="1"/>
  <c r="AB784" i="1"/>
  <c r="AC783" i="1"/>
  <c r="AB783" i="1"/>
  <c r="AC782" i="1"/>
  <c r="AB782" i="1"/>
  <c r="AC781" i="1"/>
  <c r="AB781" i="1"/>
  <c r="AC780" i="1"/>
  <c r="AB780" i="1"/>
  <c r="AC779" i="1"/>
  <c r="AB779" i="1"/>
  <c r="AC778" i="1"/>
  <c r="AB778" i="1"/>
  <c r="AC777" i="1"/>
  <c r="AB777" i="1"/>
  <c r="AC776" i="1"/>
  <c r="AB776" i="1"/>
  <c r="AC775" i="1"/>
  <c r="AB775" i="1"/>
  <c r="AC774" i="1"/>
  <c r="AB774" i="1"/>
  <c r="AC773" i="1"/>
  <c r="AB773" i="1"/>
  <c r="AC772" i="1"/>
  <c r="AB772" i="1"/>
  <c r="AC771" i="1"/>
  <c r="AB771" i="1"/>
  <c r="AC770" i="1"/>
  <c r="AB770" i="1"/>
  <c r="AC769" i="1"/>
  <c r="AB769" i="1"/>
  <c r="AC768" i="1"/>
  <c r="AB768" i="1"/>
  <c r="AC767" i="1"/>
  <c r="AB767" i="1"/>
  <c r="AC766" i="1"/>
  <c r="AB766" i="1"/>
  <c r="AC765" i="1"/>
  <c r="AB765" i="1"/>
  <c r="AC764" i="1"/>
  <c r="AB764" i="1"/>
  <c r="AC763" i="1"/>
  <c r="AB763" i="1"/>
  <c r="AC762" i="1"/>
  <c r="AB762" i="1"/>
  <c r="AC761" i="1"/>
  <c r="AB761" i="1"/>
  <c r="AC760" i="1"/>
  <c r="AB760" i="1"/>
  <c r="AC759" i="1"/>
  <c r="AB759" i="1"/>
  <c r="AC758" i="1"/>
  <c r="AB758" i="1"/>
  <c r="AC757" i="1"/>
  <c r="AB757" i="1"/>
  <c r="AC756" i="1"/>
  <c r="AB756" i="1"/>
  <c r="AC755" i="1"/>
  <c r="AB755" i="1"/>
  <c r="AC754" i="1"/>
  <c r="AB754" i="1"/>
  <c r="AC753" i="1"/>
  <c r="AB753" i="1"/>
  <c r="AC752" i="1"/>
  <c r="AB752" i="1"/>
  <c r="AC751" i="1"/>
  <c r="AB751" i="1"/>
  <c r="AC750" i="1"/>
  <c r="AB750" i="1"/>
  <c r="AC749" i="1"/>
  <c r="AB749" i="1"/>
  <c r="AC748" i="1"/>
  <c r="AB748" i="1"/>
  <c r="AC747" i="1"/>
  <c r="AB747" i="1"/>
  <c r="AC746" i="1"/>
  <c r="AB746" i="1"/>
  <c r="AC745" i="1"/>
  <c r="AB745" i="1"/>
  <c r="AC744" i="1"/>
  <c r="AB744" i="1"/>
  <c r="AC743" i="1"/>
  <c r="AB743" i="1"/>
  <c r="AC742" i="1"/>
  <c r="AB742" i="1"/>
  <c r="AC741" i="1"/>
  <c r="AB741" i="1"/>
  <c r="AC740" i="1"/>
  <c r="AB740" i="1"/>
  <c r="AC739" i="1"/>
  <c r="AB739" i="1"/>
  <c r="AC738" i="1"/>
  <c r="AB738" i="1"/>
  <c r="AC737" i="1"/>
  <c r="AB737" i="1"/>
  <c r="AC736" i="1"/>
  <c r="AB736" i="1"/>
  <c r="AC735" i="1"/>
  <c r="AB735" i="1"/>
  <c r="AC734" i="1"/>
  <c r="AB734" i="1"/>
  <c r="AC733" i="1"/>
  <c r="AB733" i="1"/>
  <c r="AC732" i="1"/>
  <c r="AB732" i="1"/>
  <c r="AC731" i="1"/>
  <c r="AB731" i="1"/>
  <c r="AC730" i="1"/>
  <c r="AB730" i="1"/>
  <c r="AC729" i="1"/>
  <c r="AB729" i="1"/>
  <c r="AC728" i="1"/>
  <c r="AB728" i="1"/>
  <c r="AC727" i="1"/>
  <c r="AB727" i="1"/>
  <c r="AC726" i="1"/>
  <c r="AB726" i="1"/>
  <c r="AC725" i="1"/>
  <c r="AB725" i="1"/>
  <c r="AC724" i="1"/>
  <c r="AB724" i="1"/>
  <c r="AC723" i="1"/>
  <c r="AB723" i="1"/>
  <c r="AC722" i="1"/>
  <c r="AB722" i="1"/>
  <c r="AC721" i="1"/>
  <c r="AB721" i="1"/>
  <c r="AC720" i="1"/>
  <c r="AB720" i="1"/>
  <c r="AC719" i="1"/>
  <c r="AB719" i="1"/>
  <c r="AC718" i="1"/>
  <c r="AB718" i="1"/>
  <c r="AC717" i="1"/>
  <c r="AB717" i="1"/>
  <c r="AC716" i="1"/>
  <c r="AB716" i="1"/>
  <c r="AC715" i="1"/>
  <c r="AB715" i="1"/>
  <c r="AC714" i="1"/>
  <c r="AB714" i="1"/>
  <c r="AC713" i="1"/>
  <c r="AB713" i="1"/>
  <c r="AC712" i="1"/>
  <c r="AB712" i="1"/>
  <c r="AC711" i="1"/>
  <c r="AB711" i="1"/>
  <c r="AC710" i="1"/>
  <c r="AB710" i="1"/>
  <c r="AC709" i="1"/>
  <c r="AB709" i="1"/>
  <c r="AC708" i="1"/>
  <c r="AB708" i="1"/>
  <c r="AC707" i="1"/>
  <c r="AB707" i="1"/>
  <c r="AC706" i="1"/>
  <c r="AB706" i="1"/>
  <c r="AC705" i="1"/>
  <c r="AB705" i="1"/>
  <c r="AC704" i="1"/>
  <c r="AB704" i="1"/>
  <c r="AC703" i="1"/>
  <c r="AB703" i="1"/>
  <c r="AC702" i="1"/>
  <c r="AB702" i="1"/>
  <c r="AC701" i="1"/>
  <c r="AB701" i="1"/>
  <c r="AC700" i="1"/>
  <c r="AB700" i="1"/>
  <c r="AC699" i="1"/>
  <c r="AB699" i="1"/>
  <c r="AC698" i="1"/>
  <c r="AB698" i="1"/>
  <c r="AC697" i="1"/>
  <c r="AB697" i="1"/>
  <c r="AC696" i="1"/>
  <c r="AB696" i="1"/>
  <c r="AC695" i="1"/>
  <c r="AB695" i="1"/>
  <c r="AC694" i="1"/>
  <c r="AB694" i="1"/>
  <c r="AC693" i="1"/>
  <c r="AB693" i="1"/>
  <c r="AC692" i="1"/>
  <c r="AB692" i="1"/>
  <c r="AC691" i="1"/>
  <c r="AB691" i="1"/>
  <c r="AC690" i="1"/>
  <c r="AB690" i="1"/>
  <c r="AC689" i="1"/>
  <c r="AB689" i="1"/>
  <c r="AC688" i="1"/>
  <c r="AB688" i="1"/>
  <c r="AC687" i="1"/>
  <c r="AB687" i="1"/>
  <c r="AC686" i="1"/>
  <c r="AB686" i="1"/>
  <c r="AC685" i="1"/>
  <c r="AB685" i="1"/>
  <c r="AC684" i="1"/>
  <c r="AB684" i="1"/>
  <c r="AC683" i="1"/>
  <c r="AB683" i="1"/>
  <c r="AC682" i="1"/>
  <c r="AB682" i="1"/>
  <c r="AC681" i="1"/>
  <c r="AB681" i="1"/>
  <c r="AC680" i="1"/>
  <c r="AB680" i="1"/>
  <c r="AC679" i="1"/>
  <c r="AB679" i="1"/>
  <c r="AC678" i="1"/>
  <c r="AB678" i="1"/>
  <c r="AC677" i="1"/>
  <c r="AB677" i="1"/>
  <c r="AC676" i="1"/>
  <c r="AB676" i="1"/>
  <c r="AC675" i="1"/>
  <c r="AB675" i="1"/>
  <c r="AC674" i="1"/>
  <c r="AB674" i="1"/>
  <c r="AC673" i="1"/>
  <c r="AB673" i="1"/>
  <c r="AC672" i="1"/>
  <c r="AB672" i="1"/>
  <c r="AC671" i="1"/>
  <c r="AB671" i="1"/>
  <c r="AC670" i="1"/>
  <c r="AB670" i="1"/>
  <c r="AC669" i="1"/>
  <c r="AB669" i="1"/>
  <c r="AC668" i="1"/>
  <c r="AB668" i="1"/>
  <c r="AC667" i="1"/>
  <c r="AB667" i="1"/>
  <c r="AC666" i="1"/>
  <c r="AB666" i="1"/>
  <c r="AC665" i="1"/>
  <c r="AB665" i="1"/>
  <c r="AC664" i="1"/>
  <c r="AB664" i="1"/>
  <c r="AC663" i="1"/>
  <c r="AB663" i="1"/>
  <c r="AC662" i="1"/>
  <c r="AB662" i="1"/>
  <c r="AC661" i="1"/>
  <c r="AB661" i="1"/>
  <c r="AC660" i="1"/>
  <c r="AB660" i="1"/>
  <c r="AC659" i="1"/>
  <c r="AB659" i="1"/>
  <c r="AC658" i="1"/>
  <c r="AB658" i="1"/>
  <c r="AC657" i="1"/>
  <c r="AB657" i="1"/>
  <c r="AC656" i="1"/>
  <c r="AB656" i="1"/>
  <c r="AC655" i="1"/>
  <c r="AB655" i="1"/>
  <c r="AC654" i="1"/>
  <c r="AB654" i="1"/>
  <c r="AC653" i="1"/>
  <c r="AB653" i="1"/>
  <c r="AC652" i="1"/>
  <c r="AB652" i="1"/>
  <c r="AC651" i="1"/>
  <c r="AB651" i="1"/>
  <c r="AC650" i="1"/>
  <c r="AB650" i="1"/>
  <c r="AC649" i="1"/>
  <c r="AB649" i="1"/>
  <c r="AC648" i="1"/>
  <c r="AB648" i="1"/>
  <c r="AC647" i="1"/>
  <c r="AB647" i="1"/>
  <c r="AC646" i="1"/>
  <c r="AB646" i="1"/>
  <c r="AC645" i="1"/>
  <c r="AB645" i="1"/>
  <c r="AC644" i="1"/>
  <c r="AB644" i="1"/>
  <c r="AC643" i="1"/>
  <c r="AB643" i="1"/>
  <c r="AC642" i="1"/>
  <c r="AB642" i="1"/>
  <c r="AC641" i="1"/>
  <c r="AB641" i="1"/>
  <c r="AC640" i="1"/>
  <c r="AB640" i="1"/>
  <c r="AC639" i="1"/>
  <c r="AB639" i="1"/>
  <c r="AC638" i="1"/>
  <c r="AB638" i="1"/>
  <c r="AC637" i="1"/>
  <c r="AB637" i="1"/>
  <c r="AC636" i="1"/>
  <c r="AB636" i="1"/>
  <c r="AC635" i="1"/>
  <c r="AB635" i="1"/>
  <c r="AC634" i="1"/>
  <c r="AB634" i="1"/>
  <c r="AC633" i="1"/>
  <c r="AB633" i="1"/>
  <c r="AC632" i="1"/>
  <c r="AB632" i="1"/>
  <c r="AC631" i="1"/>
  <c r="AB631" i="1"/>
  <c r="AC630" i="1"/>
  <c r="AB630" i="1"/>
  <c r="AC629" i="1"/>
  <c r="AB629" i="1"/>
  <c r="AC628" i="1"/>
  <c r="AB628" i="1"/>
  <c r="AC627" i="1"/>
  <c r="AB627" i="1"/>
  <c r="AC626" i="1"/>
  <c r="AB626" i="1"/>
  <c r="AC625" i="1"/>
  <c r="AB625" i="1"/>
  <c r="AC624" i="1"/>
  <c r="AB624" i="1"/>
  <c r="AC623" i="1"/>
  <c r="AB623" i="1"/>
  <c r="AC622" i="1"/>
  <c r="AB622" i="1"/>
  <c r="AC621" i="1"/>
  <c r="AB621" i="1"/>
  <c r="AC620" i="1"/>
  <c r="AB620" i="1"/>
  <c r="AC619" i="1"/>
  <c r="AB619" i="1"/>
  <c r="AC618" i="1"/>
  <c r="AB618" i="1"/>
  <c r="AC617" i="1"/>
  <c r="AB617" i="1"/>
  <c r="AC616" i="1"/>
  <c r="AB616" i="1"/>
  <c r="AC615" i="1"/>
  <c r="AB615" i="1"/>
  <c r="AC614" i="1"/>
  <c r="AB614" i="1"/>
  <c r="AC613" i="1"/>
  <c r="AB613" i="1"/>
  <c r="AC612" i="1"/>
  <c r="AB612" i="1"/>
  <c r="AC611" i="1"/>
  <c r="AB611" i="1"/>
  <c r="AC610" i="1"/>
  <c r="AB610" i="1"/>
  <c r="AC609" i="1"/>
  <c r="AB609" i="1"/>
  <c r="AC608" i="1"/>
  <c r="AB608" i="1"/>
  <c r="AC607" i="1"/>
  <c r="AB607" i="1"/>
  <c r="AC606" i="1"/>
  <c r="AB606" i="1"/>
  <c r="AC605" i="1"/>
  <c r="AB605" i="1"/>
  <c r="AC604" i="1"/>
  <c r="AB604" i="1"/>
  <c r="AC603" i="1"/>
  <c r="AB603" i="1"/>
  <c r="AC602" i="1"/>
  <c r="AB602" i="1"/>
  <c r="AC601" i="1"/>
  <c r="AB601" i="1"/>
  <c r="AC600" i="1"/>
  <c r="AB600" i="1"/>
  <c r="AC599" i="1"/>
  <c r="AB599" i="1"/>
  <c r="AC598" i="1"/>
  <c r="AB598" i="1"/>
  <c r="AC597" i="1"/>
  <c r="AB597" i="1"/>
  <c r="AC596" i="1"/>
  <c r="AB596" i="1"/>
  <c r="AC595" i="1"/>
  <c r="AB595" i="1"/>
  <c r="AC594" i="1"/>
  <c r="AB594" i="1"/>
  <c r="AC593" i="1"/>
  <c r="AB593" i="1"/>
  <c r="AC592" i="1"/>
  <c r="AB592" i="1"/>
  <c r="AC591" i="1"/>
  <c r="AB591" i="1"/>
  <c r="AC590" i="1"/>
  <c r="AB590" i="1"/>
  <c r="AC589" i="1"/>
  <c r="AB589" i="1"/>
  <c r="AC588" i="1"/>
  <c r="AB588" i="1"/>
  <c r="AC587" i="1"/>
  <c r="AB587" i="1"/>
  <c r="AC586" i="1"/>
  <c r="AB586" i="1"/>
  <c r="AC585" i="1"/>
  <c r="AB585" i="1"/>
  <c r="AC584" i="1"/>
  <c r="AB584" i="1"/>
  <c r="AC583" i="1"/>
  <c r="AB583" i="1"/>
  <c r="AC582" i="1"/>
  <c r="AB582" i="1"/>
  <c r="AC581" i="1"/>
  <c r="AB581" i="1"/>
  <c r="AC580" i="1"/>
  <c r="AB580" i="1"/>
  <c r="AC579" i="1"/>
  <c r="AB579" i="1"/>
  <c r="AC578" i="1"/>
  <c r="AB578" i="1"/>
  <c r="AC577" i="1"/>
  <c r="AB577" i="1"/>
  <c r="AC576" i="1"/>
  <c r="AB576" i="1"/>
  <c r="AC575" i="1"/>
  <c r="AB575" i="1"/>
  <c r="AC574" i="1"/>
  <c r="AB574" i="1"/>
  <c r="AC573" i="1"/>
  <c r="AB573" i="1"/>
  <c r="AC572" i="1"/>
  <c r="AB572" i="1"/>
  <c r="AC571" i="1"/>
  <c r="AB571" i="1"/>
  <c r="AC570" i="1"/>
  <c r="AB570" i="1"/>
  <c r="AC569" i="1"/>
  <c r="AB569" i="1"/>
  <c r="AC568" i="1"/>
  <c r="AB568" i="1"/>
  <c r="AC567" i="1"/>
  <c r="AB567" i="1"/>
  <c r="AC566" i="1"/>
  <c r="AB566" i="1"/>
  <c r="AC565" i="1"/>
  <c r="AB565" i="1"/>
  <c r="AC564" i="1"/>
  <c r="AB564" i="1"/>
  <c r="AC563" i="1"/>
  <c r="AB563" i="1"/>
  <c r="AC562" i="1"/>
  <c r="AB562" i="1"/>
  <c r="AC561" i="1"/>
  <c r="AB561" i="1"/>
  <c r="AC560" i="1"/>
  <c r="AB560" i="1"/>
  <c r="AC559" i="1"/>
  <c r="AB559" i="1"/>
  <c r="AC558" i="1"/>
  <c r="AB558" i="1"/>
  <c r="AC557" i="1"/>
  <c r="AB557" i="1"/>
  <c r="AC556" i="1"/>
  <c r="AB556" i="1"/>
  <c r="AC555" i="1"/>
  <c r="AB555" i="1"/>
  <c r="AC554" i="1"/>
  <c r="AB554" i="1"/>
  <c r="AC553" i="1"/>
  <c r="AB553" i="1"/>
  <c r="AC552" i="1"/>
  <c r="AB552" i="1"/>
  <c r="AC551" i="1"/>
  <c r="AB551" i="1"/>
  <c r="AC550" i="1"/>
  <c r="AB550" i="1"/>
  <c r="AC549" i="1"/>
  <c r="AB549" i="1"/>
  <c r="AC548" i="1"/>
  <c r="AB548" i="1"/>
  <c r="AC547" i="1"/>
  <c r="AB547" i="1"/>
  <c r="AC546" i="1"/>
  <c r="AB546" i="1"/>
  <c r="AC545" i="1"/>
  <c r="AB545" i="1"/>
  <c r="AC544" i="1"/>
  <c r="AB544" i="1"/>
  <c r="AC543" i="1"/>
  <c r="AB543" i="1"/>
  <c r="AC542" i="1"/>
  <c r="AB542" i="1"/>
  <c r="AC541" i="1"/>
  <c r="AB541" i="1"/>
  <c r="AC540" i="1"/>
  <c r="AB540" i="1"/>
  <c r="AC539" i="1"/>
  <c r="AB539" i="1"/>
  <c r="AC538" i="1"/>
  <c r="AB538" i="1"/>
  <c r="AC537" i="1"/>
  <c r="AB537" i="1"/>
  <c r="AC536" i="1"/>
  <c r="AB536" i="1"/>
  <c r="AC535" i="1"/>
  <c r="AB535" i="1"/>
  <c r="AC534" i="1"/>
  <c r="AB534" i="1"/>
  <c r="AC533" i="1"/>
  <c r="AB533" i="1"/>
  <c r="AC532" i="1"/>
  <c r="AB532" i="1"/>
  <c r="AC531" i="1"/>
  <c r="AB531" i="1"/>
  <c r="AC530" i="1"/>
  <c r="AB530" i="1"/>
  <c r="AC529" i="1"/>
  <c r="AB529" i="1"/>
  <c r="AC528" i="1"/>
  <c r="AB528" i="1"/>
  <c r="AC527" i="1"/>
  <c r="AB527" i="1"/>
  <c r="AC526" i="1"/>
  <c r="AB526" i="1"/>
  <c r="AC525" i="1"/>
  <c r="AB525" i="1"/>
  <c r="AC524" i="1"/>
  <c r="AB524" i="1"/>
  <c r="AC523" i="1"/>
  <c r="AB523" i="1"/>
  <c r="AC522" i="1"/>
  <c r="AB522" i="1"/>
  <c r="AC521" i="1"/>
  <c r="AB521" i="1"/>
  <c r="AC520" i="1"/>
  <c r="AB520" i="1"/>
  <c r="AC519" i="1"/>
  <c r="AB519" i="1"/>
  <c r="AC518" i="1"/>
  <c r="AB518" i="1"/>
  <c r="AC517" i="1"/>
  <c r="AB517" i="1"/>
  <c r="AC516" i="1"/>
  <c r="AB516" i="1"/>
  <c r="AC515" i="1"/>
  <c r="AB515" i="1"/>
  <c r="AC514" i="1"/>
  <c r="AB514" i="1"/>
  <c r="AC513" i="1"/>
  <c r="AB513" i="1"/>
  <c r="AC512" i="1"/>
  <c r="AB512" i="1"/>
  <c r="AC511" i="1"/>
  <c r="AB511" i="1"/>
  <c r="AC510" i="1"/>
  <c r="AB510" i="1"/>
  <c r="AC509" i="1"/>
  <c r="AB509" i="1"/>
  <c r="AC508" i="1"/>
  <c r="AB508" i="1"/>
  <c r="AC507" i="1"/>
  <c r="AB507" i="1"/>
  <c r="AC506" i="1"/>
  <c r="AB506" i="1"/>
  <c r="AC505" i="1"/>
  <c r="AB505" i="1"/>
  <c r="AC504" i="1"/>
  <c r="AB504" i="1"/>
  <c r="AC503" i="1"/>
  <c r="AB503" i="1"/>
  <c r="AC502" i="1"/>
  <c r="AB502" i="1"/>
  <c r="AC501" i="1"/>
  <c r="AB501" i="1"/>
  <c r="AC500" i="1"/>
  <c r="AB500" i="1"/>
  <c r="AC499" i="1"/>
  <c r="AB499" i="1"/>
  <c r="AC498" i="1"/>
  <c r="AB498" i="1"/>
  <c r="AC497" i="1"/>
  <c r="AB497" i="1"/>
  <c r="AC496" i="1"/>
  <c r="AB496" i="1"/>
  <c r="AC495" i="1"/>
  <c r="AB495" i="1"/>
  <c r="AC494" i="1"/>
  <c r="AB494" i="1"/>
  <c r="AC493" i="1"/>
  <c r="AB493" i="1"/>
  <c r="AC492" i="1"/>
  <c r="AB492" i="1"/>
  <c r="AC491" i="1"/>
  <c r="AB491" i="1"/>
  <c r="AC490" i="1"/>
  <c r="AB490" i="1"/>
  <c r="AC489" i="1"/>
  <c r="AB489" i="1"/>
  <c r="AC488" i="1"/>
  <c r="AB488" i="1"/>
  <c r="AC487" i="1"/>
  <c r="AB487" i="1"/>
  <c r="AC486" i="1"/>
  <c r="AB486" i="1"/>
  <c r="AC485" i="1"/>
  <c r="AB485" i="1"/>
  <c r="AC484" i="1"/>
  <c r="AB484" i="1"/>
  <c r="AC483" i="1"/>
  <c r="AB483" i="1"/>
  <c r="AC482" i="1"/>
  <c r="AB482" i="1"/>
  <c r="AC481" i="1"/>
  <c r="AB481" i="1"/>
  <c r="AC480" i="1"/>
  <c r="AB480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AC456" i="1"/>
  <c r="AB456" i="1"/>
  <c r="AC455" i="1"/>
  <c r="AB455" i="1"/>
  <c r="AC454" i="1"/>
  <c r="AB454" i="1"/>
  <c r="AC453" i="1"/>
  <c r="AB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AC445" i="1"/>
  <c r="AB445" i="1"/>
  <c r="AC444" i="1"/>
  <c r="AB444" i="1"/>
  <c r="AC443" i="1"/>
  <c r="AB443" i="1"/>
  <c r="AC442" i="1"/>
  <c r="AB442" i="1"/>
  <c r="AC441" i="1"/>
  <c r="AB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2" i="1"/>
  <c r="AB402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AC386" i="1"/>
  <c r="AB386" i="1"/>
  <c r="AC385" i="1"/>
  <c r="AB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AC358" i="1"/>
  <c r="AB358" i="1"/>
  <c r="AC357" i="1"/>
  <c r="AB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2" i="1"/>
  <c r="AB302" i="1"/>
  <c r="AC301" i="1"/>
  <c r="AB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tc={160520eb-1553-4a53-be65-f2cc82a74710}</author>
  </authors>
  <commentList>
    <comment ref="D4" authorId="0" shapeId="0" xr:uid="{160520EB-1553-4A53-BE65-F2CC82A747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actually a VV issue mostly, but rather a VM issue. But they have really, really big plants... and lots of herbivory damage..</t>
      </text>
    </comment>
  </commentList>
</comments>
</file>

<file path=xl/sharedStrings.xml><?xml version="1.0" encoding="utf-8"?>
<sst xmlns="http://schemas.openxmlformats.org/spreadsheetml/2006/main" count="11508" uniqueCount="530">
  <si>
    <t>date</t>
  </si>
  <si>
    <t>ANO_flatID</t>
  </si>
  <si>
    <t>ANO_pointID</t>
  </si>
  <si>
    <t>collector</t>
  </si>
  <si>
    <t>habitat</t>
  </si>
  <si>
    <t>NiN_type</t>
  </si>
  <si>
    <t>species</t>
  </si>
  <si>
    <t>individual_nr</t>
  </si>
  <si>
    <t>plant_height_cm</t>
  </si>
  <si>
    <t>length_lb_cm</t>
  </si>
  <si>
    <t>nr_segments_lb</t>
  </si>
  <si>
    <t>Segment</t>
  </si>
  <si>
    <t>length_mm</t>
  </si>
  <si>
    <t>nr_leaves</t>
  </si>
  <si>
    <t>nr_scars</t>
  </si>
  <si>
    <t>nr_branch_scars</t>
  </si>
  <si>
    <t>nr_side_branches</t>
  </si>
  <si>
    <t>nr_fruits</t>
  </si>
  <si>
    <t>nr_fruit_buds</t>
  </si>
  <si>
    <t>leaf_weight</t>
  </si>
  <si>
    <t>stem_weight</t>
  </si>
  <si>
    <t>branches_weight</t>
  </si>
  <si>
    <t>fruit_weight</t>
  </si>
  <si>
    <t>fruitbuds_weight</t>
  </si>
  <si>
    <t>sidebranches_weight</t>
  </si>
  <si>
    <t>remarks</t>
  </si>
  <si>
    <t>UniqueID</t>
  </si>
  <si>
    <t>UniqueID_Sonya</t>
  </si>
  <si>
    <t>UniqueID_Plant</t>
  </si>
  <si>
    <t>Herbarium_Yes/No</t>
  </si>
  <si>
    <t>Weighed_Yes/No</t>
  </si>
  <si>
    <t>Weighed and Bag found</t>
  </si>
  <si>
    <t>SE_O</t>
  </si>
  <si>
    <t>AH</t>
  </si>
  <si>
    <t>open</t>
  </si>
  <si>
    <t>vv</t>
  </si>
  <si>
    <t>S24</t>
  </si>
  <si>
    <t>Yes</t>
  </si>
  <si>
    <t>S23</t>
  </si>
  <si>
    <t>S22</t>
  </si>
  <si>
    <t>vm</t>
  </si>
  <si>
    <t>SE_F</t>
  </si>
  <si>
    <t>forest</t>
  </si>
  <si>
    <t>T4-C-5</t>
  </si>
  <si>
    <t>T4-C-1</t>
  </si>
  <si>
    <t>T31-C-1</t>
  </si>
  <si>
    <t>T31-C-5</t>
  </si>
  <si>
    <t>NA</t>
  </si>
  <si>
    <t>plant missing, had no 2024 leaves</t>
  </si>
  <si>
    <t>No</t>
  </si>
  <si>
    <t>7 segments on oldest branch</t>
  </si>
  <si>
    <t>T31-C-4</t>
  </si>
  <si>
    <t>1 branch broken off</t>
  </si>
  <si>
    <t>34.5</t>
  </si>
  <si>
    <t>tip broken off, upper branch might have been eaten, broken off.</t>
  </si>
  <si>
    <t>1 leaf and 1 branch coupled</t>
  </si>
  <si>
    <t>only 2 segments</t>
  </si>
  <si>
    <t>T31-C-2</t>
  </si>
  <si>
    <t>V1-C-5</t>
  </si>
  <si>
    <t>2 broken side branches</t>
  </si>
  <si>
    <t>1 broken branch</t>
  </si>
  <si>
    <t>T2-C-1</t>
  </si>
  <si>
    <t>2 broken branches</t>
  </si>
  <si>
    <t>Yes can be found below</t>
  </si>
  <si>
    <t>2 side branches and leaves coupled</t>
  </si>
  <si>
    <t>32.4</t>
  </si>
  <si>
    <t>KA_F</t>
  </si>
  <si>
    <t>KA_O</t>
  </si>
  <si>
    <t>missing segment?</t>
  </si>
  <si>
    <t>third segmend broken, only processed 2</t>
  </si>
  <si>
    <t>oldest segment 8</t>
  </si>
  <si>
    <t>oldest branch 6 segments</t>
  </si>
  <si>
    <t>oldest branch 7 segments</t>
  </si>
  <si>
    <t>1 branch and leaf coupled</t>
  </si>
  <si>
    <t>oldest branch 8 segments</t>
  </si>
  <si>
    <t>missing?</t>
  </si>
  <si>
    <t>1 branch broken</t>
  </si>
  <si>
    <t>1 broken branch, 2 dried branches</t>
  </si>
  <si>
    <t>leaf lost in breeze, no stem in bag</t>
  </si>
  <si>
    <t>maybe the first segment was lost, and a 4th was added incase 3 segments was needed</t>
  </si>
  <si>
    <t>0907</t>
  </si>
  <si>
    <t>MK</t>
  </si>
  <si>
    <t>T4C5</t>
  </si>
  <si>
    <t>T32C3</t>
  </si>
  <si>
    <t>MK8_4</t>
  </si>
  <si>
    <t>MK9_2</t>
  </si>
  <si>
    <t>MK8_2</t>
  </si>
  <si>
    <t>most segments is 5</t>
  </si>
  <si>
    <t>MK19_1</t>
  </si>
  <si>
    <t>11.0</t>
  </si>
  <si>
    <t>has a fruitstand without fruits</t>
  </si>
  <si>
    <t>MK8_3</t>
  </si>
  <si>
    <t>MK8_1</t>
  </si>
  <si>
    <t>frequent</t>
  </si>
  <si>
    <t>MK9_4</t>
  </si>
  <si>
    <t>MK9_3</t>
  </si>
  <si>
    <t>LY_O</t>
  </si>
  <si>
    <t>KB</t>
  </si>
  <si>
    <t>Difficult to tell if iit was 5 or 6 segments</t>
  </si>
  <si>
    <t>Difficult to tell where segment 3 ended</t>
  </si>
  <si>
    <t>9.0</t>
  </si>
  <si>
    <t>62.5</t>
  </si>
  <si>
    <t>LY_F</t>
  </si>
  <si>
    <t xml:space="preserve">Some brown leafs left in the bag but unsure where they are from, could be from the S3 22 segment </t>
  </si>
  <si>
    <t>35.5</t>
  </si>
  <si>
    <t>49.2</t>
  </si>
  <si>
    <t>59.0</t>
  </si>
  <si>
    <t>2 leafs and one branch bottom of bag unsure where it belongs</t>
  </si>
  <si>
    <t>37.4</t>
  </si>
  <si>
    <t>excess weight vv_3 + vm_3: 0.57725</t>
  </si>
  <si>
    <t>49.6</t>
  </si>
  <si>
    <t>55.5</t>
  </si>
  <si>
    <t>excess weight vv_2 + vm_2: 0.17554</t>
  </si>
  <si>
    <t>SO_F</t>
  </si>
  <si>
    <t>21.0</t>
  </si>
  <si>
    <t>KK_F</t>
  </si>
  <si>
    <t>Big diff between H and LB?</t>
  </si>
  <si>
    <t>KK_O</t>
  </si>
  <si>
    <t>Not done writing note</t>
  </si>
  <si>
    <t>S23 is missing from the bag</t>
  </si>
  <si>
    <t>SO_O</t>
  </si>
  <si>
    <t>sidebranch is berry stem</t>
  </si>
  <si>
    <t>KIL</t>
  </si>
  <si>
    <t>JULIA</t>
  </si>
  <si>
    <t>Plant length not including fruit segment! S24: Only berries, no stem/leafs</t>
  </si>
  <si>
    <t>1 Fruitstand coming out of the top</t>
  </si>
  <si>
    <t>sample included LB in bag; LB stem weight: 0.04945, LB leaf weight: 0.00384</t>
  </si>
  <si>
    <t>1 fruit cluser about to burst</t>
  </si>
  <si>
    <t>has no new year growth only flower cluster</t>
  </si>
  <si>
    <t>All broken tips, not processed</t>
  </si>
  <si>
    <t>Berry stem included in fruit weight</t>
  </si>
  <si>
    <t>No stem in bag</t>
  </si>
  <si>
    <t>12.09.2024</t>
  </si>
  <si>
    <t>ANO_0166</t>
  </si>
  <si>
    <t>PT</t>
  </si>
  <si>
    <t>skog</t>
  </si>
  <si>
    <t>T4-C1</t>
  </si>
  <si>
    <t>sidegreiner avbeitet</t>
  </si>
  <si>
    <t>10.08.2024</t>
  </si>
  <si>
    <t>ANO_0022</t>
  </si>
  <si>
    <t>T3-C3</t>
  </si>
  <si>
    <t>mange små blad</t>
  </si>
  <si>
    <t>06.09.2024</t>
  </si>
  <si>
    <t>ANO_0212</t>
  </si>
  <si>
    <t>V1-C5</t>
  </si>
  <si>
    <t>T4-C9</t>
  </si>
  <si>
    <t>V2-C1</t>
  </si>
  <si>
    <t>T4-C5</t>
  </si>
  <si>
    <t>07.09.2024</t>
  </si>
  <si>
    <t>ANO_0282</t>
  </si>
  <si>
    <t>09.09.2024</t>
  </si>
  <si>
    <t>ANO_0100</t>
  </si>
  <si>
    <t>T3-C2</t>
  </si>
  <si>
    <t>11.09.2024</t>
  </si>
  <si>
    <t>ANO_0085</t>
  </si>
  <si>
    <t>Kartlagt som T3-C5 i 2019. Bruker kartleggingsenhet 2024</t>
  </si>
  <si>
    <t>T3-C5</t>
  </si>
  <si>
    <t>02.09.2024</t>
  </si>
  <si>
    <t>ANO_0010</t>
  </si>
  <si>
    <t>T3-C4</t>
  </si>
  <si>
    <t>V1-C6</t>
  </si>
  <si>
    <t>22.08.2024</t>
  </si>
  <si>
    <t>ANO_0416</t>
  </si>
  <si>
    <t>LGV</t>
  </si>
  <si>
    <t>Individet var ikke forgrenet, derav lik lengde i cm på plant_hight og length_lb</t>
  </si>
  <si>
    <t>3 side branches and leaves coupled</t>
  </si>
  <si>
    <t>has S24B</t>
  </si>
  <si>
    <t>T3-C1</t>
  </si>
  <si>
    <t>1 side branch and leave coupled</t>
  </si>
  <si>
    <t>01.09.2024</t>
  </si>
  <si>
    <t>ANO_178</t>
  </si>
  <si>
    <t>V1-C7</t>
  </si>
  <si>
    <t>Branch scars, but branches gone</t>
  </si>
  <si>
    <t>One branch grazed (total would be 5)</t>
  </si>
  <si>
    <t>T34-C2</t>
  </si>
  <si>
    <t>2 leaves have turned brown</t>
  </si>
  <si>
    <t>T13-C1</t>
  </si>
  <si>
    <t>?</t>
  </si>
  <si>
    <t>03.09.2024</t>
  </si>
  <si>
    <t>ANO_818</t>
  </si>
  <si>
    <t>forested</t>
  </si>
  <si>
    <t>T4-C2</t>
  </si>
  <si>
    <t>I see 4 segments, but belive there are more segments in the massive root system (photos taken)</t>
  </si>
  <si>
    <t>08.09.2024</t>
  </si>
  <si>
    <t>ANO_016</t>
  </si>
  <si>
    <t>V3-C2</t>
  </si>
  <si>
    <t>ANO_1393</t>
  </si>
  <si>
    <t>woody stem (sticks out od the newspaper),has S24B</t>
  </si>
  <si>
    <t>No extra plant left</t>
  </si>
  <si>
    <t>has S24B, NO rest of the plant</t>
  </si>
  <si>
    <t>14.09.2024</t>
  </si>
  <si>
    <t>ANO_1159</t>
  </si>
  <si>
    <t>Plenty of side branches, all in the bag. The plant diameter of the plant stem is more than one cm, the root system were large</t>
  </si>
  <si>
    <t>16.09.2024</t>
  </si>
  <si>
    <t>ANO_352</t>
  </si>
  <si>
    <t>Premature branch</t>
  </si>
  <si>
    <t>V1-C2</t>
  </si>
  <si>
    <t>Premature branch (probably grazed)</t>
  </si>
  <si>
    <t>17.09.2024</t>
  </si>
  <si>
    <t>ANO_744</t>
  </si>
  <si>
    <t>Brown part at the top of the stem (might be due to late season or damange from grazing)</t>
  </si>
  <si>
    <t>ANO_171</t>
  </si>
  <si>
    <t>Yea</t>
  </si>
  <si>
    <t>18.09.2024</t>
  </si>
  <si>
    <t>ANO_724</t>
  </si>
  <si>
    <t>T34-C1</t>
  </si>
  <si>
    <t>From area with high grazing-pressure, hasS24B</t>
  </si>
  <si>
    <t>Two samples?</t>
  </si>
  <si>
    <t>From area with high grazing-pressure. has S24B</t>
  </si>
  <si>
    <t>From area with high grazing-pressure,  has S24B</t>
  </si>
  <si>
    <t>Two of the branches grazed</t>
  </si>
  <si>
    <t>From area with high grazing-pressure</t>
  </si>
  <si>
    <t>From area with high grazing-pressure, has S24B</t>
  </si>
  <si>
    <t>V1-C1</t>
  </si>
  <si>
    <t xml:space="preserve">From area with high grazing-pressure, </t>
  </si>
  <si>
    <t>From area with high grazing-pressure, has S25B</t>
  </si>
  <si>
    <t>ANO_843</t>
  </si>
  <si>
    <t>T4C2</t>
  </si>
  <si>
    <t>2* S23</t>
  </si>
  <si>
    <t>branches_weight had both stem and leaves</t>
  </si>
  <si>
    <t>^</t>
  </si>
  <si>
    <t>"1 ripe fruit at the base" it says on coffefilter</t>
  </si>
  <si>
    <t>cant see on the coffefilter - "1 "..." flower cluster" but cant find a flowercluster</t>
  </si>
  <si>
    <t>the leafes got cracked when taking out of filter, the leaf_weight is not all correct</t>
  </si>
  <si>
    <t>written on main filter: "1 Wo 3rd segment"</t>
  </si>
  <si>
    <t>some leaves fell off their branch</t>
  </si>
  <si>
    <t>had a fruit on branch</t>
  </si>
  <si>
    <t>the sidebranch bag: it had 2 branch and one extra branch without leaves (stem). weiged them together</t>
  </si>
  <si>
    <t>the bag wrote "0 leaves" so thats what i wrote down. yet there were 1, i weighed that one and that number is form the 1 leaf</t>
  </si>
  <si>
    <t>no S22</t>
  </si>
  <si>
    <t>note on filter: "branches: dead tip on one"</t>
  </si>
  <si>
    <t>note on filter: "segments: 10 but 12 segments elsewhere"</t>
  </si>
  <si>
    <t xml:space="preserve">leaf on stem halfly fell of and broke </t>
  </si>
  <si>
    <t>the fruit_weight were of buds</t>
  </si>
  <si>
    <t xml:space="preserve">miswriting in this bag. the bags seems to be miswritten </t>
  </si>
  <si>
    <t>marked: s2 2023, with 1 brankch, bag missing</t>
  </si>
  <si>
    <t>marked S2 2024 branches</t>
  </si>
  <si>
    <t>marked S3 2024 + bag with S3 branches</t>
  </si>
  <si>
    <t>see remark</t>
  </si>
  <si>
    <t>on coffiefilter: h = 9.8cm, but is the same as H for whole plant, maybe wrong note</t>
  </si>
  <si>
    <t>height on whole plant may be 15.6, the .0 or .6 is badly notet</t>
  </si>
  <si>
    <t>S1 2024</t>
  </si>
  <si>
    <t>S2 2024</t>
  </si>
  <si>
    <t>S3 2024</t>
  </si>
  <si>
    <t>note on filter: "oldest has 12 segments"</t>
  </si>
  <si>
    <t>may be a wrong writing of the filter for the branch, but it says S2 2022 branches</t>
  </si>
  <si>
    <t>note: 1 branch + 1 leaf coupled</t>
  </si>
  <si>
    <t xml:space="preserve">25.0 H is a note </t>
  </si>
  <si>
    <t>length measured 09.05.2025 (bevore drying)</t>
  </si>
  <si>
    <t>Number segments is missing</t>
  </si>
  <si>
    <t>leaves 11+ bud cluster</t>
  </si>
  <si>
    <t>leaves 9+ 5 buds</t>
  </si>
  <si>
    <t>branch missing, leave scars missing (I wrote 9 for now)</t>
  </si>
  <si>
    <t>segments missing</t>
  </si>
  <si>
    <t>segments missing, no longes branch but stlrrts (?)</t>
  </si>
  <si>
    <t>leav scars missing</t>
  </si>
  <si>
    <t>no side branch</t>
  </si>
  <si>
    <t>MK16_1</t>
  </si>
  <si>
    <t>MK16_2</t>
  </si>
  <si>
    <t>MK16_3</t>
  </si>
  <si>
    <t>Main stem died, LB is a side Branch of S3</t>
  </si>
  <si>
    <t>MK19_2</t>
  </si>
  <si>
    <t>MK17_1</t>
  </si>
  <si>
    <t>MK9_1</t>
  </si>
  <si>
    <t>MK19_4</t>
  </si>
  <si>
    <t>MK16_4</t>
  </si>
  <si>
    <t>MK15_4</t>
  </si>
  <si>
    <t>v</t>
  </si>
  <si>
    <t>Individual v? Mybe it is 4 as in the code?</t>
  </si>
  <si>
    <t>MK15_2</t>
  </si>
  <si>
    <t>MK17_3</t>
  </si>
  <si>
    <t>MK4_2</t>
  </si>
  <si>
    <t>MK17_2</t>
  </si>
  <si>
    <t>MK15_3</t>
  </si>
  <si>
    <t>MK15_1</t>
  </si>
  <si>
    <t>one sidebranch broke into small pieces (dry and fragile)</t>
  </si>
  <si>
    <t>MK17_4</t>
  </si>
  <si>
    <t>LB</t>
  </si>
  <si>
    <t>MS, S3 for LB is S4 for this one</t>
  </si>
  <si>
    <t>MS</t>
  </si>
  <si>
    <t>MK19_3</t>
  </si>
  <si>
    <t>MK3_1</t>
  </si>
  <si>
    <t>MK6_3</t>
  </si>
  <si>
    <t>MK4_4</t>
  </si>
  <si>
    <t>LB is side Branch of S4</t>
  </si>
  <si>
    <t>MK3_2</t>
  </si>
  <si>
    <t>difficult to tell nr_scars</t>
  </si>
  <si>
    <t>MK3_3</t>
  </si>
  <si>
    <t>LB is a side Branch of S4</t>
  </si>
  <si>
    <t>MK4_3</t>
  </si>
  <si>
    <t>MK6_4</t>
  </si>
  <si>
    <t>MK5_2</t>
  </si>
  <si>
    <t>MK6_2</t>
  </si>
  <si>
    <t>Lb is side branch of S4, MB (S4) broken</t>
  </si>
  <si>
    <t>MK6_1</t>
  </si>
  <si>
    <t>could be more segments, hard to tell year growth (woody stem)</t>
  </si>
  <si>
    <t>MK5_1</t>
  </si>
  <si>
    <t>MK7_4</t>
  </si>
  <si>
    <t>MK7_2</t>
  </si>
  <si>
    <t>MK4_1</t>
  </si>
  <si>
    <t>MK5_4</t>
  </si>
  <si>
    <t>MK3_4</t>
  </si>
  <si>
    <t>MK13_1a</t>
  </si>
  <si>
    <t>MK13_1b</t>
  </si>
  <si>
    <t>MK12_3</t>
  </si>
  <si>
    <t>MK7_3</t>
  </si>
  <si>
    <t>MK11_4</t>
  </si>
  <si>
    <t>LB is a side Branch of S2, S2 was broken at the Tip</t>
  </si>
  <si>
    <t>MK10_3</t>
  </si>
  <si>
    <t>MK11_2</t>
  </si>
  <si>
    <t>MK10_2</t>
  </si>
  <si>
    <t>nr_fruit_buds are larger clusters</t>
  </si>
  <si>
    <t>MK13_2</t>
  </si>
  <si>
    <t>MK11_1</t>
  </si>
  <si>
    <t xml:space="preserve">tip broken </t>
  </si>
  <si>
    <t>MK12_1</t>
  </si>
  <si>
    <t>MK12_2</t>
  </si>
  <si>
    <t>MK13_4</t>
  </si>
  <si>
    <t>MK10_4</t>
  </si>
  <si>
    <t>MK10_1</t>
  </si>
  <si>
    <t xml:space="preserve">NOT FINISHED; fruit bud-clusters (S1) had 13 leaves </t>
  </si>
  <si>
    <t>MK14_2</t>
  </si>
  <si>
    <t>MK14_3</t>
  </si>
  <si>
    <t>MK1_x</t>
  </si>
  <si>
    <t>MK14_4</t>
  </si>
  <si>
    <t>MK11_3</t>
  </si>
  <si>
    <t>MK14_1</t>
  </si>
  <si>
    <t>MK12_4</t>
  </si>
  <si>
    <t>MK2_4</t>
  </si>
  <si>
    <t>LB, sidebranch of MS</t>
  </si>
  <si>
    <t>MS, tip broken, LB S3 is S5 of MS</t>
  </si>
  <si>
    <t xml:space="preserve">MS </t>
  </si>
  <si>
    <t>MK18_1</t>
  </si>
  <si>
    <t>MK18_2</t>
  </si>
  <si>
    <t>MK18_3</t>
  </si>
  <si>
    <t>MK18_4</t>
  </si>
  <si>
    <t>Bag_ID</t>
  </si>
  <si>
    <t>Collector</t>
  </si>
  <si>
    <t>Individual_ID</t>
  </si>
  <si>
    <t>Notes</t>
  </si>
  <si>
    <t>MK7</t>
  </si>
  <si>
    <t>MK7_1_vv_1</t>
  </si>
  <si>
    <t>NOT vv but vm</t>
  </si>
  <si>
    <t>MK7_2_vm_2</t>
  </si>
  <si>
    <t>Two duplicate bags with same Individual_ID, one of them is probably indi. nr 3</t>
  </si>
  <si>
    <t>MK14</t>
  </si>
  <si>
    <t>MK14_2_vm_2</t>
  </si>
  <si>
    <t>Two duplicate bags with same Individual_ID</t>
  </si>
  <si>
    <t>0907_35_T32_C_3</t>
  </si>
  <si>
    <t>0907_35_vv_3</t>
  </si>
  <si>
    <t>ordered_column</t>
  </si>
  <si>
    <t>Problem</t>
  </si>
  <si>
    <t>people</t>
  </si>
  <si>
    <t>scope vv</t>
  </si>
  <si>
    <t>scope vm</t>
  </si>
  <si>
    <t>detail</t>
  </si>
  <si>
    <t>solution</t>
  </si>
  <si>
    <t>seperation stem and leaves for segments</t>
  </si>
  <si>
    <t>LGV, PT, MK,</t>
  </si>
  <si>
    <t>everything</t>
  </si>
  <si>
    <t>leave length and scars counted an entert</t>
  </si>
  <si>
    <t>plantmetrix not written on bags</t>
  </si>
  <si>
    <t xml:space="preserve">LGV, PT, </t>
  </si>
  <si>
    <t>eg 016_53_V1C5_vm</t>
  </si>
  <si>
    <t xml:space="preserve">S24B bags </t>
  </si>
  <si>
    <t>qite frequent</t>
  </si>
  <si>
    <t>unfrequent</t>
  </si>
  <si>
    <t>e.g 016_55</t>
  </si>
  <si>
    <t>Segmants branch stems dont look as they should be</t>
  </si>
  <si>
    <t>eg S24 is a thickness of S23 whit sider branches and no leaves</t>
  </si>
  <si>
    <t>MK check species (vv/vm)</t>
  </si>
  <si>
    <t>check all</t>
  </si>
  <si>
    <t>egMK7_1_vv_1 (is vm)</t>
  </si>
  <si>
    <t>dobble check the MK data (has it been entert?)</t>
  </si>
  <si>
    <t>both</t>
  </si>
  <si>
    <t xml:space="preserve"> 016_53_V1C5_vm missing in the table (all have S24B)</t>
  </si>
  <si>
    <t>810_31_T4C2_vm an vv is missing in the table ( vm_ind1, 2 has S24B)</t>
  </si>
  <si>
    <t>can´t find AH that ar not weight</t>
  </si>
  <si>
    <t>check NiN types</t>
  </si>
  <si>
    <t>check ANO point ans plot agains NiN type for uniqeness</t>
  </si>
  <si>
    <t>check if we have a complete ANO code (corolates to NiN types)</t>
  </si>
  <si>
    <t>Samples that are in the Herbarium are not in the table</t>
  </si>
  <si>
    <t>eg MK2_3</t>
  </si>
  <si>
    <t>Type</t>
  </si>
  <si>
    <t>ano_punkt</t>
  </si>
  <si>
    <t>0416</t>
  </si>
  <si>
    <t>ANO</t>
  </si>
  <si>
    <t>0178</t>
  </si>
  <si>
    <t>0818</t>
  </si>
  <si>
    <t>0016</t>
  </si>
  <si>
    <t>0352</t>
  </si>
  <si>
    <t>0744</t>
  </si>
  <si>
    <t>0171</t>
  </si>
  <si>
    <t>0724</t>
  </si>
  <si>
    <t>0843</t>
  </si>
  <si>
    <t>0239</t>
  </si>
  <si>
    <t>0284</t>
  </si>
  <si>
    <t>0696</t>
  </si>
  <si>
    <t>0718</t>
  </si>
  <si>
    <t>0622</t>
  </si>
  <si>
    <t>0970</t>
  </si>
  <si>
    <t>0472</t>
  </si>
  <si>
    <t>0517</t>
  </si>
  <si>
    <t>0833</t>
  </si>
  <si>
    <t>0276</t>
  </si>
  <si>
    <t>0897</t>
  </si>
  <si>
    <t>0794</t>
  </si>
  <si>
    <t>0647</t>
  </si>
  <si>
    <t>0166</t>
  </si>
  <si>
    <t>0022</t>
  </si>
  <si>
    <t>0212</t>
  </si>
  <si>
    <t>0282</t>
  </si>
  <si>
    <t>0100</t>
  </si>
  <si>
    <t>0085</t>
  </si>
  <si>
    <t>0010</t>
  </si>
  <si>
    <t>Gradient sampling 2024 - Senja</t>
  </si>
  <si>
    <t>nin_type</t>
  </si>
  <si>
    <t>T</t>
  </si>
  <si>
    <t>P</t>
  </si>
  <si>
    <t>h1_cm</t>
  </si>
  <si>
    <t>h2_cm</t>
  </si>
  <si>
    <t>h3_cm</t>
  </si>
  <si>
    <t>remark</t>
  </si>
  <si>
    <t>Valvåg</t>
  </si>
  <si>
    <t>ANO0284_13</t>
  </si>
  <si>
    <t>ANO0284_51</t>
  </si>
  <si>
    <t>Buvik</t>
  </si>
  <si>
    <t>ANO0971_33</t>
  </si>
  <si>
    <t>ANO0971_51</t>
  </si>
  <si>
    <t>V3-C-1</t>
  </si>
  <si>
    <t>ANO0971_24</t>
  </si>
  <si>
    <t>T4-C-2</t>
  </si>
  <si>
    <t>ANO0971_62</t>
  </si>
  <si>
    <t>ANO0971_55</t>
  </si>
  <si>
    <t>DNT Senjabu</t>
  </si>
  <si>
    <t>ANO0239_26</t>
  </si>
  <si>
    <t>ANO0239_46</t>
  </si>
  <si>
    <t>Vangsvik</t>
  </si>
  <si>
    <t>ANO0475_22</t>
  </si>
  <si>
    <t>ANO0475_31</t>
  </si>
  <si>
    <t>T4-C-3</t>
  </si>
  <si>
    <t>ANO0475_64</t>
  </si>
  <si>
    <t>T4-C-18</t>
  </si>
  <si>
    <t>Vesterfjell</t>
  </si>
  <si>
    <t>ANO0075_55</t>
  </si>
  <si>
    <t>long walk</t>
  </si>
  <si>
    <t>ANO0075_22</t>
  </si>
  <si>
    <t>ANO0075_33</t>
  </si>
  <si>
    <t>ANO0075_44</t>
  </si>
  <si>
    <t>V1-C-6</t>
  </si>
  <si>
    <t>ANO0075_64</t>
  </si>
  <si>
    <t>Sorreisa</t>
  </si>
  <si>
    <t>ANO0827_24</t>
  </si>
  <si>
    <t>ANO0827_35</t>
  </si>
  <si>
    <t>Hov</t>
  </si>
  <si>
    <t>ANO0291_55</t>
  </si>
  <si>
    <t>long drive and walk</t>
  </si>
  <si>
    <t>Hanøy</t>
  </si>
  <si>
    <t>ANO0622_22</t>
  </si>
  <si>
    <t>T4-C-17</t>
  </si>
  <si>
    <t>ANO0622_35</t>
  </si>
  <si>
    <t>ANO0622_46</t>
  </si>
  <si>
    <t>Forfjord</t>
  </si>
  <si>
    <t>ANO0970_11</t>
  </si>
  <si>
    <t>ANO0970_24</t>
  </si>
  <si>
    <t>ANO0970_26</t>
  </si>
  <si>
    <t>ANO0970_42</t>
  </si>
  <si>
    <t>Gimstad</t>
  </si>
  <si>
    <t>ANO0696_53</t>
  </si>
  <si>
    <t>ANO0696_55</t>
  </si>
  <si>
    <t>ANO0696_15</t>
  </si>
  <si>
    <t>ANO0696_33</t>
  </si>
  <si>
    <t>Steinvika</t>
  </si>
  <si>
    <t>ANO0718_55</t>
  </si>
  <si>
    <t>ANO0718_62</t>
  </si>
  <si>
    <t>Vestersand</t>
  </si>
  <si>
    <t>ANO1259_11</t>
  </si>
  <si>
    <t>ANO1259_15</t>
  </si>
  <si>
    <t>ANO1259_35</t>
  </si>
  <si>
    <t>Gradient sampling 2024 - Kautokeino</t>
  </si>
  <si>
    <t>Masi</t>
  </si>
  <si>
    <t>ANO0992_42</t>
  </si>
  <si>
    <t>T4-C-9</t>
  </si>
  <si>
    <t>ANO0992_53</t>
  </si>
  <si>
    <t>ANO0992_66</t>
  </si>
  <si>
    <t>V1-C-7</t>
  </si>
  <si>
    <t>ANO0992_44</t>
  </si>
  <si>
    <t>Karasjohka elv</t>
  </si>
  <si>
    <t>ANO0508_46</t>
  </si>
  <si>
    <t>far walk</t>
  </si>
  <si>
    <t>ANO0508_53</t>
  </si>
  <si>
    <t>Gargia vei</t>
  </si>
  <si>
    <t>ANO0276_42</t>
  </si>
  <si>
    <t>T3-C-2</t>
  </si>
  <si>
    <t>ANO0276_35</t>
  </si>
  <si>
    <t>V1-C-1</t>
  </si>
  <si>
    <t>ANO0276_46</t>
  </si>
  <si>
    <t>ANO0276_64</t>
  </si>
  <si>
    <t>T3-C-8</t>
  </si>
  <si>
    <t>E6</t>
  </si>
  <si>
    <t>ANO1485_62</t>
  </si>
  <si>
    <t>T3-C-1</t>
  </si>
  <si>
    <t>ANO1485_55</t>
  </si>
  <si>
    <t>Tana</t>
  </si>
  <si>
    <t>ANO0580_51</t>
  </si>
  <si>
    <t>can be steep</t>
  </si>
  <si>
    <t>ANO0580_42</t>
  </si>
  <si>
    <t>T27-C-1</t>
  </si>
  <si>
    <t>ANO0580_22</t>
  </si>
  <si>
    <t>T14-C-1</t>
  </si>
  <si>
    <t>Vardø</t>
  </si>
  <si>
    <t>ANO1500_33</t>
  </si>
  <si>
    <t xml:space="preserve">ANO1500_35  </t>
  </si>
  <si>
    <t>V3-C-2</t>
  </si>
  <si>
    <t>ANO1500_24</t>
  </si>
  <si>
    <t>ANO1500_44</t>
  </si>
  <si>
    <t>Grasbakken</t>
  </si>
  <si>
    <t>ANO0833_24</t>
  </si>
  <si>
    <t>ANO0833_46</t>
  </si>
  <si>
    <t>T32-C-9</t>
  </si>
  <si>
    <t>ANO0833_44</t>
  </si>
  <si>
    <t>T29-C-2</t>
  </si>
  <si>
    <t>ANO0833_35</t>
  </si>
  <si>
    <t>T3-C-3</t>
  </si>
  <si>
    <t>Pasvikdalen</t>
  </si>
  <si>
    <t>ANO1195_35</t>
  </si>
  <si>
    <t>ANO1195_44</t>
  </si>
  <si>
    <t>ANO1195_42</t>
  </si>
  <si>
    <t>V2-C-1</t>
  </si>
  <si>
    <t>ANO1195_33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</si>
</sst>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.m\.yyyy"/>
    <numFmt numFmtId="165" formatCode="d\.m"/>
    <numFmt numFmtId="166" formatCode="0.00000"/>
    <numFmt numFmtId="167" formatCode="#,##0.00000"/>
    <numFmt numFmtId="168" formatCode="d\.m\.yy"/>
    <numFmt numFmtId="169" formatCode="dd\.mm\.yy"/>
  </numFmts>
  <fonts count="2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1F1F1F"/>
      <name val="Arial"/>
      <family val="2"/>
      <scheme val="minor"/>
    </font>
    <font>
      <sz val="9"/>
      <color rgb="FF1F1F1F"/>
      <name val="&quot;Google Sans&quot;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rgb="FF1F1F1F"/>
      <name val="&quot;Google Sans&quot;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999999"/>
      <name val="Arial"/>
      <family val="2"/>
      <scheme val="minor"/>
    </font>
    <font>
      <sz val="10"/>
      <color rgb="FF999999"/>
      <name val="&quot;Google Sans&quot;"/>
    </font>
    <font>
      <sz val="10"/>
      <color rgb="FF999999"/>
      <name val="Arial"/>
      <family val="2"/>
    </font>
    <font>
      <sz val="9"/>
      <color rgb="FF999999"/>
      <name val="&quot;Google Sans&quot;"/>
    </font>
    <font>
      <sz val="10"/>
      <color rgb="FF9999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2" fillId="2" borderId="0" xfId="0" applyFont="1" applyFill="1"/>
    <xf numFmtId="0" fontId="3" fillId="3" borderId="0" xfId="0" applyFont="1" applyFill="1" applyAlignment="1">
      <alignment horizontal="left"/>
    </xf>
    <xf numFmtId="166" fontId="2" fillId="0" borderId="0" xfId="0" applyNumberFormat="1" applyFont="1"/>
    <xf numFmtId="1" fontId="2" fillId="0" borderId="0" xfId="0" applyNumberFormat="1" applyFont="1"/>
    <xf numFmtId="0" fontId="2" fillId="4" borderId="0" xfId="0" applyFont="1" applyFill="1"/>
    <xf numFmtId="167" fontId="2" fillId="0" borderId="0" xfId="0" applyNumberFormat="1" applyFont="1"/>
    <xf numFmtId="168" fontId="2" fillId="0" borderId="0" xfId="0" applyNumberFormat="1" applyFont="1"/>
    <xf numFmtId="0" fontId="2" fillId="4" borderId="0" xfId="0" quotePrefix="1" applyFont="1" applyFill="1"/>
    <xf numFmtId="0" fontId="2" fillId="0" borderId="0" xfId="0" quotePrefix="1" applyFont="1"/>
    <xf numFmtId="169" fontId="2" fillId="5" borderId="0" xfId="0" applyNumberFormat="1" applyFont="1" applyFill="1"/>
    <xf numFmtId="169" fontId="2" fillId="6" borderId="0" xfId="0" applyNumberFormat="1" applyFont="1" applyFill="1"/>
    <xf numFmtId="169" fontId="2" fillId="0" borderId="0" xfId="0" applyNumberFormat="1" applyFont="1"/>
    <xf numFmtId="167" fontId="4" fillId="0" borderId="0" xfId="0" applyNumberFormat="1" applyFont="1"/>
    <xf numFmtId="0" fontId="5" fillId="0" borderId="0" xfId="0" applyFont="1"/>
    <xf numFmtId="0" fontId="4" fillId="3" borderId="0" xfId="0" applyFont="1" applyFill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right"/>
    </xf>
    <xf numFmtId="3" fontId="2" fillId="0" borderId="0" xfId="0" applyNumberFormat="1" applyFont="1"/>
    <xf numFmtId="0" fontId="8" fillId="7" borderId="0" xfId="0" applyFont="1" applyFill="1"/>
    <xf numFmtId="0" fontId="7" fillId="7" borderId="0" xfId="0" applyFont="1" applyFill="1"/>
    <xf numFmtId="0" fontId="8" fillId="7" borderId="0" xfId="0" applyFont="1" applyFill="1" applyAlignment="1">
      <alignment horizontal="right"/>
    </xf>
    <xf numFmtId="0" fontId="2" fillId="7" borderId="0" xfId="0" applyFont="1" applyFill="1"/>
    <xf numFmtId="0" fontId="7" fillId="7" borderId="0" xfId="0" applyFont="1" applyFill="1" applyAlignment="1">
      <alignment horizontal="right"/>
    </xf>
    <xf numFmtId="0" fontId="8" fillId="0" borderId="0" xfId="0" quotePrefix="1" applyFont="1"/>
    <xf numFmtId="0" fontId="11" fillId="0" borderId="0" xfId="0" applyFont="1"/>
    <xf numFmtId="0" fontId="12" fillId="9" borderId="3" xfId="0" applyFont="1" applyFill="1" applyBorder="1" applyAlignment="1">
      <alignment textRotation="90"/>
    </xf>
    <xf numFmtId="0" fontId="12" fillId="9" borderId="3" xfId="0" applyFont="1" applyFill="1" applyBorder="1"/>
    <xf numFmtId="0" fontId="6" fillId="9" borderId="3" xfId="0" applyFont="1" applyFill="1" applyBorder="1"/>
    <xf numFmtId="0" fontId="13" fillId="9" borderId="3" xfId="0" applyFont="1" applyFill="1" applyBorder="1" applyAlignment="1">
      <alignment horizontal="left"/>
    </xf>
    <xf numFmtId="165" fontId="13" fillId="9" borderId="3" xfId="0" applyNumberFormat="1" applyFont="1" applyFill="1" applyBorder="1" applyAlignment="1">
      <alignment horizontal="left"/>
    </xf>
    <xf numFmtId="0" fontId="6" fillId="0" borderId="3" xfId="0" applyFont="1" applyBorder="1"/>
    <xf numFmtId="0" fontId="13" fillId="3" borderId="3" xfId="0" applyFont="1" applyFill="1" applyBorder="1" applyAlignment="1">
      <alignment horizontal="left"/>
    </xf>
    <xf numFmtId="165" fontId="6" fillId="0" borderId="3" xfId="0" applyNumberFormat="1" applyFont="1" applyBorder="1"/>
    <xf numFmtId="0" fontId="9" fillId="3" borderId="3" xfId="0" applyFont="1" applyFill="1" applyBorder="1"/>
    <xf numFmtId="165" fontId="6" fillId="9" borderId="3" xfId="0" applyNumberFormat="1" applyFont="1" applyFill="1" applyBorder="1"/>
    <xf numFmtId="0" fontId="9" fillId="9" borderId="3" xfId="0" applyFont="1" applyFill="1" applyBorder="1"/>
    <xf numFmtId="0" fontId="15" fillId="0" borderId="3" xfId="0" applyFont="1" applyBorder="1"/>
    <xf numFmtId="0" fontId="16" fillId="9" borderId="3" xfId="0" applyFont="1" applyFill="1" applyBorder="1"/>
    <xf numFmtId="165" fontId="15" fillId="9" borderId="3" xfId="0" applyNumberFormat="1" applyFont="1" applyFill="1" applyBorder="1"/>
    <xf numFmtId="0" fontId="15" fillId="9" borderId="3" xfId="0" applyFont="1" applyFill="1" applyBorder="1"/>
    <xf numFmtId="0" fontId="15" fillId="9" borderId="3" xfId="0" applyFont="1" applyFill="1" applyBorder="1" applyAlignment="1">
      <alignment textRotation="90"/>
    </xf>
    <xf numFmtId="0" fontId="17" fillId="0" borderId="0" xfId="0" applyFont="1" applyAlignment="1">
      <alignment horizontal="left"/>
    </xf>
    <xf numFmtId="0" fontId="17" fillId="3" borderId="0" xfId="0" applyFont="1" applyFill="1" applyAlignment="1">
      <alignment horizontal="left"/>
    </xf>
    <xf numFmtId="0" fontId="18" fillId="3" borderId="0" xfId="0" applyFont="1" applyFill="1"/>
    <xf numFmtId="165" fontId="15" fillId="0" borderId="3" xfId="0" applyNumberFormat="1" applyFont="1" applyBorder="1"/>
    <xf numFmtId="0" fontId="6" fillId="0" borderId="0" xfId="0" applyFont="1" applyAlignment="1">
      <alignment textRotation="90"/>
    </xf>
    <xf numFmtId="0" fontId="16" fillId="3" borderId="3" xfId="0" applyFont="1" applyFill="1" applyBorder="1"/>
    <xf numFmtId="165" fontId="19" fillId="3" borderId="3" xfId="0" applyNumberFormat="1" applyFont="1" applyFill="1" applyBorder="1" applyAlignment="1">
      <alignment horizontal="left"/>
    </xf>
    <xf numFmtId="0" fontId="19" fillId="3" borderId="3" xfId="0" applyFont="1" applyFill="1" applyBorder="1" applyAlignment="1">
      <alignment horizontal="left"/>
    </xf>
    <xf numFmtId="0" fontId="19" fillId="9" borderId="3" xfId="0" applyFont="1" applyFill="1" applyBorder="1" applyAlignment="1">
      <alignment horizontal="left"/>
    </xf>
    <xf numFmtId="0" fontId="6" fillId="0" borderId="4" xfId="0" applyFont="1" applyBorder="1" applyAlignment="1">
      <alignment textRotation="90"/>
    </xf>
    <xf numFmtId="0" fontId="14" fillId="0" borderId="5" xfId="0" applyFont="1" applyBorder="1"/>
    <xf numFmtId="0" fontId="14" fillId="0" borderId="6" xfId="0" applyFont="1" applyBorder="1"/>
    <xf numFmtId="0" fontId="15" fillId="9" borderId="4" xfId="0" applyFont="1" applyFill="1" applyBorder="1" applyAlignment="1">
      <alignment textRotation="90"/>
    </xf>
    <xf numFmtId="0" fontId="6" fillId="9" borderId="4" xfId="0" applyFont="1" applyFill="1" applyBorder="1" applyAlignment="1">
      <alignment textRotation="90"/>
    </xf>
    <xf numFmtId="0" fontId="6" fillId="9" borderId="4" xfId="0" applyFont="1" applyFill="1" applyBorder="1" applyAlignment="1">
      <alignment horizontal="center" textRotation="90"/>
    </xf>
    <xf numFmtId="0" fontId="15" fillId="0" borderId="4" xfId="0" applyFont="1" applyBorder="1" applyAlignment="1">
      <alignment textRotation="90"/>
    </xf>
    <xf numFmtId="0" fontId="13" fillId="3" borderId="4" xfId="0" applyFont="1" applyFill="1" applyBorder="1" applyAlignment="1">
      <alignment horizontal="left" textRotation="90"/>
    </xf>
    <xf numFmtId="0" fontId="10" fillId="8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nya Geange" id="{A68A4249-38A8-4578-8EBE-055758C7AEF0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8-12T13:37:43.00" personId="{A68A4249-38A8-4578-8EBE-055758C7AEF0}" id="{160520EB-1553-4A53-BE65-F2CC82A74710}">
    <text>Not actually a VV issue mostly, but rather a VM issue. But they have really, really big plants... and lots of herbivory damage..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19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8.08984375" customWidth="1"/>
    <col min="2" max="2" width="10.08984375" customWidth="1"/>
    <col min="5" max="5" width="7.6328125" customWidth="1"/>
    <col min="6" max="6" width="10.90625" customWidth="1"/>
    <col min="7" max="7" width="9" customWidth="1"/>
    <col min="8" max="8" width="12.08984375" customWidth="1"/>
    <col min="9" max="9" width="14.90625" customWidth="1"/>
    <col min="12" max="14" width="10.6328125" customWidth="1"/>
    <col min="16" max="16" width="15.08984375" customWidth="1"/>
    <col min="25" max="25" width="18" customWidth="1"/>
    <col min="28" max="28" width="20.90625" customWidth="1"/>
    <col min="29" max="29" width="22.6328125" customWidth="1"/>
  </cols>
  <sheetData>
    <row r="1" spans="1:37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</row>
    <row r="2" spans="1:37" ht="15.75" customHeight="1">
      <c r="A2" s="2">
        <v>45481</v>
      </c>
      <c r="B2" s="3" t="s">
        <v>32</v>
      </c>
      <c r="D2" s="3" t="s">
        <v>33</v>
      </c>
      <c r="E2" s="3" t="s">
        <v>34</v>
      </c>
      <c r="G2" s="3" t="s">
        <v>35</v>
      </c>
      <c r="H2" s="3">
        <v>1</v>
      </c>
      <c r="I2" s="4">
        <v>45429</v>
      </c>
      <c r="J2" s="4">
        <v>45550</v>
      </c>
      <c r="K2" s="3">
        <v>3</v>
      </c>
      <c r="L2" s="3" t="s">
        <v>36</v>
      </c>
      <c r="M2" s="3">
        <v>39</v>
      </c>
      <c r="N2" s="3">
        <v>11</v>
      </c>
      <c r="O2" s="3">
        <v>13</v>
      </c>
      <c r="R2" s="3">
        <v>0</v>
      </c>
      <c r="S2" s="3"/>
      <c r="T2" s="3">
        <v>8.3059999999999995E-2</v>
      </c>
      <c r="U2" s="3">
        <v>9.1999999999999998E-3</v>
      </c>
      <c r="V2" s="3">
        <v>0</v>
      </c>
      <c r="W2" s="3">
        <v>0</v>
      </c>
      <c r="X2" s="3"/>
      <c r="AB2" s="3" t="str">
        <f>CONCATENATE(B2,"_",C2,"_",F2,"_",G2)</f>
        <v>SE_O___vv</v>
      </c>
      <c r="AC2" s="3" t="str">
        <f t="shared" ref="AC2:AC256" si="0">CONCATENATE(B2,"_",C2,"_",F2,"_",G2,"_",H2)</f>
        <v>SE_O___vv_1</v>
      </c>
      <c r="AE2" s="3" t="s">
        <v>37</v>
      </c>
    </row>
    <row r="3" spans="1:37" ht="15.75" customHeight="1">
      <c r="A3" s="2"/>
      <c r="E3" s="3"/>
      <c r="F3" s="3"/>
      <c r="G3" s="3"/>
      <c r="L3" s="3" t="s">
        <v>38</v>
      </c>
      <c r="M3" s="3">
        <v>64</v>
      </c>
      <c r="N3" s="3">
        <v>7</v>
      </c>
      <c r="O3" s="3">
        <v>12</v>
      </c>
      <c r="R3" s="3">
        <v>0</v>
      </c>
      <c r="S3" s="3"/>
      <c r="T3" s="3">
        <v>0.12827</v>
      </c>
      <c r="U3" s="3">
        <v>3.6990000000000002E-2</v>
      </c>
      <c r="V3" s="3">
        <v>0</v>
      </c>
      <c r="W3" s="3">
        <v>0</v>
      </c>
      <c r="X3" s="3"/>
      <c r="AB3" s="3" t="str">
        <f t="shared" ref="AB3:AB257" si="1">CONCATENATE(B3, "_",C3,"_",F3,"_",G3)</f>
        <v>___</v>
      </c>
      <c r="AC3" s="3" t="str">
        <f t="shared" si="0"/>
        <v>____</v>
      </c>
    </row>
    <row r="4" spans="1:37" ht="15.75" customHeight="1">
      <c r="A4" s="2"/>
      <c r="E4" s="3"/>
      <c r="F4" s="3"/>
      <c r="G4" s="3"/>
      <c r="L4" s="3" t="s">
        <v>39</v>
      </c>
      <c r="M4" s="3">
        <v>48</v>
      </c>
      <c r="N4" s="3">
        <v>2</v>
      </c>
      <c r="O4" s="3">
        <v>9</v>
      </c>
      <c r="R4" s="3">
        <v>0</v>
      </c>
      <c r="S4" s="3"/>
      <c r="T4" s="3">
        <v>2.5659999999999999E-2</v>
      </c>
      <c r="U4" s="3">
        <v>3.0079999999999999E-2</v>
      </c>
      <c r="V4" s="3">
        <v>0</v>
      </c>
      <c r="W4" s="3">
        <v>0</v>
      </c>
      <c r="X4" s="3"/>
      <c r="AB4" s="3" t="str">
        <f t="shared" si="1"/>
        <v>___</v>
      </c>
      <c r="AC4" s="3" t="str">
        <f t="shared" si="0"/>
        <v>____</v>
      </c>
    </row>
    <row r="5" spans="1:37" ht="15.75" customHeight="1">
      <c r="A5" s="2">
        <v>45481</v>
      </c>
      <c r="B5" s="3" t="s">
        <v>32</v>
      </c>
      <c r="D5" s="3" t="s">
        <v>33</v>
      </c>
      <c r="E5" s="3" t="s">
        <v>34</v>
      </c>
      <c r="G5" s="3" t="s">
        <v>35</v>
      </c>
      <c r="H5" s="3">
        <v>2</v>
      </c>
      <c r="I5" s="4">
        <v>45428</v>
      </c>
      <c r="J5" s="4">
        <v>45465</v>
      </c>
      <c r="K5" s="3">
        <v>9</v>
      </c>
      <c r="L5" s="3" t="s">
        <v>36</v>
      </c>
      <c r="M5" s="3">
        <v>22</v>
      </c>
      <c r="N5" s="3">
        <v>12</v>
      </c>
      <c r="O5" s="3">
        <v>12</v>
      </c>
      <c r="R5" s="3">
        <v>0</v>
      </c>
      <c r="S5" s="3"/>
      <c r="T5" s="3">
        <v>3.934E-2</v>
      </c>
      <c r="U5" s="3">
        <v>6.4000000000000003E-3</v>
      </c>
      <c r="V5" s="3">
        <v>0</v>
      </c>
      <c r="W5" s="3">
        <v>0</v>
      </c>
      <c r="X5" s="3"/>
      <c r="AB5" s="3" t="str">
        <f t="shared" si="1"/>
        <v>SE_O___vv</v>
      </c>
      <c r="AC5" s="3" t="str">
        <f t="shared" si="0"/>
        <v>SE_O___vv_2</v>
      </c>
      <c r="AE5" s="3" t="s">
        <v>37</v>
      </c>
    </row>
    <row r="6" spans="1:37" ht="15.75" customHeight="1">
      <c r="E6" s="3"/>
      <c r="G6" s="3"/>
      <c r="L6" s="3" t="s">
        <v>38</v>
      </c>
      <c r="M6" s="3">
        <v>35</v>
      </c>
      <c r="N6" s="3">
        <v>9</v>
      </c>
      <c r="O6" s="3">
        <v>14</v>
      </c>
      <c r="R6" s="3">
        <v>0</v>
      </c>
      <c r="S6" s="3"/>
      <c r="T6" s="3">
        <v>0.11717</v>
      </c>
      <c r="U6" s="3">
        <v>2.0889999999999999E-2</v>
      </c>
      <c r="V6" s="3">
        <v>0</v>
      </c>
      <c r="W6" s="3">
        <v>0</v>
      </c>
      <c r="X6" s="3"/>
      <c r="AB6" s="3" t="str">
        <f t="shared" si="1"/>
        <v>___</v>
      </c>
      <c r="AC6" s="3" t="str">
        <f t="shared" si="0"/>
        <v>____</v>
      </c>
    </row>
    <row r="7" spans="1:37" ht="15.75" customHeight="1">
      <c r="E7" s="3"/>
      <c r="F7" s="3"/>
      <c r="G7" s="3"/>
      <c r="L7" s="3" t="s">
        <v>39</v>
      </c>
      <c r="M7" s="3">
        <v>26</v>
      </c>
      <c r="N7" s="3">
        <v>3</v>
      </c>
      <c r="O7" s="3">
        <v>11</v>
      </c>
      <c r="R7" s="3">
        <v>0</v>
      </c>
      <c r="S7" s="3"/>
      <c r="T7" s="3">
        <v>2.0719999999999999E-2</v>
      </c>
      <c r="U7" s="3">
        <v>1.942E-2</v>
      </c>
      <c r="V7" s="3">
        <v>0</v>
      </c>
      <c r="W7" s="3">
        <v>0</v>
      </c>
      <c r="X7" s="3"/>
      <c r="AB7" s="3" t="str">
        <f t="shared" si="1"/>
        <v>___</v>
      </c>
      <c r="AC7" s="3" t="str">
        <f t="shared" si="0"/>
        <v>____</v>
      </c>
    </row>
    <row r="8" spans="1:37" ht="15.75" customHeight="1">
      <c r="A8" s="2">
        <v>45481</v>
      </c>
      <c r="B8" s="3" t="s">
        <v>32</v>
      </c>
      <c r="D8" s="3" t="s">
        <v>33</v>
      </c>
      <c r="E8" s="3" t="s">
        <v>34</v>
      </c>
      <c r="F8" s="3"/>
      <c r="G8" s="3" t="s">
        <v>35</v>
      </c>
      <c r="H8" s="3">
        <v>3</v>
      </c>
      <c r="I8" s="4">
        <v>45427</v>
      </c>
      <c r="J8" s="4">
        <v>45488</v>
      </c>
      <c r="K8" s="3">
        <v>4</v>
      </c>
      <c r="L8" s="3" t="s">
        <v>36</v>
      </c>
      <c r="M8" s="3">
        <v>34</v>
      </c>
      <c r="N8" s="3">
        <v>12</v>
      </c>
      <c r="O8" s="3">
        <v>13</v>
      </c>
      <c r="R8" s="3">
        <v>0</v>
      </c>
      <c r="S8" s="3"/>
      <c r="T8" s="3">
        <v>0.11600000000000001</v>
      </c>
      <c r="U8" s="3">
        <v>1.2290000000000001E-2</v>
      </c>
      <c r="V8" s="3">
        <v>0</v>
      </c>
      <c r="W8" s="3">
        <v>0</v>
      </c>
      <c r="X8" s="3"/>
      <c r="AB8" s="3" t="str">
        <f t="shared" si="1"/>
        <v>SE_O___vv</v>
      </c>
      <c r="AC8" s="3" t="str">
        <f t="shared" si="0"/>
        <v>SE_O___vv_3</v>
      </c>
      <c r="AE8" s="3" t="s">
        <v>37</v>
      </c>
    </row>
    <row r="9" spans="1:37" ht="15.75" customHeight="1">
      <c r="E9" s="3"/>
      <c r="F9" s="3"/>
      <c r="G9" s="3"/>
      <c r="L9" s="3" t="s">
        <v>38</v>
      </c>
      <c r="M9" s="3">
        <v>43</v>
      </c>
      <c r="N9" s="3">
        <v>8</v>
      </c>
      <c r="O9" s="3">
        <v>11</v>
      </c>
      <c r="R9" s="3">
        <v>0</v>
      </c>
      <c r="S9" s="3"/>
      <c r="T9" s="3">
        <v>7.9170000000000004E-2</v>
      </c>
      <c r="U9" s="3">
        <v>2.3400000000000001E-2</v>
      </c>
      <c r="V9" s="3">
        <v>0</v>
      </c>
      <c r="W9" s="3">
        <v>0</v>
      </c>
      <c r="X9" s="3"/>
      <c r="AB9" s="3" t="str">
        <f t="shared" si="1"/>
        <v>___</v>
      </c>
      <c r="AC9" s="3" t="str">
        <f t="shared" si="0"/>
        <v>____</v>
      </c>
    </row>
    <row r="10" spans="1:37" ht="15.75" customHeight="1">
      <c r="E10" s="3"/>
      <c r="F10" s="3"/>
      <c r="G10" s="3"/>
      <c r="L10" s="3" t="s">
        <v>39</v>
      </c>
      <c r="M10" s="3">
        <v>28</v>
      </c>
      <c r="N10" s="3">
        <v>5</v>
      </c>
      <c r="O10" s="3">
        <v>9</v>
      </c>
      <c r="R10" s="3">
        <v>0</v>
      </c>
      <c r="S10" s="3"/>
      <c r="T10" s="3">
        <v>3.8260000000000002E-2</v>
      </c>
      <c r="U10" s="3">
        <v>1.8780000000000002E-2</v>
      </c>
      <c r="V10" s="3">
        <v>0</v>
      </c>
      <c r="W10" s="3">
        <v>0</v>
      </c>
      <c r="X10" s="3"/>
      <c r="AB10" s="3" t="str">
        <f t="shared" si="1"/>
        <v>___</v>
      </c>
      <c r="AC10" s="3" t="str">
        <f t="shared" si="0"/>
        <v>____</v>
      </c>
    </row>
    <row r="11" spans="1:37" ht="15.75" customHeight="1">
      <c r="A11" s="2">
        <v>45481</v>
      </c>
      <c r="B11" s="3" t="s">
        <v>32</v>
      </c>
      <c r="D11" s="3" t="s">
        <v>33</v>
      </c>
      <c r="E11" s="3" t="s">
        <v>34</v>
      </c>
      <c r="F11" s="3"/>
      <c r="G11" s="3" t="s">
        <v>40</v>
      </c>
      <c r="H11" s="3">
        <v>1</v>
      </c>
      <c r="I11" s="4">
        <v>45310</v>
      </c>
      <c r="J11" s="3">
        <v>20</v>
      </c>
      <c r="K11" s="3">
        <v>5</v>
      </c>
      <c r="L11" s="3" t="s">
        <v>36</v>
      </c>
      <c r="M11" s="3">
        <v>19</v>
      </c>
      <c r="N11" s="3">
        <v>5</v>
      </c>
      <c r="O11" s="3">
        <v>5</v>
      </c>
      <c r="R11" s="3">
        <v>1</v>
      </c>
      <c r="S11" s="3"/>
      <c r="T11" s="3">
        <v>1.6830000000000001E-2</v>
      </c>
      <c r="U11" s="3">
        <v>4.5799999999999999E-3</v>
      </c>
      <c r="V11" s="3">
        <v>0</v>
      </c>
      <c r="W11" s="3">
        <v>6.4700000000000001E-3</v>
      </c>
      <c r="X11" s="3"/>
      <c r="AB11" s="3" t="str">
        <f t="shared" si="1"/>
        <v>SE_O___vm</v>
      </c>
      <c r="AC11" s="3" t="str">
        <f t="shared" si="0"/>
        <v>SE_O___vm_1</v>
      </c>
      <c r="AE11" s="3" t="s">
        <v>37</v>
      </c>
    </row>
    <row r="12" spans="1:37" ht="15.75" customHeight="1">
      <c r="E12" s="3"/>
      <c r="F12" s="3"/>
      <c r="G12" s="3"/>
      <c r="L12" s="3" t="s">
        <v>38</v>
      </c>
      <c r="M12" s="3">
        <v>32</v>
      </c>
      <c r="N12" s="3">
        <v>0</v>
      </c>
      <c r="O12" s="3">
        <v>3</v>
      </c>
      <c r="P12" s="3">
        <v>2</v>
      </c>
      <c r="Q12" s="3">
        <v>2</v>
      </c>
      <c r="R12" s="3">
        <v>0</v>
      </c>
      <c r="S12" s="3"/>
      <c r="T12" s="3">
        <v>0</v>
      </c>
      <c r="U12" s="3">
        <v>1.8710000000000001E-2</v>
      </c>
      <c r="V12" s="3">
        <v>1.9560000000000001E-2</v>
      </c>
      <c r="W12" s="3">
        <v>0</v>
      </c>
      <c r="X12" s="3"/>
      <c r="AB12" s="3" t="str">
        <f t="shared" si="1"/>
        <v>___</v>
      </c>
      <c r="AC12" s="3" t="str">
        <f t="shared" si="0"/>
        <v>____</v>
      </c>
    </row>
    <row r="13" spans="1:37" ht="15.75" customHeight="1">
      <c r="E13" s="3"/>
      <c r="F13" s="3"/>
      <c r="G13" s="3"/>
      <c r="L13" s="3" t="s">
        <v>39</v>
      </c>
      <c r="M13" s="3">
        <v>74</v>
      </c>
      <c r="N13" s="3">
        <v>0</v>
      </c>
      <c r="O13" s="3">
        <v>4</v>
      </c>
      <c r="P13" s="3">
        <v>5</v>
      </c>
      <c r="Q13" s="3">
        <v>5</v>
      </c>
      <c r="R13" s="3">
        <v>0</v>
      </c>
      <c r="S13" s="3"/>
      <c r="T13" s="3">
        <v>0</v>
      </c>
      <c r="U13" s="3">
        <v>0.13016</v>
      </c>
      <c r="V13" s="3">
        <v>0.27345999999999998</v>
      </c>
      <c r="W13" s="3">
        <v>0</v>
      </c>
      <c r="X13" s="3"/>
      <c r="AB13" s="3" t="str">
        <f t="shared" si="1"/>
        <v>___</v>
      </c>
      <c r="AC13" s="3" t="str">
        <f t="shared" si="0"/>
        <v>____</v>
      </c>
    </row>
    <row r="14" spans="1:37" ht="15.75" customHeight="1">
      <c r="A14" s="2">
        <v>45481</v>
      </c>
      <c r="B14" s="3" t="s">
        <v>32</v>
      </c>
      <c r="D14" s="3" t="s">
        <v>33</v>
      </c>
      <c r="E14" s="3" t="s">
        <v>34</v>
      </c>
      <c r="F14" s="3"/>
      <c r="G14" s="3" t="s">
        <v>40</v>
      </c>
      <c r="H14" s="3">
        <v>2</v>
      </c>
      <c r="I14" s="4">
        <v>45433</v>
      </c>
      <c r="J14" s="4">
        <v>45465</v>
      </c>
      <c r="K14" s="3">
        <v>7</v>
      </c>
      <c r="L14" s="3" t="s">
        <v>36</v>
      </c>
      <c r="M14" s="3">
        <v>40</v>
      </c>
      <c r="N14" s="3">
        <v>7</v>
      </c>
      <c r="O14" s="3">
        <v>7</v>
      </c>
      <c r="R14" s="3">
        <v>0</v>
      </c>
      <c r="S14" s="3"/>
      <c r="T14" s="3">
        <v>3.8519999999999999E-2</v>
      </c>
      <c r="U14" s="3">
        <v>2.325E-2</v>
      </c>
      <c r="V14" s="3">
        <v>0</v>
      </c>
      <c r="W14" s="3">
        <v>0</v>
      </c>
      <c r="X14" s="3"/>
      <c r="AB14" s="3" t="str">
        <f t="shared" si="1"/>
        <v>SE_O___vm</v>
      </c>
      <c r="AC14" s="3" t="str">
        <f t="shared" si="0"/>
        <v>SE_O___vm_2</v>
      </c>
      <c r="AE14" s="3" t="s">
        <v>37</v>
      </c>
    </row>
    <row r="15" spans="1:37" ht="15.75" customHeight="1">
      <c r="E15" s="3"/>
      <c r="F15" s="3"/>
      <c r="G15" s="3"/>
      <c r="L15" s="3" t="s">
        <v>38</v>
      </c>
      <c r="M15" s="3">
        <v>61</v>
      </c>
      <c r="N15" s="3">
        <v>0</v>
      </c>
      <c r="O15" s="3">
        <v>3</v>
      </c>
      <c r="P15" s="3">
        <v>2</v>
      </c>
      <c r="Q15" s="3">
        <v>2</v>
      </c>
      <c r="R15" s="3">
        <v>0</v>
      </c>
      <c r="S15" s="3"/>
      <c r="T15" s="3">
        <v>0</v>
      </c>
      <c r="U15" s="3">
        <v>6.5699999999999995E-2</v>
      </c>
      <c r="V15" s="3">
        <v>9.11E-2</v>
      </c>
      <c r="W15" s="3">
        <v>0</v>
      </c>
      <c r="X15" s="3"/>
      <c r="AB15" s="3" t="str">
        <f t="shared" si="1"/>
        <v>___</v>
      </c>
      <c r="AC15" s="3" t="str">
        <f t="shared" si="0"/>
        <v>____</v>
      </c>
    </row>
    <row r="16" spans="1:37" ht="15.75" customHeight="1">
      <c r="E16" s="3"/>
      <c r="F16" s="3"/>
      <c r="G16" s="3"/>
      <c r="L16" s="3" t="s">
        <v>39</v>
      </c>
      <c r="M16" s="3">
        <v>36</v>
      </c>
      <c r="N16" s="3">
        <v>0</v>
      </c>
      <c r="O16" s="3">
        <v>2</v>
      </c>
      <c r="P16" s="3">
        <v>1</v>
      </c>
      <c r="Q16" s="3">
        <v>1</v>
      </c>
      <c r="R16" s="3">
        <v>0</v>
      </c>
      <c r="S16" s="3"/>
      <c r="T16" s="3">
        <v>0</v>
      </c>
      <c r="U16" s="3">
        <v>6.1170000000000002E-2</v>
      </c>
      <c r="V16" s="3">
        <v>0.16209999999999999</v>
      </c>
      <c r="W16" s="3">
        <v>0</v>
      </c>
      <c r="X16" s="3"/>
      <c r="AB16" s="3" t="str">
        <f t="shared" si="1"/>
        <v>___</v>
      </c>
      <c r="AC16" s="3" t="str">
        <f t="shared" si="0"/>
        <v>____</v>
      </c>
    </row>
    <row r="17" spans="1:31" ht="15.75" customHeight="1">
      <c r="A17" s="2">
        <v>45481</v>
      </c>
      <c r="B17" s="3" t="s">
        <v>32</v>
      </c>
      <c r="D17" s="3" t="s">
        <v>33</v>
      </c>
      <c r="E17" s="3" t="s">
        <v>34</v>
      </c>
      <c r="F17" s="3"/>
      <c r="G17" s="3" t="s">
        <v>40</v>
      </c>
      <c r="H17" s="3">
        <v>3</v>
      </c>
      <c r="I17" s="3">
        <v>17</v>
      </c>
      <c r="J17" s="4">
        <v>45396</v>
      </c>
      <c r="K17" s="3">
        <v>4</v>
      </c>
      <c r="L17" s="3" t="s">
        <v>36</v>
      </c>
      <c r="M17" s="3">
        <v>37</v>
      </c>
      <c r="N17" s="3">
        <v>7</v>
      </c>
      <c r="O17" s="3">
        <v>7</v>
      </c>
      <c r="R17" s="3">
        <v>0</v>
      </c>
      <c r="S17" s="3"/>
      <c r="T17" s="3">
        <v>3.3360000000000001E-2</v>
      </c>
      <c r="U17" s="3">
        <v>1.6830000000000001E-2</v>
      </c>
      <c r="V17" s="3">
        <v>0</v>
      </c>
      <c r="W17" s="3">
        <v>0</v>
      </c>
      <c r="X17" s="3"/>
      <c r="AB17" s="3" t="str">
        <f t="shared" si="1"/>
        <v>SE_O___vm</v>
      </c>
      <c r="AC17" s="3" t="str">
        <f t="shared" si="0"/>
        <v>SE_O___vm_3</v>
      </c>
      <c r="AE17" s="3" t="s">
        <v>37</v>
      </c>
    </row>
    <row r="18" spans="1:31" ht="15.75" customHeight="1">
      <c r="E18" s="3"/>
      <c r="F18" s="3"/>
      <c r="G18" s="3"/>
      <c r="L18" s="3" t="s">
        <v>38</v>
      </c>
      <c r="M18" s="3">
        <v>59</v>
      </c>
      <c r="N18" s="3">
        <v>0</v>
      </c>
      <c r="O18" s="3">
        <v>8</v>
      </c>
      <c r="P18" s="3">
        <v>3</v>
      </c>
      <c r="Q18" s="3">
        <v>3</v>
      </c>
      <c r="R18" s="3">
        <v>0</v>
      </c>
      <c r="S18" s="3"/>
      <c r="T18" s="3">
        <v>0</v>
      </c>
      <c r="U18" s="3">
        <v>5.6329999999999998E-2</v>
      </c>
      <c r="V18" s="3">
        <v>9.6670000000000006E-2</v>
      </c>
      <c r="W18" s="3">
        <v>0</v>
      </c>
      <c r="X18" s="3"/>
      <c r="AB18" s="3" t="str">
        <f t="shared" si="1"/>
        <v>___</v>
      </c>
      <c r="AC18" s="3" t="str">
        <f t="shared" si="0"/>
        <v>____</v>
      </c>
    </row>
    <row r="19" spans="1:31" ht="15.75" customHeight="1">
      <c r="E19" s="3"/>
      <c r="F19" s="3"/>
      <c r="G19" s="3"/>
      <c r="L19" s="3" t="s">
        <v>39</v>
      </c>
      <c r="M19" s="3">
        <v>38</v>
      </c>
      <c r="N19" s="3">
        <v>0</v>
      </c>
      <c r="O19" s="3">
        <v>6</v>
      </c>
      <c r="R19" s="3">
        <v>0</v>
      </c>
      <c r="S19" s="3"/>
      <c r="T19" s="3">
        <v>0</v>
      </c>
      <c r="U19" s="3">
        <v>4.9590000000000002E-2</v>
      </c>
      <c r="V19" s="3">
        <v>0</v>
      </c>
      <c r="W19" s="3">
        <v>0</v>
      </c>
      <c r="X19" s="3"/>
      <c r="AB19" s="3" t="str">
        <f t="shared" si="1"/>
        <v>___</v>
      </c>
      <c r="AC19" s="3" t="str">
        <f t="shared" si="0"/>
        <v>____</v>
      </c>
    </row>
    <row r="20" spans="1:31" ht="15.75" customHeight="1">
      <c r="A20" s="2">
        <v>45481</v>
      </c>
      <c r="B20" s="3" t="s">
        <v>41</v>
      </c>
      <c r="D20" s="3" t="s">
        <v>33</v>
      </c>
      <c r="E20" s="3" t="s">
        <v>42</v>
      </c>
      <c r="F20" s="3"/>
      <c r="G20" s="3" t="s">
        <v>35</v>
      </c>
      <c r="H20" s="3">
        <v>1</v>
      </c>
      <c r="I20" s="4">
        <v>45396</v>
      </c>
      <c r="J20" s="4">
        <v>45396</v>
      </c>
      <c r="K20" s="3">
        <v>3</v>
      </c>
      <c r="L20" s="3" t="s">
        <v>36</v>
      </c>
      <c r="M20" s="3">
        <v>34</v>
      </c>
      <c r="N20" s="3">
        <v>11</v>
      </c>
      <c r="O20" s="3">
        <v>14</v>
      </c>
      <c r="R20" s="3">
        <v>0</v>
      </c>
      <c r="S20" s="3"/>
      <c r="T20" s="5">
        <v>1.1644E-2</v>
      </c>
      <c r="U20" s="3">
        <v>1.3270000000000001E-2</v>
      </c>
      <c r="V20" s="3">
        <v>0</v>
      </c>
      <c r="W20" s="3">
        <v>0</v>
      </c>
      <c r="X20" s="3"/>
      <c r="AB20" s="3" t="str">
        <f t="shared" si="1"/>
        <v>SE_F___vv</v>
      </c>
      <c r="AC20" s="3" t="str">
        <f t="shared" si="0"/>
        <v>SE_F___vv_1</v>
      </c>
      <c r="AE20" s="3" t="s">
        <v>37</v>
      </c>
    </row>
    <row r="21" spans="1:31" ht="15.75" customHeight="1">
      <c r="E21" s="3"/>
      <c r="F21" s="3"/>
      <c r="G21" s="3"/>
      <c r="L21" s="3" t="s">
        <v>38</v>
      </c>
      <c r="M21" s="3">
        <v>47</v>
      </c>
      <c r="N21" s="3">
        <v>12</v>
      </c>
      <c r="O21" s="3">
        <v>14</v>
      </c>
      <c r="R21" s="3">
        <v>0</v>
      </c>
      <c r="S21" s="3"/>
      <c r="T21" s="3">
        <v>0.12895000000000001</v>
      </c>
      <c r="U21" s="3">
        <v>3.3520000000000001E-2</v>
      </c>
      <c r="V21" s="3">
        <v>0</v>
      </c>
      <c r="W21" s="3">
        <v>0</v>
      </c>
      <c r="X21" s="3"/>
      <c r="AB21" s="3" t="str">
        <f t="shared" si="1"/>
        <v>___</v>
      </c>
      <c r="AC21" s="3" t="str">
        <f t="shared" si="0"/>
        <v>____</v>
      </c>
    </row>
    <row r="22" spans="1:31" ht="15.75" customHeight="1">
      <c r="E22" s="3"/>
      <c r="F22" s="3"/>
      <c r="G22" s="3"/>
      <c r="L22" s="3" t="s">
        <v>39</v>
      </c>
      <c r="M22" s="3">
        <v>59</v>
      </c>
      <c r="N22" s="3">
        <v>2</v>
      </c>
      <c r="O22" s="3">
        <v>16</v>
      </c>
      <c r="R22" s="3">
        <v>0</v>
      </c>
      <c r="S22" s="3"/>
      <c r="T22" s="3">
        <v>3.32E-2</v>
      </c>
      <c r="U22" s="3">
        <v>5.4359999999999999E-2</v>
      </c>
      <c r="V22" s="3">
        <v>0</v>
      </c>
      <c r="W22" s="3">
        <v>0</v>
      </c>
      <c r="X22" s="3"/>
      <c r="AB22" s="3" t="str">
        <f t="shared" si="1"/>
        <v>___</v>
      </c>
      <c r="AC22" s="3" t="str">
        <f t="shared" si="0"/>
        <v>____</v>
      </c>
    </row>
    <row r="23" spans="1:31" ht="15.75" customHeight="1">
      <c r="A23" s="2">
        <v>45481</v>
      </c>
      <c r="B23" s="3" t="s">
        <v>41</v>
      </c>
      <c r="D23" s="3" t="s">
        <v>33</v>
      </c>
      <c r="E23" s="3" t="s">
        <v>42</v>
      </c>
      <c r="F23" s="3"/>
      <c r="G23" s="3" t="s">
        <v>35</v>
      </c>
      <c r="H23" s="3">
        <v>2</v>
      </c>
      <c r="I23" s="3">
        <v>17</v>
      </c>
      <c r="J23" s="4">
        <v>45431</v>
      </c>
      <c r="K23" s="3">
        <v>6</v>
      </c>
      <c r="L23" s="3" t="s">
        <v>36</v>
      </c>
      <c r="M23" s="3">
        <v>31</v>
      </c>
      <c r="N23" s="3">
        <v>12</v>
      </c>
      <c r="O23" s="3">
        <v>16</v>
      </c>
      <c r="R23" s="3">
        <v>0</v>
      </c>
      <c r="S23" s="3"/>
      <c r="T23" s="3">
        <v>7.0620000000000002E-2</v>
      </c>
      <c r="U23" s="3">
        <v>1.031E-2</v>
      </c>
      <c r="V23" s="3">
        <v>0</v>
      </c>
      <c r="W23" s="3">
        <v>0</v>
      </c>
      <c r="X23" s="3"/>
      <c r="AB23" s="3" t="str">
        <f t="shared" si="1"/>
        <v>SE_F___vv</v>
      </c>
      <c r="AC23" s="3" t="str">
        <f t="shared" si="0"/>
        <v>SE_F___vv_2</v>
      </c>
      <c r="AE23" s="3" t="s">
        <v>37</v>
      </c>
    </row>
    <row r="24" spans="1:31" ht="15.75" customHeight="1">
      <c r="E24" s="3"/>
      <c r="F24" s="3"/>
      <c r="G24" s="3"/>
      <c r="L24" s="3" t="s">
        <v>38</v>
      </c>
      <c r="M24" s="3">
        <v>36</v>
      </c>
      <c r="N24" s="3">
        <v>17</v>
      </c>
      <c r="O24" s="3">
        <v>20</v>
      </c>
      <c r="R24" s="3">
        <v>0</v>
      </c>
      <c r="S24" s="3"/>
      <c r="T24" s="5">
        <v>0.20543</v>
      </c>
      <c r="U24" s="3">
        <v>2.4400000000000002E-2</v>
      </c>
      <c r="V24" s="3">
        <v>0</v>
      </c>
      <c r="W24" s="3">
        <v>0</v>
      </c>
      <c r="X24" s="3"/>
      <c r="AB24" s="3" t="str">
        <f t="shared" si="1"/>
        <v>___</v>
      </c>
      <c r="AC24" s="3" t="str">
        <f t="shared" si="0"/>
        <v>____</v>
      </c>
    </row>
    <row r="25" spans="1:31" ht="15.75" customHeight="1">
      <c r="E25" s="3"/>
      <c r="F25" s="3"/>
      <c r="G25" s="3"/>
      <c r="L25" s="3" t="s">
        <v>39</v>
      </c>
      <c r="M25" s="3">
        <v>30</v>
      </c>
      <c r="N25" s="3">
        <v>10</v>
      </c>
      <c r="O25" s="3">
        <v>13</v>
      </c>
      <c r="R25" s="3">
        <v>0</v>
      </c>
      <c r="S25" s="3"/>
      <c r="T25" s="3">
        <v>0.16880999999999999</v>
      </c>
      <c r="U25" s="3">
        <v>2.886E-2</v>
      </c>
      <c r="V25" s="3">
        <v>0</v>
      </c>
      <c r="W25" s="3">
        <v>0</v>
      </c>
      <c r="X25" s="3"/>
      <c r="AB25" s="3" t="str">
        <f t="shared" si="1"/>
        <v>___</v>
      </c>
      <c r="AC25" s="3" t="str">
        <f t="shared" si="0"/>
        <v>____</v>
      </c>
    </row>
    <row r="26" spans="1:31" ht="15.75" customHeight="1">
      <c r="A26" s="2">
        <v>45481</v>
      </c>
      <c r="B26" s="3" t="s">
        <v>41</v>
      </c>
      <c r="D26" s="3" t="s">
        <v>33</v>
      </c>
      <c r="E26" s="3" t="s">
        <v>42</v>
      </c>
      <c r="F26" s="3"/>
      <c r="G26" s="3" t="s">
        <v>35</v>
      </c>
      <c r="H26" s="3">
        <v>3</v>
      </c>
      <c r="I26" s="4">
        <v>45340</v>
      </c>
      <c r="J26" s="4">
        <v>45399</v>
      </c>
      <c r="K26" s="3">
        <v>4</v>
      </c>
      <c r="L26" s="3" t="s">
        <v>36</v>
      </c>
      <c r="M26" s="3">
        <v>47</v>
      </c>
      <c r="N26" s="3">
        <v>17</v>
      </c>
      <c r="O26" s="3">
        <v>17</v>
      </c>
      <c r="R26" s="3">
        <v>0</v>
      </c>
      <c r="S26" s="3"/>
      <c r="T26" s="3">
        <v>0.1482</v>
      </c>
      <c r="U26" s="3">
        <v>2.462E-2</v>
      </c>
      <c r="V26" s="3">
        <v>0</v>
      </c>
      <c r="W26" s="3">
        <v>0</v>
      </c>
      <c r="X26" s="3"/>
      <c r="AB26" s="3" t="str">
        <f t="shared" si="1"/>
        <v>SE_F___vv</v>
      </c>
      <c r="AC26" s="3" t="str">
        <f t="shared" si="0"/>
        <v>SE_F___vv_3</v>
      </c>
      <c r="AE26" s="3" t="s">
        <v>37</v>
      </c>
    </row>
    <row r="27" spans="1:31" ht="15.75" customHeight="1">
      <c r="E27" s="3"/>
      <c r="F27" s="3"/>
      <c r="G27" s="3"/>
      <c r="L27" s="3" t="s">
        <v>38</v>
      </c>
      <c r="M27" s="3">
        <v>57</v>
      </c>
      <c r="N27" s="3">
        <v>8</v>
      </c>
      <c r="O27" s="3">
        <v>13</v>
      </c>
      <c r="R27" s="3">
        <v>0</v>
      </c>
      <c r="S27" s="3"/>
      <c r="T27" s="3">
        <v>0.16916999999999999</v>
      </c>
      <c r="U27" s="3">
        <v>4.7050000000000002E-2</v>
      </c>
      <c r="V27" s="3">
        <v>0</v>
      </c>
      <c r="W27" s="3">
        <v>0</v>
      </c>
      <c r="X27" s="3"/>
      <c r="AB27" s="3" t="str">
        <f t="shared" si="1"/>
        <v>___</v>
      </c>
      <c r="AC27" s="3" t="str">
        <f t="shared" si="0"/>
        <v>____</v>
      </c>
    </row>
    <row r="28" spans="1:31" ht="15.75" customHeight="1">
      <c r="E28" s="3"/>
      <c r="F28" s="3"/>
      <c r="G28" s="3"/>
      <c r="L28" s="3" t="s">
        <v>39</v>
      </c>
      <c r="M28" s="3">
        <v>34</v>
      </c>
      <c r="N28" s="3">
        <v>5</v>
      </c>
      <c r="O28" s="3">
        <v>7</v>
      </c>
      <c r="R28" s="3">
        <v>0</v>
      </c>
      <c r="S28" s="3"/>
      <c r="T28" s="3">
        <v>3.4819999999999997E-2</v>
      </c>
      <c r="U28" s="3">
        <v>2.7859999999999999E-2</v>
      </c>
      <c r="V28" s="3">
        <v>0</v>
      </c>
      <c r="W28" s="3">
        <v>0</v>
      </c>
      <c r="X28" s="3"/>
      <c r="AB28" s="3" t="str">
        <f t="shared" si="1"/>
        <v>___</v>
      </c>
      <c r="AC28" s="3" t="str">
        <f t="shared" si="0"/>
        <v>____</v>
      </c>
    </row>
    <row r="29" spans="1:31" ht="15.75" customHeight="1">
      <c r="A29" s="2">
        <v>45481</v>
      </c>
      <c r="B29" s="3" t="s">
        <v>41</v>
      </c>
      <c r="D29" s="3" t="s">
        <v>33</v>
      </c>
      <c r="E29" s="3" t="s">
        <v>42</v>
      </c>
      <c r="F29" s="3"/>
      <c r="G29" s="3" t="s">
        <v>40</v>
      </c>
      <c r="H29" s="3">
        <v>1</v>
      </c>
      <c r="I29" s="4">
        <v>45496</v>
      </c>
      <c r="J29" s="4">
        <v>45523</v>
      </c>
      <c r="K29" s="3">
        <v>4</v>
      </c>
      <c r="L29" s="3" t="s">
        <v>36</v>
      </c>
      <c r="M29" s="3">
        <v>46</v>
      </c>
      <c r="N29" s="3">
        <v>7</v>
      </c>
      <c r="O29" s="3">
        <v>7</v>
      </c>
      <c r="R29" s="3">
        <v>0</v>
      </c>
      <c r="S29" s="3"/>
      <c r="T29" s="3">
        <v>3.7699999999999997E-2</v>
      </c>
      <c r="U29" s="3">
        <v>1.6570000000000001E-2</v>
      </c>
      <c r="V29" s="3">
        <v>0</v>
      </c>
      <c r="W29" s="3">
        <v>0</v>
      </c>
      <c r="X29" s="3"/>
      <c r="AB29" s="3" t="str">
        <f t="shared" si="1"/>
        <v>SE_F___vm</v>
      </c>
      <c r="AC29" s="3" t="str">
        <f t="shared" si="0"/>
        <v>SE_F___vm_1</v>
      </c>
      <c r="AE29" s="3" t="s">
        <v>37</v>
      </c>
    </row>
    <row r="30" spans="1:31" ht="15.75" customHeight="1">
      <c r="E30" s="3"/>
      <c r="F30" s="3"/>
      <c r="G30" s="3"/>
      <c r="L30" s="3" t="s">
        <v>38</v>
      </c>
      <c r="M30" s="3">
        <v>71</v>
      </c>
      <c r="N30" s="3">
        <v>0</v>
      </c>
      <c r="O30" s="3">
        <v>5</v>
      </c>
      <c r="P30" s="3">
        <v>2</v>
      </c>
      <c r="Q30" s="3">
        <v>2</v>
      </c>
      <c r="R30" s="3">
        <v>0</v>
      </c>
      <c r="S30" s="3"/>
      <c r="T30" s="3">
        <v>0</v>
      </c>
      <c r="U30" s="3">
        <v>5.1830000000000001E-2</v>
      </c>
      <c r="V30" s="3">
        <v>5.7149999999999999E-2</v>
      </c>
      <c r="W30" s="3">
        <v>0</v>
      </c>
      <c r="X30" s="3"/>
      <c r="AB30" s="3" t="str">
        <f t="shared" si="1"/>
        <v>___</v>
      </c>
      <c r="AC30" s="3" t="str">
        <f t="shared" si="0"/>
        <v>____</v>
      </c>
    </row>
    <row r="31" spans="1:31" ht="15.75" customHeight="1">
      <c r="E31" s="3"/>
      <c r="F31" s="3"/>
      <c r="G31" s="3"/>
      <c r="L31" s="3" t="s">
        <v>39</v>
      </c>
      <c r="M31" s="3">
        <v>78</v>
      </c>
      <c r="N31" s="3">
        <v>0</v>
      </c>
      <c r="O31" s="3">
        <v>2</v>
      </c>
      <c r="P31" s="3">
        <v>5</v>
      </c>
      <c r="Q31" s="3">
        <v>5</v>
      </c>
      <c r="R31" s="3">
        <v>0</v>
      </c>
      <c r="S31" s="3"/>
      <c r="T31" s="3">
        <v>0</v>
      </c>
      <c r="U31" s="3">
        <v>0.12518000000000001</v>
      </c>
      <c r="V31" s="3">
        <v>0.22245999999999999</v>
      </c>
      <c r="W31" s="3">
        <v>0</v>
      </c>
      <c r="X31" s="3"/>
      <c r="AB31" s="3" t="str">
        <f t="shared" si="1"/>
        <v>___</v>
      </c>
      <c r="AC31" s="3" t="str">
        <f t="shared" si="0"/>
        <v>____</v>
      </c>
    </row>
    <row r="32" spans="1:31" ht="15.75" customHeight="1">
      <c r="A32" s="2">
        <v>45481</v>
      </c>
      <c r="B32" s="3" t="s">
        <v>41</v>
      </c>
      <c r="D32" s="3" t="s">
        <v>33</v>
      </c>
      <c r="E32" s="3" t="s">
        <v>42</v>
      </c>
      <c r="F32" s="3"/>
      <c r="G32" s="3" t="s">
        <v>40</v>
      </c>
      <c r="H32" s="3">
        <v>2</v>
      </c>
      <c r="I32" s="3">
        <v>22</v>
      </c>
      <c r="J32" s="4">
        <v>45472</v>
      </c>
      <c r="K32" s="3">
        <v>6</v>
      </c>
      <c r="L32" s="3" t="s">
        <v>36</v>
      </c>
      <c r="M32" s="3">
        <v>72</v>
      </c>
      <c r="N32" s="3">
        <v>9</v>
      </c>
      <c r="O32" s="3">
        <v>9</v>
      </c>
      <c r="R32" s="3">
        <v>1</v>
      </c>
      <c r="S32" s="3"/>
      <c r="T32" s="3">
        <v>9.2420000000000002E-2</v>
      </c>
      <c r="U32" s="3">
        <v>4.7789999999999999E-2</v>
      </c>
      <c r="V32" s="3">
        <v>0</v>
      </c>
      <c r="W32" s="3">
        <v>3.1980000000000001E-2</v>
      </c>
      <c r="X32" s="3"/>
      <c r="AB32" s="3" t="str">
        <f t="shared" si="1"/>
        <v>SE_F___vm</v>
      </c>
      <c r="AC32" s="3" t="str">
        <f t="shared" si="0"/>
        <v>SE_F___vm_2</v>
      </c>
      <c r="AE32" s="3" t="s">
        <v>37</v>
      </c>
    </row>
    <row r="33" spans="1:32" ht="15.75" customHeight="1">
      <c r="E33" s="3"/>
      <c r="F33" s="3"/>
      <c r="G33" s="3"/>
      <c r="L33" s="3" t="s">
        <v>38</v>
      </c>
      <c r="M33" s="3">
        <v>83</v>
      </c>
      <c r="N33" s="3">
        <v>0</v>
      </c>
      <c r="O33" s="3">
        <v>4</v>
      </c>
      <c r="P33" s="3">
        <v>2</v>
      </c>
      <c r="Q33" s="3">
        <v>2</v>
      </c>
      <c r="R33" s="3">
        <v>0</v>
      </c>
      <c r="S33" s="3"/>
      <c r="T33" s="3">
        <v>0</v>
      </c>
      <c r="U33" s="3">
        <v>9.078E-2</v>
      </c>
      <c r="V33" s="3">
        <v>8.1720000000000001E-2</v>
      </c>
      <c r="W33" s="3">
        <v>0</v>
      </c>
      <c r="X33" s="3"/>
      <c r="AB33" s="3" t="str">
        <f t="shared" si="1"/>
        <v>___</v>
      </c>
      <c r="AC33" s="3" t="str">
        <f t="shared" si="0"/>
        <v>____</v>
      </c>
    </row>
    <row r="34" spans="1:32" ht="15.75" customHeight="1">
      <c r="E34" s="3"/>
      <c r="F34" s="3"/>
      <c r="G34" s="3"/>
      <c r="L34" s="3" t="s">
        <v>39</v>
      </c>
      <c r="M34" s="3">
        <v>93</v>
      </c>
      <c r="N34" s="3">
        <v>0</v>
      </c>
      <c r="O34" s="3">
        <v>4</v>
      </c>
      <c r="P34" s="3">
        <v>3</v>
      </c>
      <c r="Q34" s="3">
        <v>3</v>
      </c>
      <c r="R34" s="3">
        <v>0</v>
      </c>
      <c r="S34" s="3"/>
      <c r="T34" s="3">
        <v>0</v>
      </c>
      <c r="U34" s="3">
        <v>0.22983000000000001</v>
      </c>
      <c r="V34" s="3">
        <v>0.55742000000000003</v>
      </c>
      <c r="W34" s="3">
        <v>0</v>
      </c>
      <c r="X34" s="3"/>
      <c r="AB34" s="3" t="str">
        <f t="shared" si="1"/>
        <v>___</v>
      </c>
      <c r="AC34" s="3" t="str">
        <f t="shared" si="0"/>
        <v>____</v>
      </c>
    </row>
    <row r="35" spans="1:32" ht="15.75" customHeight="1">
      <c r="A35" s="2">
        <v>45481</v>
      </c>
      <c r="B35" s="3" t="s">
        <v>41</v>
      </c>
      <c r="D35" s="3" t="s">
        <v>33</v>
      </c>
      <c r="E35" s="3" t="s">
        <v>42</v>
      </c>
      <c r="F35" s="3"/>
      <c r="G35" s="3" t="s">
        <v>40</v>
      </c>
      <c r="H35" s="3">
        <v>3</v>
      </c>
      <c r="I35" s="4">
        <v>45463</v>
      </c>
      <c r="J35" s="4">
        <v>45554</v>
      </c>
      <c r="K35" s="3">
        <v>6</v>
      </c>
      <c r="L35" s="3" t="s">
        <v>36</v>
      </c>
      <c r="M35" s="3">
        <v>22</v>
      </c>
      <c r="N35" s="3">
        <v>5</v>
      </c>
      <c r="O35" s="3">
        <v>5</v>
      </c>
      <c r="R35" s="3">
        <v>1</v>
      </c>
      <c r="S35" s="3"/>
      <c r="T35" s="3">
        <v>3.2719999999999999E-2</v>
      </c>
      <c r="U35" s="3">
        <v>8.77E-3</v>
      </c>
      <c r="V35" s="3">
        <v>0</v>
      </c>
      <c r="W35" s="3">
        <v>2.4819999999999998E-2</v>
      </c>
      <c r="X35" s="3"/>
      <c r="AB35" s="3" t="str">
        <f t="shared" si="1"/>
        <v>SE_F___vm</v>
      </c>
      <c r="AC35" s="3" t="str">
        <f t="shared" si="0"/>
        <v>SE_F___vm_3</v>
      </c>
      <c r="AE35" s="3" t="s">
        <v>37</v>
      </c>
    </row>
    <row r="36" spans="1:32" ht="12.5">
      <c r="E36" s="3"/>
      <c r="F36" s="3"/>
      <c r="G36" s="3"/>
      <c r="L36" s="3" t="s">
        <v>38</v>
      </c>
      <c r="M36" s="3">
        <v>38</v>
      </c>
      <c r="N36" s="3">
        <v>0</v>
      </c>
      <c r="O36" s="3">
        <v>2</v>
      </c>
      <c r="P36" s="3">
        <v>3</v>
      </c>
      <c r="Q36" s="3">
        <v>3</v>
      </c>
      <c r="R36" s="3">
        <v>0</v>
      </c>
      <c r="S36" s="3"/>
      <c r="T36" s="3">
        <v>0</v>
      </c>
      <c r="U36" s="3">
        <v>3.2349999999999997E-2</v>
      </c>
      <c r="V36" s="3">
        <v>7.1650000000000005E-2</v>
      </c>
      <c r="W36" s="3">
        <v>0</v>
      </c>
      <c r="X36" s="3"/>
      <c r="AB36" s="3" t="str">
        <f t="shared" si="1"/>
        <v>___</v>
      </c>
      <c r="AC36" s="3" t="str">
        <f t="shared" si="0"/>
        <v>____</v>
      </c>
    </row>
    <row r="37" spans="1:32" ht="12.5">
      <c r="E37" s="3"/>
      <c r="F37" s="3"/>
      <c r="G37" s="3"/>
      <c r="L37" s="3" t="s">
        <v>39</v>
      </c>
      <c r="M37" s="3">
        <v>57</v>
      </c>
      <c r="N37" s="3">
        <v>0</v>
      </c>
      <c r="O37" s="3">
        <v>3</v>
      </c>
      <c r="P37" s="3">
        <v>4</v>
      </c>
      <c r="Q37" s="3">
        <v>4</v>
      </c>
      <c r="R37" s="3">
        <v>0</v>
      </c>
      <c r="S37" s="3"/>
      <c r="T37" s="3">
        <v>0</v>
      </c>
      <c r="U37" s="3">
        <v>9.4630000000000006E-2</v>
      </c>
      <c r="V37" s="3">
        <v>0.41012999999999999</v>
      </c>
      <c r="W37" s="3">
        <v>0</v>
      </c>
      <c r="X37" s="3"/>
      <c r="AB37" s="3" t="str">
        <f t="shared" si="1"/>
        <v>___</v>
      </c>
      <c r="AC37" s="3" t="str">
        <f t="shared" si="0"/>
        <v>____</v>
      </c>
    </row>
    <row r="38" spans="1:32" ht="12.5">
      <c r="A38" s="2">
        <v>45481</v>
      </c>
      <c r="B38" s="6">
        <v>239</v>
      </c>
      <c r="C38" s="6">
        <v>26</v>
      </c>
      <c r="D38" s="3" t="s">
        <v>33</v>
      </c>
      <c r="E38" s="3"/>
      <c r="F38" s="3" t="s">
        <v>43</v>
      </c>
      <c r="G38" s="3" t="s">
        <v>40</v>
      </c>
      <c r="H38" s="3">
        <v>1</v>
      </c>
      <c r="I38" s="4">
        <v>45336</v>
      </c>
      <c r="J38" s="4">
        <v>45335</v>
      </c>
      <c r="K38" s="3">
        <v>4</v>
      </c>
      <c r="L38" s="3" t="s">
        <v>36</v>
      </c>
      <c r="M38" s="3">
        <v>16</v>
      </c>
      <c r="N38" s="3">
        <v>5</v>
      </c>
      <c r="O38" s="3">
        <v>5</v>
      </c>
      <c r="R38" s="3">
        <v>0</v>
      </c>
      <c r="S38" s="3"/>
      <c r="T38" s="3">
        <v>0</v>
      </c>
      <c r="U38" s="3">
        <v>1.379E-2</v>
      </c>
      <c r="V38" s="3">
        <v>2.3900000000000002E-3</v>
      </c>
      <c r="W38" s="3">
        <v>0</v>
      </c>
      <c r="X38" s="3"/>
      <c r="AB38" s="3" t="str">
        <f t="shared" si="1"/>
        <v>239_26_T4-C-5_vm</v>
      </c>
      <c r="AC38" s="3" t="str">
        <f t="shared" si="0"/>
        <v>239_26_T4-C-5_vm_1</v>
      </c>
      <c r="AE38" s="3" t="s">
        <v>37</v>
      </c>
      <c r="AF38" s="3" t="s">
        <v>37</v>
      </c>
    </row>
    <row r="39" spans="1:32" ht="12.5">
      <c r="E39" s="3"/>
      <c r="F39" s="3"/>
      <c r="G39" s="3"/>
      <c r="L39" s="3" t="s">
        <v>38</v>
      </c>
      <c r="M39" s="3">
        <v>52</v>
      </c>
      <c r="N39" s="3">
        <v>0</v>
      </c>
      <c r="O39" s="3">
        <v>2</v>
      </c>
      <c r="P39" s="3">
        <v>4</v>
      </c>
      <c r="Q39" s="3">
        <v>4</v>
      </c>
      <c r="R39" s="3">
        <v>0</v>
      </c>
      <c r="S39" s="3"/>
      <c r="T39" s="3">
        <v>0</v>
      </c>
      <c r="U39" s="3">
        <v>3.6150000000000002E-2</v>
      </c>
      <c r="V39" s="3">
        <v>7.9560000000000006E-2</v>
      </c>
      <c r="W39" s="3">
        <v>0</v>
      </c>
      <c r="X39" s="3"/>
      <c r="AB39" s="3" t="str">
        <f t="shared" si="1"/>
        <v>___</v>
      </c>
      <c r="AC39" s="3" t="str">
        <f t="shared" si="0"/>
        <v>____</v>
      </c>
    </row>
    <row r="40" spans="1:32" ht="12.5">
      <c r="E40" s="3"/>
      <c r="F40" s="3"/>
      <c r="G40" s="3"/>
      <c r="L40" s="3" t="s">
        <v>39</v>
      </c>
      <c r="M40" s="3">
        <v>34</v>
      </c>
      <c r="N40" s="3">
        <v>0</v>
      </c>
      <c r="O40" s="3">
        <v>2</v>
      </c>
      <c r="P40" s="3">
        <v>3</v>
      </c>
      <c r="Q40" s="3">
        <v>3</v>
      </c>
      <c r="R40" s="3">
        <v>0</v>
      </c>
      <c r="S40" s="3"/>
      <c r="T40" s="3">
        <v>0</v>
      </c>
      <c r="U40" s="3">
        <v>1.72E-2</v>
      </c>
      <c r="V40" s="3">
        <v>3.8339999999999999E-2</v>
      </c>
      <c r="W40" s="3">
        <v>0</v>
      </c>
      <c r="X40" s="3"/>
      <c r="AB40" s="3" t="str">
        <f t="shared" si="1"/>
        <v>___</v>
      </c>
      <c r="AC40" s="3" t="str">
        <f t="shared" si="0"/>
        <v>____</v>
      </c>
    </row>
    <row r="41" spans="1:32" ht="12.5">
      <c r="A41" s="2">
        <v>45481</v>
      </c>
      <c r="B41" s="3">
        <v>239</v>
      </c>
      <c r="C41" s="3">
        <v>26</v>
      </c>
      <c r="D41" s="3" t="s">
        <v>33</v>
      </c>
      <c r="E41" s="3"/>
      <c r="F41" s="3" t="s">
        <v>43</v>
      </c>
      <c r="G41" s="3" t="s">
        <v>40</v>
      </c>
      <c r="H41" s="3">
        <v>2</v>
      </c>
      <c r="I41" s="4">
        <v>45367</v>
      </c>
      <c r="J41" s="4">
        <v>45488</v>
      </c>
      <c r="K41" s="3">
        <v>5</v>
      </c>
      <c r="L41" s="3" t="s">
        <v>36</v>
      </c>
      <c r="M41" s="3">
        <v>34</v>
      </c>
      <c r="N41" s="3">
        <v>7</v>
      </c>
      <c r="O41" s="3">
        <v>7</v>
      </c>
      <c r="R41" s="3">
        <v>0</v>
      </c>
      <c r="S41" s="3"/>
      <c r="T41" s="3">
        <v>1.504E-2</v>
      </c>
      <c r="U41" s="3">
        <v>7.4099999999999999E-3</v>
      </c>
      <c r="V41" s="3">
        <v>0</v>
      </c>
      <c r="W41" s="3">
        <v>0</v>
      </c>
      <c r="X41" s="3"/>
      <c r="AB41" s="3" t="str">
        <f t="shared" si="1"/>
        <v>239_26_T4-C-5_vm</v>
      </c>
      <c r="AC41" s="3" t="str">
        <f t="shared" si="0"/>
        <v>239_26_T4-C-5_vm_2</v>
      </c>
      <c r="AE41" s="3" t="s">
        <v>37</v>
      </c>
      <c r="AF41" s="3" t="s">
        <v>37</v>
      </c>
    </row>
    <row r="42" spans="1:32" ht="12.5">
      <c r="E42" s="3"/>
      <c r="F42" s="3"/>
      <c r="G42" s="3"/>
      <c r="L42" s="3" t="s">
        <v>38</v>
      </c>
      <c r="M42" s="3">
        <v>64</v>
      </c>
      <c r="N42" s="3">
        <v>0</v>
      </c>
      <c r="O42" s="3">
        <v>9</v>
      </c>
      <c r="P42" s="3">
        <v>2</v>
      </c>
      <c r="Q42" s="3">
        <v>2</v>
      </c>
      <c r="R42" s="3">
        <v>0</v>
      </c>
      <c r="S42" s="3"/>
      <c r="T42" s="3">
        <v>0</v>
      </c>
      <c r="U42" s="3">
        <v>1.072E-2</v>
      </c>
      <c r="V42" s="3">
        <v>2.8830000000000001E-2</v>
      </c>
      <c r="W42" s="3">
        <v>0</v>
      </c>
      <c r="X42" s="3"/>
      <c r="AB42" s="3" t="str">
        <f t="shared" si="1"/>
        <v>___</v>
      </c>
      <c r="AC42" s="3" t="str">
        <f t="shared" si="0"/>
        <v>____</v>
      </c>
    </row>
    <row r="43" spans="1:32" ht="12.5">
      <c r="E43" s="3"/>
      <c r="F43" s="3"/>
      <c r="G43" s="3"/>
      <c r="L43" s="3" t="s">
        <v>39</v>
      </c>
      <c r="M43" s="3">
        <v>26</v>
      </c>
      <c r="N43" s="3">
        <v>0</v>
      </c>
      <c r="O43" s="3">
        <v>4</v>
      </c>
      <c r="P43" s="3">
        <v>2</v>
      </c>
      <c r="Q43" s="3">
        <v>2</v>
      </c>
      <c r="R43" s="3">
        <v>0</v>
      </c>
      <c r="S43" s="3"/>
      <c r="T43" s="3">
        <v>0</v>
      </c>
      <c r="U43" s="3">
        <v>4.3209999999999998E-2</v>
      </c>
      <c r="V43" s="3">
        <v>6.3030000000000003E-2</v>
      </c>
      <c r="W43" s="3">
        <v>0</v>
      </c>
      <c r="X43" s="3"/>
      <c r="AB43" s="3" t="str">
        <f t="shared" si="1"/>
        <v>___</v>
      </c>
      <c r="AC43" s="3" t="str">
        <f t="shared" si="0"/>
        <v>____</v>
      </c>
    </row>
    <row r="44" spans="1:32" ht="12.5">
      <c r="A44" s="2">
        <v>45481</v>
      </c>
      <c r="B44" s="3">
        <v>239</v>
      </c>
      <c r="C44" s="3">
        <v>26</v>
      </c>
      <c r="D44" s="3" t="s">
        <v>33</v>
      </c>
      <c r="E44" s="3"/>
      <c r="F44" s="3" t="s">
        <v>43</v>
      </c>
      <c r="G44" s="3" t="s">
        <v>40</v>
      </c>
      <c r="H44" s="3">
        <v>3</v>
      </c>
      <c r="I44" s="4">
        <v>45396</v>
      </c>
      <c r="J44" s="4">
        <v>45490</v>
      </c>
      <c r="K44" s="3">
        <v>7</v>
      </c>
      <c r="L44" s="3" t="s">
        <v>36</v>
      </c>
      <c r="M44" s="3">
        <v>17</v>
      </c>
      <c r="N44" s="3">
        <v>5</v>
      </c>
      <c r="O44" s="3">
        <v>5</v>
      </c>
      <c r="R44" s="3">
        <v>0</v>
      </c>
      <c r="S44" s="3"/>
      <c r="T44" s="3">
        <v>1.4619999999999999E-2</v>
      </c>
      <c r="U44" s="3">
        <v>3.3600000000000001E-3</v>
      </c>
      <c r="V44" s="3">
        <v>0</v>
      </c>
      <c r="W44" s="3">
        <v>0</v>
      </c>
      <c r="X44" s="3"/>
      <c r="AB44" s="3" t="str">
        <f t="shared" si="1"/>
        <v>239_26_T4-C-5_vm</v>
      </c>
      <c r="AC44" s="3" t="str">
        <f t="shared" si="0"/>
        <v>239_26_T4-C-5_vm_3</v>
      </c>
      <c r="AE44" s="3" t="s">
        <v>37</v>
      </c>
      <c r="AF44" s="3" t="s">
        <v>37</v>
      </c>
    </row>
    <row r="45" spans="1:32" ht="12.5">
      <c r="E45" s="3"/>
      <c r="F45" s="3"/>
      <c r="G45" s="3"/>
      <c r="L45" s="3" t="s">
        <v>38</v>
      </c>
      <c r="M45" s="3">
        <v>23</v>
      </c>
      <c r="N45" s="3">
        <v>0</v>
      </c>
      <c r="O45" s="3">
        <v>3</v>
      </c>
      <c r="P45" s="3">
        <v>1</v>
      </c>
      <c r="Q45" s="3">
        <v>1</v>
      </c>
      <c r="R45" s="3">
        <v>0</v>
      </c>
      <c r="S45" s="3"/>
      <c r="T45" s="3">
        <v>0</v>
      </c>
      <c r="U45" s="3">
        <v>6.77E-3</v>
      </c>
      <c r="V45" s="3">
        <v>7.7000000000000002E-3</v>
      </c>
      <c r="W45" s="3">
        <v>0</v>
      </c>
      <c r="X45" s="3"/>
      <c r="AB45" s="3" t="str">
        <f t="shared" si="1"/>
        <v>___</v>
      </c>
      <c r="AC45" s="3" t="str">
        <f t="shared" si="0"/>
        <v>____</v>
      </c>
    </row>
    <row r="46" spans="1:32" ht="12.5">
      <c r="E46" s="3"/>
      <c r="F46" s="3"/>
      <c r="G46" s="3"/>
      <c r="L46" s="3" t="s">
        <v>39</v>
      </c>
      <c r="M46" s="3">
        <v>21</v>
      </c>
      <c r="N46" s="3">
        <v>0</v>
      </c>
      <c r="O46" s="3">
        <v>4</v>
      </c>
      <c r="P46" s="3">
        <v>1</v>
      </c>
      <c r="Q46" s="3">
        <v>1</v>
      </c>
      <c r="R46" s="3">
        <v>0</v>
      </c>
      <c r="S46" s="3"/>
      <c r="T46" s="3">
        <v>0</v>
      </c>
      <c r="U46" s="3">
        <v>8.1300000000000001E-3</v>
      </c>
      <c r="V46" s="3">
        <v>1.857E-2</v>
      </c>
      <c r="W46" s="3">
        <v>0</v>
      </c>
      <c r="X46" s="3"/>
      <c r="AB46" s="3" t="str">
        <f t="shared" si="1"/>
        <v>___</v>
      </c>
      <c r="AC46" s="3" t="str">
        <f t="shared" si="0"/>
        <v>____</v>
      </c>
    </row>
    <row r="47" spans="1:32" ht="12.5">
      <c r="A47" s="2">
        <v>45481</v>
      </c>
      <c r="B47" s="6">
        <v>239</v>
      </c>
      <c r="C47" s="6">
        <v>46</v>
      </c>
      <c r="D47" s="3" t="s">
        <v>33</v>
      </c>
      <c r="E47" s="3"/>
      <c r="F47" s="3" t="s">
        <v>44</v>
      </c>
      <c r="G47" s="3" t="s">
        <v>40</v>
      </c>
      <c r="H47" s="3">
        <v>1</v>
      </c>
      <c r="I47" s="4">
        <v>45408</v>
      </c>
      <c r="J47" s="4">
        <v>45495</v>
      </c>
      <c r="K47" s="3">
        <v>5</v>
      </c>
      <c r="L47" s="3" t="s">
        <v>36</v>
      </c>
      <c r="M47" s="3">
        <v>42</v>
      </c>
      <c r="N47" s="3">
        <v>7</v>
      </c>
      <c r="O47" s="3">
        <v>7</v>
      </c>
      <c r="R47" s="3">
        <v>0</v>
      </c>
      <c r="S47" s="3"/>
      <c r="T47" s="3">
        <v>3.6119999999999999E-2</v>
      </c>
      <c r="U47" s="3">
        <v>1.5599999999999999E-2</v>
      </c>
      <c r="V47" s="3">
        <v>0</v>
      </c>
      <c r="W47" s="3">
        <v>0</v>
      </c>
      <c r="X47" s="3"/>
      <c r="AB47" s="3" t="str">
        <f t="shared" si="1"/>
        <v>239_46_T4-C-1_vm</v>
      </c>
      <c r="AC47" s="3" t="str">
        <f t="shared" si="0"/>
        <v>239_46_T4-C-1_vm_1</v>
      </c>
      <c r="AE47" s="3" t="s">
        <v>37</v>
      </c>
      <c r="AF47" s="3" t="s">
        <v>37</v>
      </c>
    </row>
    <row r="48" spans="1:32" ht="12.5">
      <c r="E48" s="3"/>
      <c r="F48" s="3"/>
      <c r="G48" s="3"/>
      <c r="L48" s="3" t="s">
        <v>38</v>
      </c>
      <c r="M48" s="3">
        <v>101</v>
      </c>
      <c r="N48" s="3">
        <v>0</v>
      </c>
      <c r="O48" s="3">
        <v>3</v>
      </c>
      <c r="P48" s="3">
        <v>4</v>
      </c>
      <c r="Q48" s="3">
        <v>4</v>
      </c>
      <c r="R48" s="3">
        <v>0</v>
      </c>
      <c r="S48" s="3"/>
      <c r="T48" s="3">
        <v>0</v>
      </c>
      <c r="U48" s="3">
        <v>0.11255999999999999</v>
      </c>
      <c r="V48" s="3">
        <v>0.17782999999999999</v>
      </c>
      <c r="W48" s="3">
        <v>0</v>
      </c>
      <c r="X48" s="3"/>
      <c r="AB48" s="3" t="str">
        <f t="shared" si="1"/>
        <v>___</v>
      </c>
      <c r="AC48" s="3" t="str">
        <f t="shared" si="0"/>
        <v>____</v>
      </c>
    </row>
    <row r="49" spans="1:32" ht="12.5">
      <c r="E49" s="3"/>
      <c r="F49" s="3"/>
      <c r="G49" s="3"/>
      <c r="L49" s="3" t="s">
        <v>39</v>
      </c>
      <c r="M49" s="3">
        <v>29</v>
      </c>
      <c r="N49" s="3">
        <v>0</v>
      </c>
      <c r="O49" s="3">
        <v>1</v>
      </c>
      <c r="R49" s="3">
        <v>0</v>
      </c>
      <c r="S49" s="3"/>
      <c r="T49" s="3">
        <v>0</v>
      </c>
      <c r="U49" s="3">
        <v>4.5490000000000003E-2</v>
      </c>
      <c r="V49" s="3">
        <v>0</v>
      </c>
      <c r="W49" s="3">
        <v>0</v>
      </c>
      <c r="X49" s="3"/>
      <c r="AB49" s="3" t="str">
        <f t="shared" si="1"/>
        <v>___</v>
      </c>
      <c r="AC49" s="3" t="str">
        <f t="shared" si="0"/>
        <v>____</v>
      </c>
    </row>
    <row r="50" spans="1:32" ht="12.5">
      <c r="A50" s="2">
        <v>45481</v>
      </c>
      <c r="B50" s="3">
        <v>239</v>
      </c>
      <c r="C50" s="3">
        <v>46</v>
      </c>
      <c r="D50" s="3" t="s">
        <v>33</v>
      </c>
      <c r="E50" s="3"/>
      <c r="F50" s="3" t="s">
        <v>44</v>
      </c>
      <c r="G50" s="3" t="s">
        <v>40</v>
      </c>
      <c r="H50" s="3">
        <v>2</v>
      </c>
      <c r="I50" s="4">
        <v>45372</v>
      </c>
      <c r="J50" s="4">
        <v>45370</v>
      </c>
      <c r="K50" s="3">
        <v>4</v>
      </c>
      <c r="L50" s="3" t="s">
        <v>36</v>
      </c>
      <c r="M50" s="3">
        <v>51</v>
      </c>
      <c r="N50" s="3">
        <v>7</v>
      </c>
      <c r="O50" s="3">
        <v>7</v>
      </c>
      <c r="R50" s="3">
        <v>0</v>
      </c>
      <c r="S50" s="3"/>
      <c r="T50" s="3">
        <v>7.0489999999999997E-2</v>
      </c>
      <c r="U50" s="3">
        <v>2.7310000000000001E-2</v>
      </c>
      <c r="V50" s="3">
        <v>0</v>
      </c>
      <c r="W50" s="3">
        <v>0</v>
      </c>
      <c r="X50" s="3"/>
      <c r="AB50" s="3" t="str">
        <f t="shared" si="1"/>
        <v>239_46_T4-C-1_vm</v>
      </c>
      <c r="AC50" s="3" t="str">
        <f t="shared" si="0"/>
        <v>239_46_T4-C-1_vm_2</v>
      </c>
      <c r="AE50" s="3" t="s">
        <v>37</v>
      </c>
      <c r="AF50" s="3" t="s">
        <v>37</v>
      </c>
    </row>
    <row r="51" spans="1:32" ht="12.5">
      <c r="E51" s="3"/>
      <c r="F51" s="3"/>
      <c r="G51" s="3"/>
      <c r="L51" s="3" t="s">
        <v>38</v>
      </c>
      <c r="M51" s="3">
        <v>65</v>
      </c>
      <c r="N51" s="3">
        <v>0</v>
      </c>
      <c r="O51" s="3">
        <v>8</v>
      </c>
      <c r="P51" s="3">
        <v>3</v>
      </c>
      <c r="Q51" s="3">
        <v>3</v>
      </c>
      <c r="R51" s="3">
        <v>0</v>
      </c>
      <c r="S51" s="3"/>
      <c r="T51" s="3">
        <v>0</v>
      </c>
      <c r="U51" s="3">
        <v>8.1850000000000006E-2</v>
      </c>
      <c r="V51" s="3">
        <v>0.20185</v>
      </c>
      <c r="W51" s="3">
        <v>0</v>
      </c>
      <c r="X51" s="3"/>
      <c r="AB51" s="3" t="str">
        <f t="shared" si="1"/>
        <v>___</v>
      </c>
      <c r="AC51" s="3" t="str">
        <f t="shared" si="0"/>
        <v>____</v>
      </c>
    </row>
    <row r="52" spans="1:32" ht="12.5">
      <c r="E52" s="3"/>
      <c r="F52" s="3"/>
      <c r="G52" s="3"/>
      <c r="L52" s="3" t="s">
        <v>39</v>
      </c>
      <c r="M52" s="3">
        <v>49</v>
      </c>
      <c r="N52" s="3">
        <v>0</v>
      </c>
      <c r="O52" s="3">
        <v>5</v>
      </c>
      <c r="R52" s="3">
        <v>0</v>
      </c>
      <c r="S52" s="3"/>
      <c r="T52" s="3">
        <v>0</v>
      </c>
      <c r="U52" s="3">
        <v>0.14079</v>
      </c>
      <c r="V52" s="3">
        <v>0</v>
      </c>
      <c r="W52" s="3">
        <v>0</v>
      </c>
      <c r="X52" s="3"/>
      <c r="AB52" s="3" t="str">
        <f t="shared" si="1"/>
        <v>___</v>
      </c>
      <c r="AC52" s="3" t="str">
        <f t="shared" si="0"/>
        <v>____</v>
      </c>
    </row>
    <row r="53" spans="1:32" ht="12.5">
      <c r="A53" s="2">
        <v>45481</v>
      </c>
      <c r="B53" s="3">
        <v>239</v>
      </c>
      <c r="C53" s="3">
        <v>46</v>
      </c>
      <c r="D53" s="3" t="s">
        <v>33</v>
      </c>
      <c r="E53" s="3"/>
      <c r="F53" s="3" t="s">
        <v>44</v>
      </c>
      <c r="G53" s="3" t="s">
        <v>40</v>
      </c>
      <c r="H53" s="3">
        <v>3</v>
      </c>
      <c r="I53" s="4">
        <v>45315</v>
      </c>
      <c r="J53" s="4">
        <v>45345</v>
      </c>
      <c r="K53" s="3">
        <v>4</v>
      </c>
      <c r="L53" s="3" t="s">
        <v>36</v>
      </c>
      <c r="M53" s="3">
        <v>51</v>
      </c>
      <c r="N53" s="3">
        <v>7</v>
      </c>
      <c r="O53" s="3">
        <v>7</v>
      </c>
      <c r="R53" s="3">
        <v>0</v>
      </c>
      <c r="S53" s="3"/>
      <c r="T53" s="3">
        <v>4.4409999999999998E-2</v>
      </c>
      <c r="U53" s="3">
        <v>1.8919999999999999E-2</v>
      </c>
      <c r="V53" s="3">
        <v>0</v>
      </c>
      <c r="W53" s="3">
        <v>0</v>
      </c>
      <c r="X53" s="3"/>
      <c r="AB53" s="3" t="str">
        <f t="shared" si="1"/>
        <v>239_46_T4-C-1_vm</v>
      </c>
      <c r="AC53" s="3" t="str">
        <f t="shared" si="0"/>
        <v>239_46_T4-C-1_vm_3</v>
      </c>
      <c r="AE53" s="3" t="s">
        <v>37</v>
      </c>
      <c r="AF53" s="3" t="s">
        <v>37</v>
      </c>
    </row>
    <row r="54" spans="1:32" ht="12.5">
      <c r="E54" s="3"/>
      <c r="F54" s="3"/>
      <c r="G54" s="3"/>
      <c r="L54" s="3" t="s">
        <v>38</v>
      </c>
      <c r="M54" s="3">
        <v>85</v>
      </c>
      <c r="N54" s="3">
        <v>0</v>
      </c>
      <c r="O54" s="3">
        <v>4</v>
      </c>
      <c r="P54" s="3">
        <v>4</v>
      </c>
      <c r="Q54" s="3">
        <v>4</v>
      </c>
      <c r="R54" s="3">
        <v>0</v>
      </c>
      <c r="S54" s="3"/>
      <c r="T54" s="3">
        <v>0</v>
      </c>
      <c r="U54" s="3">
        <v>8.0619999999999997E-2</v>
      </c>
      <c r="V54" s="3">
        <v>0.12554000000000001</v>
      </c>
      <c r="W54" s="3">
        <v>0</v>
      </c>
      <c r="X54" s="3"/>
      <c r="AB54" s="3" t="str">
        <f t="shared" si="1"/>
        <v>___</v>
      </c>
      <c r="AC54" s="3" t="str">
        <f t="shared" si="0"/>
        <v>____</v>
      </c>
    </row>
    <row r="55" spans="1:32" ht="12.5">
      <c r="E55" s="3"/>
      <c r="F55" s="3"/>
      <c r="G55" s="3"/>
      <c r="L55" s="3" t="s">
        <v>39</v>
      </c>
      <c r="M55" s="3">
        <v>67</v>
      </c>
      <c r="N55" s="3">
        <v>0</v>
      </c>
      <c r="O55" s="3">
        <v>5</v>
      </c>
      <c r="R55" s="3">
        <v>0</v>
      </c>
      <c r="S55" s="3"/>
      <c r="T55" s="3">
        <v>0</v>
      </c>
      <c r="U55" s="3">
        <v>0.11536</v>
      </c>
      <c r="V55" s="3">
        <v>0</v>
      </c>
      <c r="W55" s="3">
        <v>0</v>
      </c>
      <c r="X55" s="3"/>
      <c r="AB55" s="3" t="str">
        <f t="shared" si="1"/>
        <v>___</v>
      </c>
      <c r="AC55" s="3" t="str">
        <f t="shared" si="0"/>
        <v>____</v>
      </c>
    </row>
    <row r="56" spans="1:32" ht="12.5">
      <c r="A56" s="2">
        <v>45481</v>
      </c>
      <c r="B56" s="6">
        <v>284</v>
      </c>
      <c r="C56" s="6">
        <v>13</v>
      </c>
      <c r="D56" s="3" t="s">
        <v>33</v>
      </c>
      <c r="E56" s="3"/>
      <c r="F56" s="3" t="s">
        <v>45</v>
      </c>
      <c r="G56" s="3" t="s">
        <v>35</v>
      </c>
      <c r="H56" s="3">
        <v>1</v>
      </c>
      <c r="I56" s="4">
        <v>45518</v>
      </c>
      <c r="J56" s="4">
        <v>45548</v>
      </c>
      <c r="K56" s="3">
        <v>3</v>
      </c>
      <c r="L56" s="3" t="s">
        <v>36</v>
      </c>
      <c r="M56" s="3">
        <v>31</v>
      </c>
      <c r="N56" s="3">
        <v>12</v>
      </c>
      <c r="O56" s="3">
        <v>13</v>
      </c>
      <c r="R56" s="3">
        <v>0</v>
      </c>
      <c r="S56" s="3"/>
      <c r="T56" s="3">
        <v>7.1919999999999998E-2</v>
      </c>
      <c r="U56" s="3">
        <v>8.3199999999999993E-3</v>
      </c>
      <c r="V56" s="3">
        <v>0</v>
      </c>
      <c r="W56" s="3">
        <v>0</v>
      </c>
      <c r="X56" s="3"/>
      <c r="AB56" s="3" t="str">
        <f t="shared" si="1"/>
        <v>284_13_T31-C-1_vv</v>
      </c>
      <c r="AC56" s="3" t="str">
        <f t="shared" si="0"/>
        <v>284_13_T31-C-1_vv_1</v>
      </c>
      <c r="AE56" s="3" t="s">
        <v>37</v>
      </c>
      <c r="AF56" s="3" t="s">
        <v>37</v>
      </c>
    </row>
    <row r="57" spans="1:32" ht="12.5">
      <c r="E57" s="3"/>
      <c r="F57" s="3"/>
      <c r="G57" s="3"/>
      <c r="L57" s="3" t="s">
        <v>38</v>
      </c>
      <c r="M57" s="3">
        <v>41</v>
      </c>
      <c r="N57" s="3">
        <v>10</v>
      </c>
      <c r="O57" s="3">
        <v>14</v>
      </c>
      <c r="R57" s="3">
        <v>0</v>
      </c>
      <c r="S57" s="3"/>
      <c r="T57" s="3">
        <v>0.10556</v>
      </c>
      <c r="U57" s="3">
        <v>2.317E-2</v>
      </c>
      <c r="V57" s="3">
        <v>0</v>
      </c>
      <c r="W57" s="3">
        <v>0</v>
      </c>
      <c r="X57" s="3"/>
      <c r="AB57" s="3" t="str">
        <f t="shared" si="1"/>
        <v>___</v>
      </c>
      <c r="AC57" s="3" t="str">
        <f t="shared" si="0"/>
        <v>____</v>
      </c>
    </row>
    <row r="58" spans="1:32" ht="12.5">
      <c r="E58" s="3"/>
      <c r="F58" s="3"/>
      <c r="G58" s="3"/>
      <c r="L58" s="3" t="s">
        <v>39</v>
      </c>
      <c r="M58" s="3">
        <v>30</v>
      </c>
      <c r="N58" s="3">
        <v>0</v>
      </c>
      <c r="O58" s="3">
        <v>5</v>
      </c>
      <c r="R58" s="3">
        <v>0</v>
      </c>
      <c r="S58" s="3"/>
      <c r="T58" s="3">
        <v>0</v>
      </c>
      <c r="U58" s="3">
        <v>2.0330000000000001E-2</v>
      </c>
      <c r="V58" s="3">
        <v>0</v>
      </c>
      <c r="W58" s="3">
        <v>0</v>
      </c>
      <c r="X58" s="3"/>
      <c r="AB58" s="3" t="str">
        <f t="shared" si="1"/>
        <v>___</v>
      </c>
      <c r="AC58" s="3" t="str">
        <f t="shared" si="0"/>
        <v>____</v>
      </c>
    </row>
    <row r="59" spans="1:32" ht="12.5">
      <c r="A59" s="2">
        <v>45481</v>
      </c>
      <c r="B59" s="3">
        <v>284</v>
      </c>
      <c r="C59" s="3">
        <v>13</v>
      </c>
      <c r="D59" s="3" t="s">
        <v>33</v>
      </c>
      <c r="E59" s="3"/>
      <c r="F59" s="3" t="s">
        <v>45</v>
      </c>
      <c r="G59" s="3" t="s">
        <v>35</v>
      </c>
      <c r="H59" s="3">
        <v>2</v>
      </c>
      <c r="I59" s="4">
        <v>45462</v>
      </c>
      <c r="J59" s="4">
        <v>45307</v>
      </c>
      <c r="K59" s="3">
        <v>3</v>
      </c>
      <c r="L59" s="3" t="s">
        <v>36</v>
      </c>
      <c r="M59" s="3">
        <v>60</v>
      </c>
      <c r="N59" s="3">
        <v>13</v>
      </c>
      <c r="O59" s="3">
        <v>14</v>
      </c>
      <c r="R59" s="3">
        <v>0</v>
      </c>
      <c r="S59" s="3"/>
      <c r="T59" s="3">
        <v>0.16644999999999999</v>
      </c>
      <c r="U59" s="3">
        <v>2.4060000000000002E-2</v>
      </c>
      <c r="V59" s="3">
        <v>0</v>
      </c>
      <c r="W59" s="3">
        <v>0</v>
      </c>
      <c r="X59" s="3"/>
      <c r="AB59" s="3" t="str">
        <f t="shared" si="1"/>
        <v>284_13_T31-C-1_vv</v>
      </c>
      <c r="AC59" s="3" t="str">
        <f t="shared" si="0"/>
        <v>284_13_T31-C-1_vv_2</v>
      </c>
      <c r="AE59" s="3" t="s">
        <v>37</v>
      </c>
      <c r="AF59" s="3" t="s">
        <v>37</v>
      </c>
    </row>
    <row r="60" spans="1:32" ht="12.5">
      <c r="E60" s="3"/>
      <c r="F60" s="3"/>
      <c r="G60" s="3"/>
      <c r="L60" s="3" t="s">
        <v>38</v>
      </c>
      <c r="M60" s="3">
        <v>50</v>
      </c>
      <c r="N60" s="3">
        <v>8</v>
      </c>
      <c r="O60" s="3">
        <v>13</v>
      </c>
      <c r="R60" s="3">
        <v>0</v>
      </c>
      <c r="S60" s="3"/>
      <c r="T60" s="3">
        <v>0.11198</v>
      </c>
      <c r="U60" s="3">
        <v>4.2419999999999999E-2</v>
      </c>
      <c r="V60" s="3">
        <v>0</v>
      </c>
      <c r="W60" s="3">
        <v>0</v>
      </c>
      <c r="X60" s="3"/>
      <c r="AB60" s="3" t="str">
        <f t="shared" si="1"/>
        <v>___</v>
      </c>
      <c r="AC60" s="3" t="str">
        <f t="shared" si="0"/>
        <v>____</v>
      </c>
    </row>
    <row r="61" spans="1:32" ht="12.5">
      <c r="E61" s="3"/>
      <c r="F61" s="3"/>
      <c r="G61" s="3"/>
      <c r="L61" s="3" t="s">
        <v>39</v>
      </c>
      <c r="M61" s="3">
        <v>53</v>
      </c>
      <c r="N61" s="3">
        <v>0</v>
      </c>
      <c r="O61" s="3">
        <v>10</v>
      </c>
      <c r="R61" s="3">
        <v>0</v>
      </c>
      <c r="S61" s="3"/>
      <c r="T61" s="3">
        <v>0</v>
      </c>
      <c r="U61" s="3">
        <v>5.8500000000000003E-2</v>
      </c>
      <c r="V61" s="3">
        <v>0</v>
      </c>
      <c r="W61" s="3">
        <v>0</v>
      </c>
      <c r="X61" s="3"/>
      <c r="AB61" s="3" t="str">
        <f t="shared" si="1"/>
        <v>___</v>
      </c>
      <c r="AC61" s="3" t="str">
        <f t="shared" si="0"/>
        <v>____</v>
      </c>
    </row>
    <row r="62" spans="1:32" ht="12.5">
      <c r="A62" s="2">
        <v>45481</v>
      </c>
      <c r="B62" s="3">
        <v>284</v>
      </c>
      <c r="C62" s="3">
        <v>13</v>
      </c>
      <c r="D62" s="3" t="s">
        <v>33</v>
      </c>
      <c r="E62" s="3"/>
      <c r="F62" s="3" t="s">
        <v>45</v>
      </c>
      <c r="G62" s="3" t="s">
        <v>35</v>
      </c>
      <c r="H62" s="3">
        <v>3</v>
      </c>
      <c r="I62" s="4">
        <v>45463</v>
      </c>
      <c r="J62" s="4">
        <v>45307</v>
      </c>
      <c r="K62" s="3">
        <v>5</v>
      </c>
      <c r="L62" s="3" t="s">
        <v>36</v>
      </c>
      <c r="M62" s="3">
        <v>39</v>
      </c>
      <c r="N62" s="3">
        <v>11</v>
      </c>
      <c r="O62" s="3">
        <v>12</v>
      </c>
      <c r="R62" s="3">
        <v>0</v>
      </c>
      <c r="S62" s="3"/>
      <c r="T62" s="3">
        <v>8.4500000000000006E-2</v>
      </c>
      <c r="U62" s="3">
        <v>1.183E-2</v>
      </c>
      <c r="V62" s="3">
        <v>0</v>
      </c>
      <c r="W62" s="3">
        <v>0</v>
      </c>
      <c r="X62" s="3"/>
      <c r="AB62" s="3" t="str">
        <f t="shared" si="1"/>
        <v>284_13_T31-C-1_vv</v>
      </c>
      <c r="AC62" s="3" t="str">
        <f t="shared" si="0"/>
        <v>284_13_T31-C-1_vv_3</v>
      </c>
      <c r="AE62" s="3" t="s">
        <v>37</v>
      </c>
      <c r="AF62" s="3" t="s">
        <v>37</v>
      </c>
    </row>
    <row r="63" spans="1:32" ht="12.5">
      <c r="E63" s="3"/>
      <c r="F63" s="3"/>
      <c r="G63" s="3"/>
      <c r="L63" s="3" t="s">
        <v>38</v>
      </c>
      <c r="M63" s="3">
        <v>38</v>
      </c>
      <c r="N63" s="3">
        <v>9</v>
      </c>
      <c r="O63" s="3">
        <v>11</v>
      </c>
      <c r="R63" s="3">
        <v>0</v>
      </c>
      <c r="S63" s="3"/>
      <c r="T63" s="3">
        <v>9.4350000000000003E-2</v>
      </c>
      <c r="U63" s="3">
        <v>1.8769999999999998E-2</v>
      </c>
      <c r="V63" s="3">
        <v>0</v>
      </c>
      <c r="W63" s="3">
        <v>0</v>
      </c>
      <c r="X63" s="3"/>
      <c r="AB63" s="3" t="str">
        <f t="shared" si="1"/>
        <v>___</v>
      </c>
      <c r="AC63" s="3" t="str">
        <f t="shared" si="0"/>
        <v>____</v>
      </c>
    </row>
    <row r="64" spans="1:32" ht="12.5">
      <c r="E64" s="3"/>
      <c r="F64" s="3"/>
      <c r="G64" s="3"/>
      <c r="L64" s="3" t="s">
        <v>39</v>
      </c>
      <c r="M64" s="3">
        <v>21</v>
      </c>
      <c r="N64" s="3">
        <v>8</v>
      </c>
      <c r="O64" s="3">
        <v>8</v>
      </c>
      <c r="R64" s="3">
        <v>0</v>
      </c>
      <c r="S64" s="3"/>
      <c r="T64" s="3">
        <v>5.2440000000000001E-2</v>
      </c>
      <c r="U64" s="3">
        <v>1.132E-2</v>
      </c>
      <c r="V64" s="3">
        <v>0</v>
      </c>
      <c r="W64" s="3">
        <v>0</v>
      </c>
      <c r="X64" s="3"/>
      <c r="AB64" s="3" t="str">
        <f t="shared" si="1"/>
        <v>___</v>
      </c>
      <c r="AC64" s="3" t="str">
        <f t="shared" si="0"/>
        <v>____</v>
      </c>
    </row>
    <row r="65" spans="1:32" ht="12.5">
      <c r="A65" s="2">
        <v>45481</v>
      </c>
      <c r="B65" s="3">
        <v>284</v>
      </c>
      <c r="C65" s="3">
        <v>13</v>
      </c>
      <c r="D65" s="3" t="s">
        <v>33</v>
      </c>
      <c r="E65" s="3"/>
      <c r="F65" s="3" t="s">
        <v>45</v>
      </c>
      <c r="G65" s="3" t="s">
        <v>40</v>
      </c>
      <c r="H65" s="3">
        <v>1</v>
      </c>
      <c r="I65" s="3">
        <v>16</v>
      </c>
      <c r="J65" s="4">
        <v>45550</v>
      </c>
      <c r="K65" s="3">
        <v>4</v>
      </c>
      <c r="L65" s="3" t="s">
        <v>36</v>
      </c>
      <c r="M65" s="3">
        <v>66</v>
      </c>
      <c r="N65" s="3">
        <v>9</v>
      </c>
      <c r="O65" s="3">
        <v>9</v>
      </c>
      <c r="R65" s="3">
        <v>0</v>
      </c>
      <c r="S65" s="3"/>
      <c r="T65" s="3">
        <v>4.9869999999999998E-2</v>
      </c>
      <c r="U65" s="3">
        <v>4.616E-2</v>
      </c>
      <c r="V65" s="3">
        <v>0</v>
      </c>
      <c r="W65" s="3">
        <v>0</v>
      </c>
      <c r="X65" s="3"/>
      <c r="AB65" s="3" t="str">
        <f t="shared" si="1"/>
        <v>284_13_T31-C-1_vm</v>
      </c>
      <c r="AC65" s="3" t="str">
        <f t="shared" si="0"/>
        <v>284_13_T31-C-1_vm_1</v>
      </c>
      <c r="AE65" s="3" t="s">
        <v>37</v>
      </c>
      <c r="AF65" s="3" t="s">
        <v>37</v>
      </c>
    </row>
    <row r="66" spans="1:32" ht="12.5">
      <c r="E66" s="3"/>
      <c r="F66" s="3"/>
      <c r="G66" s="3"/>
      <c r="L66" s="3" t="s">
        <v>38</v>
      </c>
      <c r="M66" s="3">
        <v>58</v>
      </c>
      <c r="N66" s="3">
        <v>0</v>
      </c>
      <c r="O66" s="3">
        <v>2</v>
      </c>
      <c r="P66" s="3">
        <v>4</v>
      </c>
      <c r="Q66" s="3">
        <v>4</v>
      </c>
      <c r="R66" s="3">
        <v>0</v>
      </c>
      <c r="S66" s="3"/>
      <c r="T66" s="3">
        <v>0</v>
      </c>
      <c r="U66" s="3">
        <v>0.12459000000000001</v>
      </c>
      <c r="V66" s="3">
        <v>0.58694999999999997</v>
      </c>
      <c r="W66" s="3">
        <v>0</v>
      </c>
      <c r="X66" s="3"/>
      <c r="AB66" s="3" t="str">
        <f t="shared" si="1"/>
        <v>___</v>
      </c>
      <c r="AC66" s="3" t="str">
        <f t="shared" si="0"/>
        <v>____</v>
      </c>
    </row>
    <row r="67" spans="1:32" ht="12.5">
      <c r="E67" s="3"/>
      <c r="F67" s="3"/>
      <c r="G67" s="3"/>
      <c r="L67" s="3" t="s">
        <v>39</v>
      </c>
      <c r="M67" s="3">
        <v>63</v>
      </c>
      <c r="N67" s="3">
        <v>0</v>
      </c>
      <c r="O67" s="3">
        <v>3</v>
      </c>
      <c r="P67" s="3">
        <v>3</v>
      </c>
      <c r="Q67" s="3">
        <v>3</v>
      </c>
      <c r="R67" s="3">
        <v>0</v>
      </c>
      <c r="S67" s="3"/>
      <c r="T67" s="3">
        <v>0</v>
      </c>
      <c r="U67" s="3">
        <v>0.10759000000000001</v>
      </c>
      <c r="V67" s="3">
        <v>0.21304000000000001</v>
      </c>
      <c r="W67" s="3">
        <v>0</v>
      </c>
      <c r="X67" s="3"/>
      <c r="AB67" s="3" t="str">
        <f t="shared" si="1"/>
        <v>___</v>
      </c>
      <c r="AC67" s="3" t="str">
        <f t="shared" si="0"/>
        <v>____</v>
      </c>
    </row>
    <row r="68" spans="1:32" ht="12.5">
      <c r="A68" s="2">
        <v>45481</v>
      </c>
      <c r="B68" s="3">
        <v>284</v>
      </c>
      <c r="C68" s="3">
        <v>13</v>
      </c>
      <c r="D68" s="3" t="s">
        <v>33</v>
      </c>
      <c r="E68" s="3"/>
      <c r="F68" s="3" t="s">
        <v>45</v>
      </c>
      <c r="G68" s="3" t="s">
        <v>40</v>
      </c>
      <c r="H68" s="3">
        <v>2</v>
      </c>
      <c r="I68" s="3">
        <v>19</v>
      </c>
      <c r="J68" s="4">
        <v>45523</v>
      </c>
      <c r="K68" s="3">
        <v>5</v>
      </c>
      <c r="L68" s="3" t="s">
        <v>36</v>
      </c>
      <c r="M68" s="3">
        <v>28</v>
      </c>
      <c r="N68" s="3">
        <v>5</v>
      </c>
      <c r="O68" s="3">
        <v>5</v>
      </c>
      <c r="R68" s="3">
        <v>1</v>
      </c>
      <c r="S68" s="3"/>
      <c r="T68" s="3">
        <v>3.3790000000000001E-2</v>
      </c>
      <c r="U68" s="3">
        <v>1.112E-2</v>
      </c>
      <c r="V68" s="3">
        <v>0</v>
      </c>
      <c r="W68" s="3">
        <v>1.5389999999999999E-2</v>
      </c>
      <c r="X68" s="3"/>
      <c r="AB68" s="3" t="str">
        <f t="shared" si="1"/>
        <v>284_13_T31-C-1_vm</v>
      </c>
      <c r="AC68" s="3" t="str">
        <f t="shared" si="0"/>
        <v>284_13_T31-C-1_vm_2</v>
      </c>
      <c r="AE68" s="3" t="s">
        <v>37</v>
      </c>
      <c r="AF68" s="3" t="s">
        <v>37</v>
      </c>
    </row>
    <row r="69" spans="1:32" ht="12.5">
      <c r="E69" s="3"/>
      <c r="F69" s="3"/>
      <c r="G69" s="3"/>
      <c r="L69" s="3" t="s">
        <v>38</v>
      </c>
      <c r="M69" s="3">
        <v>63</v>
      </c>
      <c r="N69" s="3">
        <v>0</v>
      </c>
      <c r="O69" s="3">
        <v>7</v>
      </c>
      <c r="P69" s="3">
        <v>4</v>
      </c>
      <c r="Q69" s="3">
        <v>4</v>
      </c>
      <c r="R69" s="3">
        <v>0</v>
      </c>
      <c r="S69" s="3"/>
      <c r="T69" s="3">
        <v>0</v>
      </c>
      <c r="U69" s="3">
        <v>6.1800000000000001E-2</v>
      </c>
      <c r="V69" s="3">
        <v>0.18029999999999999</v>
      </c>
      <c r="W69" s="3">
        <v>0</v>
      </c>
      <c r="X69" s="3"/>
      <c r="AB69" s="3" t="str">
        <f t="shared" si="1"/>
        <v>___</v>
      </c>
      <c r="AC69" s="3" t="str">
        <f t="shared" si="0"/>
        <v>____</v>
      </c>
    </row>
    <row r="70" spans="1:32" ht="12.5">
      <c r="E70" s="3"/>
      <c r="F70" s="3"/>
      <c r="G70" s="3"/>
      <c r="L70" s="3" t="s">
        <v>39</v>
      </c>
      <c r="M70" s="3">
        <v>70</v>
      </c>
      <c r="N70" s="3">
        <v>0</v>
      </c>
      <c r="O70" s="3">
        <v>4</v>
      </c>
      <c r="P70" s="3">
        <v>3</v>
      </c>
      <c r="Q70" s="3">
        <v>3</v>
      </c>
      <c r="R70" s="3">
        <v>0</v>
      </c>
      <c r="S70" s="3"/>
      <c r="T70" s="3">
        <v>0</v>
      </c>
      <c r="U70" s="3">
        <v>0.16697000000000001</v>
      </c>
      <c r="V70" s="3">
        <v>0.37533</v>
      </c>
      <c r="W70" s="3">
        <v>0</v>
      </c>
      <c r="X70" s="3"/>
      <c r="AB70" s="3" t="str">
        <f t="shared" si="1"/>
        <v>___</v>
      </c>
      <c r="AC70" s="3" t="str">
        <f t="shared" si="0"/>
        <v>____</v>
      </c>
    </row>
    <row r="71" spans="1:32" ht="12.5">
      <c r="A71" s="2">
        <v>45481</v>
      </c>
      <c r="B71" s="3">
        <v>284</v>
      </c>
      <c r="C71" s="3">
        <v>13</v>
      </c>
      <c r="D71" s="3" t="s">
        <v>33</v>
      </c>
      <c r="E71" s="3"/>
      <c r="F71" s="3" t="s">
        <v>45</v>
      </c>
      <c r="G71" s="3" t="s">
        <v>40</v>
      </c>
      <c r="H71" s="3">
        <v>3</v>
      </c>
      <c r="I71" s="3">
        <v>24</v>
      </c>
      <c r="J71" s="3">
        <v>26</v>
      </c>
      <c r="K71" s="3">
        <v>4</v>
      </c>
      <c r="L71" s="3" t="s">
        <v>36</v>
      </c>
      <c r="M71" s="3">
        <v>93</v>
      </c>
      <c r="N71" s="3">
        <v>20</v>
      </c>
      <c r="O71" s="3">
        <v>10</v>
      </c>
      <c r="R71" s="3">
        <v>0</v>
      </c>
      <c r="S71" s="3"/>
      <c r="T71" s="3">
        <v>8.813E-2</v>
      </c>
      <c r="U71" s="3">
        <v>8.7150000000000005E-2</v>
      </c>
      <c r="V71" s="3">
        <v>0</v>
      </c>
      <c r="W71" s="3">
        <v>0</v>
      </c>
      <c r="X71" s="3"/>
      <c r="AB71" s="3" t="str">
        <f t="shared" si="1"/>
        <v>284_13_T31-C-1_vm</v>
      </c>
      <c r="AC71" s="3" t="str">
        <f t="shared" si="0"/>
        <v>284_13_T31-C-1_vm_3</v>
      </c>
      <c r="AE71" s="3" t="s">
        <v>37</v>
      </c>
      <c r="AF71" s="3" t="s">
        <v>37</v>
      </c>
    </row>
    <row r="72" spans="1:32" ht="12.5">
      <c r="E72" s="3"/>
      <c r="F72" s="3"/>
      <c r="G72" s="3"/>
      <c r="L72" s="3" t="s">
        <v>38</v>
      </c>
      <c r="M72" s="3">
        <v>35</v>
      </c>
      <c r="N72" s="3">
        <v>0</v>
      </c>
      <c r="O72" s="3">
        <v>4</v>
      </c>
      <c r="P72" s="3">
        <v>1</v>
      </c>
      <c r="Q72" s="3">
        <v>1</v>
      </c>
      <c r="R72" s="3">
        <v>0</v>
      </c>
      <c r="S72" s="3"/>
      <c r="T72" s="3">
        <v>0</v>
      </c>
      <c r="U72" s="3">
        <v>5.2310000000000002E-2</v>
      </c>
      <c r="V72" s="3">
        <v>0.13766</v>
      </c>
      <c r="W72" s="3">
        <v>0</v>
      </c>
      <c r="X72" s="3"/>
      <c r="AB72" s="3" t="str">
        <f t="shared" si="1"/>
        <v>___</v>
      </c>
      <c r="AC72" s="3" t="str">
        <f t="shared" si="0"/>
        <v>____</v>
      </c>
    </row>
    <row r="73" spans="1:32" ht="12.5">
      <c r="E73" s="3"/>
      <c r="F73" s="3"/>
      <c r="G73" s="3"/>
      <c r="L73" s="3" t="s">
        <v>39</v>
      </c>
      <c r="M73" s="3">
        <v>51</v>
      </c>
      <c r="N73" s="3">
        <v>0</v>
      </c>
      <c r="O73" s="3">
        <v>5</v>
      </c>
      <c r="P73" s="3">
        <v>1</v>
      </c>
      <c r="Q73" s="3">
        <v>1</v>
      </c>
      <c r="R73" s="3">
        <v>0</v>
      </c>
      <c r="S73" s="3"/>
      <c r="T73" s="3">
        <v>0</v>
      </c>
      <c r="U73" s="3">
        <v>0.17316000000000001</v>
      </c>
      <c r="V73" s="3">
        <v>0.41359000000000001</v>
      </c>
      <c r="W73" s="3">
        <v>0</v>
      </c>
      <c r="X73" s="3"/>
      <c r="AB73" s="3" t="str">
        <f t="shared" si="1"/>
        <v>___</v>
      </c>
      <c r="AC73" s="3" t="str">
        <f t="shared" si="0"/>
        <v>____</v>
      </c>
    </row>
    <row r="74" spans="1:32" ht="12.5">
      <c r="A74" s="2">
        <v>45481</v>
      </c>
      <c r="B74" s="6">
        <v>284</v>
      </c>
      <c r="C74" s="6">
        <v>51</v>
      </c>
      <c r="D74" s="3" t="s">
        <v>33</v>
      </c>
      <c r="E74" s="3"/>
      <c r="F74" s="3" t="s">
        <v>46</v>
      </c>
      <c r="G74" s="3" t="s">
        <v>35</v>
      </c>
      <c r="H74" s="3">
        <v>1</v>
      </c>
      <c r="I74" s="4">
        <v>45542</v>
      </c>
      <c r="J74" s="4">
        <v>45390</v>
      </c>
      <c r="K74" s="3">
        <v>3</v>
      </c>
      <c r="L74" s="3" t="s">
        <v>36</v>
      </c>
      <c r="M74" s="3">
        <v>8</v>
      </c>
      <c r="N74" s="3">
        <v>10</v>
      </c>
      <c r="O74" s="3">
        <v>11</v>
      </c>
      <c r="R74" s="3">
        <v>0</v>
      </c>
      <c r="S74" s="3"/>
      <c r="T74" s="3">
        <v>6.8610000000000004E-2</v>
      </c>
      <c r="U74" s="3">
        <v>4.8700000000000002E-3</v>
      </c>
      <c r="V74" s="3">
        <v>0</v>
      </c>
      <c r="W74" s="3">
        <v>0</v>
      </c>
      <c r="X74" s="3"/>
      <c r="AB74" s="3" t="str">
        <f t="shared" si="1"/>
        <v>284_51_T31-C-5_vv</v>
      </c>
      <c r="AC74" s="3" t="str">
        <f t="shared" si="0"/>
        <v>284_51_T31-C-5_vv_1</v>
      </c>
      <c r="AE74" s="3" t="s">
        <v>37</v>
      </c>
      <c r="AF74" s="3" t="s">
        <v>37</v>
      </c>
    </row>
    <row r="75" spans="1:32" ht="12.5">
      <c r="E75" s="3"/>
      <c r="F75" s="3"/>
      <c r="G75" s="3"/>
      <c r="L75" s="3" t="s">
        <v>38</v>
      </c>
      <c r="M75" s="3">
        <v>24</v>
      </c>
      <c r="N75" s="3">
        <v>11</v>
      </c>
      <c r="O75" s="3">
        <v>13</v>
      </c>
      <c r="R75" s="3">
        <v>0</v>
      </c>
      <c r="S75" s="3"/>
      <c r="T75" s="3">
        <v>0.1464</v>
      </c>
      <c r="U75" s="3">
        <v>1.2460000000000001E-2</v>
      </c>
      <c r="V75" s="3">
        <v>0</v>
      </c>
      <c r="W75" s="3">
        <v>0</v>
      </c>
      <c r="X75" s="3"/>
      <c r="AB75" s="3" t="str">
        <f t="shared" si="1"/>
        <v>___</v>
      </c>
      <c r="AC75" s="3" t="str">
        <f t="shared" si="0"/>
        <v>____</v>
      </c>
    </row>
    <row r="76" spans="1:32" ht="12.5">
      <c r="E76" s="3"/>
      <c r="F76" s="3"/>
      <c r="G76" s="3"/>
      <c r="L76" s="3" t="s">
        <v>39</v>
      </c>
      <c r="M76" s="3">
        <v>23</v>
      </c>
      <c r="N76" s="3">
        <v>10</v>
      </c>
      <c r="O76" s="3">
        <v>10</v>
      </c>
      <c r="R76" s="3">
        <v>0</v>
      </c>
      <c r="S76" s="3"/>
      <c r="T76" s="3">
        <v>0.13083</v>
      </c>
      <c r="U76" s="3">
        <v>1.8610000000000002E-2</v>
      </c>
      <c r="V76" s="3">
        <v>0</v>
      </c>
      <c r="W76" s="3">
        <v>0</v>
      </c>
      <c r="X76" s="3"/>
      <c r="AB76" s="3" t="str">
        <f t="shared" si="1"/>
        <v>___</v>
      </c>
      <c r="AC76" s="3" t="str">
        <f t="shared" si="0"/>
        <v>____</v>
      </c>
    </row>
    <row r="77" spans="1:32" ht="12.5">
      <c r="A77" s="2">
        <v>45481</v>
      </c>
      <c r="B77" s="3">
        <v>284</v>
      </c>
      <c r="C77" s="3">
        <v>51</v>
      </c>
      <c r="D77" s="3" t="s">
        <v>33</v>
      </c>
      <c r="E77" s="3"/>
      <c r="F77" s="3" t="s">
        <v>46</v>
      </c>
      <c r="G77" s="3" t="s">
        <v>35</v>
      </c>
      <c r="H77" s="3">
        <v>2</v>
      </c>
      <c r="I77" s="4">
        <v>45482</v>
      </c>
      <c r="J77" s="4">
        <v>45299</v>
      </c>
      <c r="K77" s="3">
        <v>3</v>
      </c>
      <c r="L77" s="3" t="s">
        <v>36</v>
      </c>
      <c r="M77" s="3">
        <v>17</v>
      </c>
      <c r="N77" s="3">
        <v>12</v>
      </c>
      <c r="O77" s="3">
        <v>12</v>
      </c>
      <c r="R77" s="3">
        <v>0</v>
      </c>
      <c r="S77" s="3"/>
      <c r="T77" s="3">
        <v>7.4759999999999993E-2</v>
      </c>
      <c r="U77" s="3">
        <v>5.3499999999999997E-3</v>
      </c>
      <c r="V77" s="3">
        <v>0</v>
      </c>
      <c r="W77" s="3">
        <v>0</v>
      </c>
      <c r="X77" s="3"/>
      <c r="AB77" s="3" t="str">
        <f t="shared" si="1"/>
        <v>284_51_T31-C-5_vv</v>
      </c>
      <c r="AC77" s="3" t="str">
        <f t="shared" si="0"/>
        <v>284_51_T31-C-5_vv_2</v>
      </c>
      <c r="AE77" s="3" t="s">
        <v>37</v>
      </c>
      <c r="AF77" s="3" t="s">
        <v>37</v>
      </c>
    </row>
    <row r="78" spans="1:32" ht="12.5">
      <c r="E78" s="3"/>
      <c r="F78" s="3"/>
      <c r="G78" s="3"/>
      <c r="L78" s="3" t="s">
        <v>38</v>
      </c>
      <c r="M78" s="3">
        <v>41</v>
      </c>
      <c r="N78" s="3">
        <v>10</v>
      </c>
      <c r="O78" s="3">
        <v>13</v>
      </c>
      <c r="R78" s="3">
        <v>0</v>
      </c>
      <c r="S78" s="3"/>
      <c r="T78" s="3">
        <v>7.1360000000000007E-2</v>
      </c>
      <c r="U78" s="3">
        <v>2.683E-2</v>
      </c>
      <c r="V78" s="3">
        <v>0</v>
      </c>
      <c r="AB78" s="3" t="str">
        <f t="shared" si="1"/>
        <v>___</v>
      </c>
      <c r="AC78" s="3" t="str">
        <f t="shared" si="0"/>
        <v>____</v>
      </c>
    </row>
    <row r="79" spans="1:32" ht="12.5">
      <c r="E79" s="3"/>
      <c r="F79" s="3"/>
      <c r="G79" s="3"/>
      <c r="L79" s="3" t="s">
        <v>39</v>
      </c>
      <c r="M79" s="3">
        <v>21</v>
      </c>
      <c r="N79" s="3">
        <v>0</v>
      </c>
      <c r="O79" s="3">
        <v>5</v>
      </c>
      <c r="R79" s="3">
        <v>0</v>
      </c>
      <c r="S79" s="3"/>
      <c r="T79" s="3">
        <v>0</v>
      </c>
      <c r="U79" s="3">
        <v>1.231E-2</v>
      </c>
      <c r="V79" s="3">
        <v>0</v>
      </c>
      <c r="W79" s="3">
        <v>0</v>
      </c>
      <c r="X79" s="3"/>
      <c r="AB79" s="3" t="str">
        <f t="shared" si="1"/>
        <v>___</v>
      </c>
      <c r="AC79" s="3" t="str">
        <f t="shared" si="0"/>
        <v>____</v>
      </c>
    </row>
    <row r="80" spans="1:32" ht="12.5">
      <c r="A80" s="2">
        <v>45481</v>
      </c>
      <c r="B80" s="3">
        <v>284</v>
      </c>
      <c r="C80" s="3">
        <v>51</v>
      </c>
      <c r="D80" s="3" t="s">
        <v>33</v>
      </c>
      <c r="E80" s="3"/>
      <c r="F80" s="3" t="s">
        <v>46</v>
      </c>
      <c r="G80" s="3" t="s">
        <v>35</v>
      </c>
      <c r="H80" s="3">
        <v>3</v>
      </c>
      <c r="I80" s="3" t="s">
        <v>47</v>
      </c>
      <c r="J80" s="3" t="s">
        <v>47</v>
      </c>
      <c r="K80" s="3" t="s">
        <v>47</v>
      </c>
      <c r="L80" s="3" t="s">
        <v>36</v>
      </c>
      <c r="M80" s="3" t="s">
        <v>47</v>
      </c>
      <c r="N80" s="3" t="s">
        <v>47</v>
      </c>
      <c r="O80" s="3" t="s">
        <v>47</v>
      </c>
      <c r="P80" s="3" t="s">
        <v>47</v>
      </c>
      <c r="Q80" s="7" t="s">
        <v>47</v>
      </c>
      <c r="R80" s="3" t="s">
        <v>47</v>
      </c>
      <c r="S80" s="3"/>
      <c r="T80" s="7" t="s">
        <v>47</v>
      </c>
      <c r="U80" s="7" t="s">
        <v>47</v>
      </c>
      <c r="V80" s="7" t="s">
        <v>47</v>
      </c>
      <c r="W80" s="7" t="s">
        <v>47</v>
      </c>
      <c r="X80" s="7"/>
      <c r="Y80" s="3"/>
      <c r="Z80" s="3" t="s">
        <v>48</v>
      </c>
      <c r="AB80" s="3" t="str">
        <f t="shared" si="1"/>
        <v>284_51_T31-C-5_vv</v>
      </c>
      <c r="AC80" s="3" t="str">
        <f t="shared" si="0"/>
        <v>284_51_T31-C-5_vv_3</v>
      </c>
      <c r="AE80" s="3" t="s">
        <v>49</v>
      </c>
      <c r="AF80" s="3" t="s">
        <v>49</v>
      </c>
    </row>
    <row r="81" spans="1:32" ht="12.5">
      <c r="E81" s="3"/>
      <c r="F81" s="3"/>
      <c r="G81" s="3"/>
      <c r="L81" s="3" t="s">
        <v>38</v>
      </c>
      <c r="M81" s="3" t="s">
        <v>47</v>
      </c>
      <c r="N81" s="3" t="s">
        <v>47</v>
      </c>
      <c r="O81" s="3" t="s">
        <v>47</v>
      </c>
      <c r="P81" s="7" t="s">
        <v>47</v>
      </c>
      <c r="Q81" s="7" t="s">
        <v>47</v>
      </c>
      <c r="R81" s="7" t="s">
        <v>47</v>
      </c>
      <c r="S81" s="7"/>
      <c r="T81" s="7" t="s">
        <v>47</v>
      </c>
      <c r="U81" s="7" t="s">
        <v>47</v>
      </c>
      <c r="V81" s="3" t="s">
        <v>47</v>
      </c>
      <c r="W81" s="7" t="s">
        <v>47</v>
      </c>
      <c r="X81" s="7"/>
      <c r="AB81" s="3" t="str">
        <f t="shared" si="1"/>
        <v>___</v>
      </c>
      <c r="AC81" s="3" t="str">
        <f t="shared" si="0"/>
        <v>____</v>
      </c>
    </row>
    <row r="82" spans="1:32" ht="12.5">
      <c r="E82" s="3"/>
      <c r="F82" s="3"/>
      <c r="G82" s="3"/>
      <c r="L82" s="3" t="s">
        <v>39</v>
      </c>
      <c r="M82" s="3" t="s">
        <v>47</v>
      </c>
      <c r="N82" s="3" t="s">
        <v>47</v>
      </c>
      <c r="O82" s="3" t="s">
        <v>47</v>
      </c>
      <c r="P82" s="7" t="s">
        <v>47</v>
      </c>
      <c r="Q82" s="7" t="s">
        <v>47</v>
      </c>
      <c r="R82" s="7" t="s">
        <v>47</v>
      </c>
      <c r="S82" s="7"/>
      <c r="T82" s="7" t="s">
        <v>47</v>
      </c>
      <c r="U82" s="7" t="s">
        <v>47</v>
      </c>
      <c r="V82" s="7" t="s">
        <v>47</v>
      </c>
      <c r="W82" s="7" t="s">
        <v>47</v>
      </c>
      <c r="X82" s="7"/>
      <c r="AB82" s="3" t="str">
        <f t="shared" si="1"/>
        <v>___</v>
      </c>
      <c r="AC82" s="3" t="str">
        <f t="shared" si="0"/>
        <v>____</v>
      </c>
    </row>
    <row r="83" spans="1:32" ht="12.5">
      <c r="A83" s="2">
        <v>45481</v>
      </c>
      <c r="B83" s="3">
        <v>284</v>
      </c>
      <c r="C83" s="3">
        <v>51</v>
      </c>
      <c r="D83" s="3" t="s">
        <v>33</v>
      </c>
      <c r="E83" s="3"/>
      <c r="F83" s="3" t="s">
        <v>46</v>
      </c>
      <c r="G83" s="3" t="s">
        <v>40</v>
      </c>
      <c r="H83" s="3">
        <v>1</v>
      </c>
      <c r="I83" s="4">
        <v>45548</v>
      </c>
      <c r="J83" s="4">
        <v>45376</v>
      </c>
      <c r="K83" s="3">
        <v>4</v>
      </c>
      <c r="L83" s="3" t="s">
        <v>36</v>
      </c>
      <c r="M83" s="3">
        <v>136</v>
      </c>
      <c r="N83" s="3">
        <v>7</v>
      </c>
      <c r="O83" s="3">
        <v>7</v>
      </c>
      <c r="R83" s="3">
        <v>0</v>
      </c>
      <c r="S83" s="3"/>
      <c r="T83" s="3">
        <v>2.3859999999999999E-2</v>
      </c>
      <c r="U83" s="3">
        <v>1.5970000000000002E-2</v>
      </c>
      <c r="V83" s="3">
        <v>0</v>
      </c>
      <c r="W83" s="3">
        <v>0</v>
      </c>
      <c r="X83" s="3"/>
      <c r="AB83" s="3" t="str">
        <f t="shared" si="1"/>
        <v>284_51_T31-C-5_vm</v>
      </c>
      <c r="AC83" s="3" t="str">
        <f t="shared" si="0"/>
        <v>284_51_T31-C-5_vm_1</v>
      </c>
      <c r="AE83" s="3" t="s">
        <v>37</v>
      </c>
    </row>
    <row r="84" spans="1:32" ht="12.5">
      <c r="E84" s="3"/>
      <c r="F84" s="3"/>
      <c r="G84" s="3"/>
      <c r="L84" s="3" t="s">
        <v>38</v>
      </c>
      <c r="M84" s="3">
        <v>55</v>
      </c>
      <c r="N84" s="3">
        <v>0</v>
      </c>
      <c r="O84" s="3">
        <v>5</v>
      </c>
      <c r="P84" s="3">
        <v>3</v>
      </c>
      <c r="Q84" s="3">
        <v>3</v>
      </c>
      <c r="R84" s="3">
        <v>0</v>
      </c>
      <c r="S84" s="3"/>
      <c r="T84" s="3">
        <v>0</v>
      </c>
      <c r="U84" s="3">
        <v>6.071E-2</v>
      </c>
      <c r="V84" s="3">
        <v>0.10655000000000001</v>
      </c>
      <c r="W84" s="3">
        <v>0</v>
      </c>
      <c r="X84" s="3"/>
      <c r="AB84" s="3" t="str">
        <f t="shared" si="1"/>
        <v>___</v>
      </c>
      <c r="AC84" s="3" t="str">
        <f t="shared" si="0"/>
        <v>____</v>
      </c>
    </row>
    <row r="85" spans="1:32" ht="12.5">
      <c r="E85" s="3"/>
      <c r="F85" s="3"/>
      <c r="G85" s="3"/>
      <c r="L85" s="3" t="s">
        <v>39</v>
      </c>
      <c r="M85" s="3">
        <v>41</v>
      </c>
      <c r="N85" s="3">
        <v>0</v>
      </c>
      <c r="O85" s="3">
        <v>5</v>
      </c>
      <c r="R85" s="3">
        <v>0</v>
      </c>
      <c r="S85" s="3"/>
      <c r="T85" s="3">
        <v>0</v>
      </c>
      <c r="U85" s="3">
        <v>4.8050000000000002E-2</v>
      </c>
      <c r="V85" s="3">
        <v>0</v>
      </c>
      <c r="W85" s="3">
        <v>0</v>
      </c>
      <c r="X85" s="3"/>
      <c r="AB85" s="3" t="str">
        <f t="shared" si="1"/>
        <v>___</v>
      </c>
      <c r="AC85" s="3" t="str">
        <f t="shared" si="0"/>
        <v>____</v>
      </c>
    </row>
    <row r="86" spans="1:32" ht="12.5">
      <c r="A86" s="2">
        <v>45481</v>
      </c>
      <c r="B86" s="3">
        <v>284</v>
      </c>
      <c r="C86" s="3">
        <v>51</v>
      </c>
      <c r="D86" s="3" t="s">
        <v>33</v>
      </c>
      <c r="E86" s="3"/>
      <c r="F86" s="3" t="s">
        <v>46</v>
      </c>
      <c r="G86" s="3" t="s">
        <v>40</v>
      </c>
      <c r="H86" s="3">
        <v>2</v>
      </c>
      <c r="I86" s="4">
        <v>45400</v>
      </c>
      <c r="J86" s="3">
        <v>28</v>
      </c>
      <c r="K86" s="3">
        <v>4</v>
      </c>
      <c r="L86" s="3" t="s">
        <v>36</v>
      </c>
      <c r="M86" s="3">
        <v>165</v>
      </c>
      <c r="N86" s="3">
        <v>7</v>
      </c>
      <c r="O86" s="3">
        <v>7</v>
      </c>
      <c r="R86" s="3">
        <v>0</v>
      </c>
      <c r="S86" s="3"/>
      <c r="T86" s="3">
        <v>6.5079999999999999E-2</v>
      </c>
      <c r="U86" s="3">
        <v>3.3390000000000003E-2</v>
      </c>
      <c r="V86" s="3">
        <v>0</v>
      </c>
      <c r="W86" s="3">
        <v>0</v>
      </c>
      <c r="X86" s="3"/>
      <c r="Y86" s="3"/>
      <c r="Z86" s="3" t="s">
        <v>50</v>
      </c>
      <c r="AB86" s="3" t="str">
        <f t="shared" si="1"/>
        <v>284_51_T31-C-5_vm</v>
      </c>
      <c r="AC86" s="3" t="str">
        <f t="shared" si="0"/>
        <v>284_51_T31-C-5_vm_2</v>
      </c>
      <c r="AE86" s="3" t="s">
        <v>37</v>
      </c>
    </row>
    <row r="87" spans="1:32" ht="12.5">
      <c r="E87" s="3"/>
      <c r="F87" s="3"/>
      <c r="G87" s="3"/>
      <c r="L87" s="3" t="s">
        <v>38</v>
      </c>
      <c r="M87" s="3">
        <v>62</v>
      </c>
      <c r="N87" s="3">
        <v>0</v>
      </c>
      <c r="O87" s="3">
        <v>5</v>
      </c>
      <c r="P87" s="3">
        <v>2</v>
      </c>
      <c r="Q87" s="3">
        <v>2</v>
      </c>
      <c r="R87" s="3">
        <v>0</v>
      </c>
      <c r="S87" s="3"/>
      <c r="T87" s="3">
        <v>0</v>
      </c>
      <c r="U87" s="3">
        <v>8.0449999999999994E-2</v>
      </c>
      <c r="V87" s="3">
        <v>0.24115</v>
      </c>
      <c r="W87" s="3">
        <v>0</v>
      </c>
      <c r="X87" s="3"/>
      <c r="AB87" s="3" t="str">
        <f t="shared" si="1"/>
        <v>___</v>
      </c>
      <c r="AC87" s="3" t="str">
        <f t="shared" si="0"/>
        <v>____</v>
      </c>
    </row>
    <row r="88" spans="1:32" ht="12.5">
      <c r="E88" s="3"/>
      <c r="F88" s="3"/>
      <c r="G88" s="3"/>
      <c r="L88" s="3" t="s">
        <v>39</v>
      </c>
      <c r="M88" s="3">
        <v>46</v>
      </c>
      <c r="N88" s="3">
        <v>0</v>
      </c>
      <c r="O88" s="3">
        <v>4</v>
      </c>
      <c r="R88" s="3">
        <v>0</v>
      </c>
      <c r="S88" s="3"/>
      <c r="T88" s="3">
        <v>0</v>
      </c>
      <c r="U88" s="3">
        <v>8.7720000000000006E-2</v>
      </c>
      <c r="V88" s="3">
        <v>0</v>
      </c>
      <c r="W88" s="3">
        <v>0</v>
      </c>
      <c r="X88" s="3"/>
      <c r="AB88" s="3" t="str">
        <f t="shared" si="1"/>
        <v>___</v>
      </c>
      <c r="AC88" s="3" t="str">
        <f t="shared" si="0"/>
        <v>____</v>
      </c>
    </row>
    <row r="89" spans="1:32" ht="12.5">
      <c r="A89" s="2">
        <v>45481</v>
      </c>
      <c r="B89" s="3">
        <v>284</v>
      </c>
      <c r="C89" s="3">
        <v>51</v>
      </c>
      <c r="D89" s="3" t="s">
        <v>33</v>
      </c>
      <c r="E89" s="3"/>
      <c r="F89" s="3" t="s">
        <v>46</v>
      </c>
      <c r="G89" s="3" t="s">
        <v>40</v>
      </c>
      <c r="H89" s="3">
        <v>3</v>
      </c>
      <c r="I89" s="4">
        <v>45548</v>
      </c>
      <c r="J89" s="4">
        <v>45489</v>
      </c>
      <c r="K89" s="3">
        <v>6</v>
      </c>
      <c r="L89" s="3" t="s">
        <v>36</v>
      </c>
      <c r="M89" s="3">
        <v>20</v>
      </c>
      <c r="N89" s="3">
        <v>5</v>
      </c>
      <c r="O89" s="3">
        <v>5</v>
      </c>
      <c r="R89" s="3">
        <v>0</v>
      </c>
      <c r="S89" s="3"/>
      <c r="T89" s="3">
        <v>1.9019999999999999E-2</v>
      </c>
      <c r="U89" s="3">
        <v>5.0099999999999997E-3</v>
      </c>
      <c r="V89" s="3">
        <v>0</v>
      </c>
      <c r="W89" s="3">
        <v>0</v>
      </c>
      <c r="X89" s="3"/>
      <c r="AB89" s="3" t="str">
        <f t="shared" si="1"/>
        <v>284_51_T31-C-5_vm</v>
      </c>
      <c r="AC89" s="3" t="str">
        <f t="shared" si="0"/>
        <v>284_51_T31-C-5_vm_3</v>
      </c>
      <c r="AE89" s="3" t="s">
        <v>37</v>
      </c>
    </row>
    <row r="90" spans="1:32" ht="12.5">
      <c r="E90" s="3"/>
      <c r="F90" s="3"/>
      <c r="G90" s="3"/>
      <c r="L90" s="3" t="s">
        <v>38</v>
      </c>
      <c r="M90" s="3">
        <v>9</v>
      </c>
      <c r="N90" s="3">
        <v>0</v>
      </c>
      <c r="O90" s="3">
        <v>2</v>
      </c>
      <c r="P90" s="3">
        <v>1</v>
      </c>
      <c r="Q90" s="3">
        <v>1</v>
      </c>
      <c r="R90" s="3">
        <v>0</v>
      </c>
      <c r="S90" s="3"/>
      <c r="T90" s="3">
        <v>0</v>
      </c>
      <c r="U90" s="3">
        <v>3.7299999999999998E-3</v>
      </c>
      <c r="V90" s="3">
        <v>9.9600000000000001E-3</v>
      </c>
      <c r="W90" s="3">
        <v>0</v>
      </c>
      <c r="X90" s="3"/>
      <c r="AB90" s="3" t="str">
        <f t="shared" si="1"/>
        <v>___</v>
      </c>
      <c r="AC90" s="3" t="str">
        <f t="shared" si="0"/>
        <v>____</v>
      </c>
    </row>
    <row r="91" spans="1:32" ht="12.5">
      <c r="E91" s="3"/>
      <c r="F91" s="3"/>
      <c r="G91" s="3"/>
      <c r="L91" s="3" t="s">
        <v>39</v>
      </c>
      <c r="M91" s="3">
        <v>16</v>
      </c>
      <c r="N91" s="3">
        <v>0</v>
      </c>
      <c r="O91" s="3">
        <v>1</v>
      </c>
      <c r="P91" s="3">
        <v>2</v>
      </c>
      <c r="Q91" s="3">
        <v>2</v>
      </c>
      <c r="R91" s="3">
        <v>0</v>
      </c>
      <c r="S91" s="3"/>
      <c r="T91" s="3">
        <v>0</v>
      </c>
      <c r="U91" s="3">
        <v>7.1799999999999998E-3</v>
      </c>
      <c r="V91" s="3">
        <v>1.427E-2</v>
      </c>
      <c r="W91" s="3">
        <v>0</v>
      </c>
      <c r="X91" s="3"/>
      <c r="AB91" s="3" t="str">
        <f t="shared" si="1"/>
        <v>___</v>
      </c>
      <c r="AC91" s="3" t="str">
        <f t="shared" si="0"/>
        <v>____</v>
      </c>
    </row>
    <row r="92" spans="1:32" ht="12.5">
      <c r="A92" s="2">
        <v>45483</v>
      </c>
      <c r="B92" s="6">
        <v>696</v>
      </c>
      <c r="C92" s="6">
        <v>55</v>
      </c>
      <c r="D92" s="3" t="s">
        <v>33</v>
      </c>
      <c r="E92" s="3"/>
      <c r="F92" s="3" t="s">
        <v>51</v>
      </c>
      <c r="G92" s="3" t="s">
        <v>40</v>
      </c>
      <c r="H92" s="3">
        <v>1</v>
      </c>
      <c r="I92" s="3">
        <v>36</v>
      </c>
      <c r="J92" s="4">
        <v>45557</v>
      </c>
      <c r="K92" s="3">
        <v>7</v>
      </c>
      <c r="L92" s="3" t="s">
        <v>36</v>
      </c>
      <c r="M92" s="3">
        <v>50</v>
      </c>
      <c r="N92" s="3">
        <v>9</v>
      </c>
      <c r="O92" s="3">
        <v>9</v>
      </c>
      <c r="R92" s="3">
        <v>0</v>
      </c>
      <c r="S92" s="3"/>
      <c r="T92" s="3">
        <v>4.6269999999999999E-2</v>
      </c>
      <c r="U92" s="3">
        <v>2.555E-2</v>
      </c>
      <c r="V92" s="8">
        <v>0</v>
      </c>
      <c r="W92" s="9">
        <v>0</v>
      </c>
      <c r="X92" s="9"/>
      <c r="AB92" s="3" t="str">
        <f t="shared" si="1"/>
        <v>696_55_T31-C-4_vm</v>
      </c>
      <c r="AC92" s="3" t="str">
        <f t="shared" si="0"/>
        <v>696_55_T31-C-4_vm_1</v>
      </c>
      <c r="AE92" s="3" t="s">
        <v>37</v>
      </c>
      <c r="AF92" s="3" t="s">
        <v>37</v>
      </c>
    </row>
    <row r="93" spans="1:32" ht="12.5">
      <c r="E93" s="3"/>
      <c r="F93" s="3"/>
      <c r="G93" s="3"/>
      <c r="L93" s="3" t="s">
        <v>38</v>
      </c>
      <c r="M93" s="3">
        <v>45</v>
      </c>
      <c r="N93" s="3">
        <v>0</v>
      </c>
      <c r="O93" s="3">
        <v>2</v>
      </c>
      <c r="P93" s="3">
        <v>2</v>
      </c>
      <c r="Q93" s="3">
        <v>2</v>
      </c>
      <c r="R93" s="3">
        <v>0</v>
      </c>
      <c r="S93" s="3"/>
      <c r="T93" s="9">
        <v>0</v>
      </c>
      <c r="U93" s="3">
        <v>3.8940000000000002E-2</v>
      </c>
      <c r="V93" s="8">
        <v>0.11219999999999999</v>
      </c>
      <c r="W93" s="9">
        <v>0</v>
      </c>
      <c r="X93" s="9"/>
      <c r="AB93" s="3" t="str">
        <f t="shared" si="1"/>
        <v>___</v>
      </c>
      <c r="AC93" s="3" t="str">
        <f t="shared" si="0"/>
        <v>____</v>
      </c>
    </row>
    <row r="94" spans="1:32" ht="12.5">
      <c r="E94" s="3"/>
      <c r="F94" s="3"/>
      <c r="G94" s="3"/>
      <c r="L94" s="3" t="s">
        <v>39</v>
      </c>
      <c r="M94" s="3">
        <v>30</v>
      </c>
      <c r="N94" s="3">
        <v>0</v>
      </c>
      <c r="O94" s="3">
        <v>1</v>
      </c>
      <c r="P94" s="3">
        <v>2</v>
      </c>
      <c r="Q94" s="3">
        <v>1</v>
      </c>
      <c r="R94" s="3">
        <v>0</v>
      </c>
      <c r="S94" s="3"/>
      <c r="T94" s="9">
        <v>0</v>
      </c>
      <c r="U94" s="3">
        <v>3.3029999999999997E-2</v>
      </c>
      <c r="V94" s="3">
        <v>0.21987000000000001</v>
      </c>
      <c r="W94" s="9">
        <v>0</v>
      </c>
      <c r="X94" s="9"/>
      <c r="Y94" s="3"/>
      <c r="Z94" s="3" t="s">
        <v>52</v>
      </c>
      <c r="AB94" s="3" t="str">
        <f t="shared" si="1"/>
        <v>___</v>
      </c>
      <c r="AC94" s="3" t="str">
        <f t="shared" si="0"/>
        <v>____</v>
      </c>
    </row>
    <row r="95" spans="1:32" ht="12.5">
      <c r="A95" s="2">
        <v>45483</v>
      </c>
      <c r="B95" s="3">
        <v>696</v>
      </c>
      <c r="C95" s="3">
        <v>55</v>
      </c>
      <c r="D95" s="3" t="s">
        <v>33</v>
      </c>
      <c r="E95" s="3"/>
      <c r="F95" s="3" t="s">
        <v>51</v>
      </c>
      <c r="G95" s="3" t="s">
        <v>40</v>
      </c>
      <c r="H95" s="3">
        <v>2</v>
      </c>
      <c r="I95" s="4">
        <v>45433</v>
      </c>
      <c r="J95" s="3">
        <v>18</v>
      </c>
      <c r="K95" s="3">
        <v>10</v>
      </c>
      <c r="L95" s="3" t="s">
        <v>36</v>
      </c>
      <c r="M95" s="3">
        <v>15</v>
      </c>
      <c r="N95" s="3">
        <v>6</v>
      </c>
      <c r="O95" s="3">
        <v>6</v>
      </c>
      <c r="R95" s="3">
        <v>0</v>
      </c>
      <c r="S95" s="3"/>
      <c r="T95" s="3">
        <v>1.0449999999999999E-2</v>
      </c>
      <c r="U95" s="3">
        <v>2.5699999999999998E-3</v>
      </c>
      <c r="V95" s="8">
        <v>0</v>
      </c>
      <c r="W95" s="9">
        <v>0</v>
      </c>
      <c r="X95" s="9"/>
      <c r="AB95" s="3" t="str">
        <f t="shared" si="1"/>
        <v>696_55_T31-C-4_vm</v>
      </c>
      <c r="AC95" s="3" t="str">
        <f t="shared" si="0"/>
        <v>696_55_T31-C-4_vm_2</v>
      </c>
      <c r="AE95" s="3" t="s">
        <v>37</v>
      </c>
      <c r="AF95" s="3" t="s">
        <v>37</v>
      </c>
    </row>
    <row r="96" spans="1:32" ht="12.5">
      <c r="E96" s="3"/>
      <c r="F96" s="3"/>
      <c r="G96" s="3"/>
      <c r="L96" s="3" t="s">
        <v>38</v>
      </c>
      <c r="M96" s="3">
        <v>24</v>
      </c>
      <c r="N96" s="3">
        <v>0</v>
      </c>
      <c r="O96" s="3">
        <v>3</v>
      </c>
      <c r="P96" s="3">
        <v>2</v>
      </c>
      <c r="Q96" s="3">
        <v>2</v>
      </c>
      <c r="R96" s="3">
        <v>0</v>
      </c>
      <c r="S96" s="3"/>
      <c r="T96" s="8">
        <v>0</v>
      </c>
      <c r="U96" s="3">
        <v>8.6700000000000006E-3</v>
      </c>
      <c r="V96" s="3">
        <v>1.333E-2</v>
      </c>
      <c r="W96" s="9">
        <v>0</v>
      </c>
      <c r="X96" s="9"/>
      <c r="AB96" s="3" t="str">
        <f t="shared" si="1"/>
        <v>___</v>
      </c>
      <c r="AC96" s="3" t="str">
        <f t="shared" si="0"/>
        <v>____</v>
      </c>
    </row>
    <row r="97" spans="1:32" ht="12.5">
      <c r="E97" s="3"/>
      <c r="F97" s="3"/>
      <c r="G97" s="3"/>
      <c r="L97" s="3" t="s">
        <v>39</v>
      </c>
      <c r="M97" s="3">
        <v>21</v>
      </c>
      <c r="N97" s="3">
        <v>0</v>
      </c>
      <c r="O97" s="3">
        <v>2</v>
      </c>
      <c r="P97" s="3">
        <v>3</v>
      </c>
      <c r="Q97" s="3">
        <v>3</v>
      </c>
      <c r="R97" s="3">
        <v>0</v>
      </c>
      <c r="S97" s="3"/>
      <c r="T97" s="8">
        <v>0</v>
      </c>
      <c r="U97" s="3">
        <v>8.1700000000000002E-3</v>
      </c>
      <c r="V97" s="3">
        <v>3.6639999999999999E-2</v>
      </c>
      <c r="W97" s="9">
        <v>0</v>
      </c>
      <c r="X97" s="9"/>
      <c r="AB97" s="3" t="str">
        <f t="shared" si="1"/>
        <v>___</v>
      </c>
      <c r="AC97" s="3" t="str">
        <f t="shared" si="0"/>
        <v>____</v>
      </c>
    </row>
    <row r="98" spans="1:32" ht="12.5">
      <c r="A98" s="2">
        <v>45483</v>
      </c>
      <c r="B98" s="3">
        <v>696</v>
      </c>
      <c r="C98" s="3">
        <v>55</v>
      </c>
      <c r="D98" s="3" t="s">
        <v>33</v>
      </c>
      <c r="E98" s="3"/>
      <c r="F98" s="3" t="s">
        <v>51</v>
      </c>
      <c r="G98" s="3" t="s">
        <v>40</v>
      </c>
      <c r="H98" s="3">
        <v>3</v>
      </c>
      <c r="I98" s="3" t="s">
        <v>53</v>
      </c>
      <c r="J98" s="4">
        <v>45370</v>
      </c>
      <c r="K98" s="3">
        <v>8</v>
      </c>
      <c r="L98" s="3" t="s">
        <v>36</v>
      </c>
      <c r="M98" s="3">
        <v>32</v>
      </c>
      <c r="N98" s="3">
        <v>7</v>
      </c>
      <c r="O98" s="3">
        <v>7</v>
      </c>
      <c r="R98" s="3">
        <v>0</v>
      </c>
      <c r="S98" s="3"/>
      <c r="T98" s="8">
        <v>2.7199999999999998E-2</v>
      </c>
      <c r="U98" s="3">
        <v>1.273E-2</v>
      </c>
      <c r="V98" s="8">
        <v>0</v>
      </c>
      <c r="W98" s="9">
        <v>0</v>
      </c>
      <c r="X98" s="9"/>
      <c r="AB98" s="3" t="str">
        <f t="shared" si="1"/>
        <v>696_55_T31-C-4_vm</v>
      </c>
      <c r="AC98" s="3" t="str">
        <f t="shared" si="0"/>
        <v>696_55_T31-C-4_vm_3</v>
      </c>
      <c r="AE98" s="3" t="s">
        <v>37</v>
      </c>
      <c r="AF98" s="3" t="s">
        <v>37</v>
      </c>
    </row>
    <row r="99" spans="1:32" ht="12.5">
      <c r="E99" s="3"/>
      <c r="F99" s="3"/>
      <c r="G99" s="3"/>
      <c r="L99" s="3" t="s">
        <v>38</v>
      </c>
      <c r="M99" s="3">
        <v>51</v>
      </c>
      <c r="N99" s="3">
        <v>0</v>
      </c>
      <c r="O99" s="3">
        <v>3</v>
      </c>
      <c r="P99" s="3">
        <v>4</v>
      </c>
      <c r="Q99" s="3">
        <v>3</v>
      </c>
      <c r="R99" s="3">
        <v>0</v>
      </c>
      <c r="S99" s="3"/>
      <c r="T99" s="8">
        <v>0</v>
      </c>
      <c r="U99" s="3">
        <v>3.4909999999999997E-2</v>
      </c>
      <c r="V99" s="3">
        <v>7.8909999999999994E-2</v>
      </c>
      <c r="W99" s="9">
        <v>0</v>
      </c>
      <c r="X99" s="9"/>
      <c r="Y99" s="3"/>
      <c r="Z99" s="3" t="s">
        <v>54</v>
      </c>
      <c r="AB99" s="3" t="str">
        <f t="shared" si="1"/>
        <v>___</v>
      </c>
      <c r="AC99" s="3" t="str">
        <f t="shared" si="0"/>
        <v>____</v>
      </c>
    </row>
    <row r="100" spans="1:32" ht="12.5">
      <c r="E100" s="3"/>
      <c r="F100" s="3"/>
      <c r="G100" s="3"/>
      <c r="L100" s="3" t="s">
        <v>39</v>
      </c>
      <c r="M100" s="3">
        <v>50</v>
      </c>
      <c r="N100" s="3">
        <v>0</v>
      </c>
      <c r="O100" s="3">
        <v>6</v>
      </c>
      <c r="P100" s="3">
        <v>2</v>
      </c>
      <c r="Q100" s="3">
        <v>2</v>
      </c>
      <c r="R100" s="3">
        <v>0</v>
      </c>
      <c r="S100" s="3"/>
      <c r="T100" s="8">
        <v>0</v>
      </c>
      <c r="U100" s="3">
        <v>4.4659999999999998E-2</v>
      </c>
      <c r="V100" s="3">
        <v>7.0980000000000001E-2</v>
      </c>
      <c r="W100" s="9">
        <v>0</v>
      </c>
      <c r="X100" s="9"/>
      <c r="AB100" s="3" t="str">
        <f t="shared" si="1"/>
        <v>___</v>
      </c>
      <c r="AC100" s="3" t="str">
        <f t="shared" si="0"/>
        <v>____</v>
      </c>
    </row>
    <row r="101" spans="1:32" ht="12.5">
      <c r="A101" s="2">
        <v>45483</v>
      </c>
      <c r="B101" s="3">
        <v>696</v>
      </c>
      <c r="C101" s="3">
        <v>55</v>
      </c>
      <c r="D101" s="3" t="s">
        <v>33</v>
      </c>
      <c r="E101" s="3"/>
      <c r="F101" s="3" t="s">
        <v>51</v>
      </c>
      <c r="G101" s="3" t="s">
        <v>35</v>
      </c>
      <c r="H101" s="3">
        <v>1</v>
      </c>
      <c r="I101" s="4">
        <v>45428</v>
      </c>
      <c r="J101" s="4">
        <v>45515</v>
      </c>
      <c r="K101" s="3">
        <v>6</v>
      </c>
      <c r="L101" s="3" t="s">
        <v>36</v>
      </c>
      <c r="M101" s="3">
        <v>22</v>
      </c>
      <c r="N101" s="3">
        <v>12</v>
      </c>
      <c r="O101" s="3">
        <v>12</v>
      </c>
      <c r="R101" s="3">
        <v>0</v>
      </c>
      <c r="S101" s="3"/>
      <c r="T101" s="3">
        <v>4.8590000000000001E-2</v>
      </c>
      <c r="U101" s="3">
        <v>6.6499999999999997E-3</v>
      </c>
      <c r="V101" s="8">
        <v>0</v>
      </c>
      <c r="W101" s="9">
        <v>0</v>
      </c>
      <c r="X101" s="9"/>
      <c r="AB101" s="3" t="str">
        <f t="shared" si="1"/>
        <v>696_55_T31-C-4_vv</v>
      </c>
      <c r="AC101" s="3" t="str">
        <f t="shared" si="0"/>
        <v>696_55_T31-C-4_vv_1</v>
      </c>
      <c r="AE101" s="3" t="s">
        <v>37</v>
      </c>
      <c r="AF101" s="3" t="s">
        <v>37</v>
      </c>
    </row>
    <row r="102" spans="1:32" ht="12.5">
      <c r="E102" s="3"/>
      <c r="F102" s="3"/>
      <c r="G102" s="3"/>
      <c r="L102" s="3" t="s">
        <v>38</v>
      </c>
      <c r="M102" s="3">
        <v>54</v>
      </c>
      <c r="N102" s="3">
        <v>9</v>
      </c>
      <c r="O102" s="3">
        <v>14</v>
      </c>
      <c r="P102" s="3">
        <v>1</v>
      </c>
      <c r="Q102" s="3">
        <v>1</v>
      </c>
      <c r="R102" s="3">
        <v>0</v>
      </c>
      <c r="S102" s="3"/>
      <c r="T102" s="3">
        <v>0.10763</v>
      </c>
      <c r="U102" s="3">
        <v>3.313E-2</v>
      </c>
      <c r="V102" s="3">
        <v>3.4479999999999997E-2</v>
      </c>
      <c r="W102" s="9">
        <v>0</v>
      </c>
      <c r="X102" s="9"/>
      <c r="AB102" s="3" t="str">
        <f t="shared" si="1"/>
        <v>___</v>
      </c>
      <c r="AC102" s="3" t="str">
        <f t="shared" si="0"/>
        <v>____</v>
      </c>
    </row>
    <row r="103" spans="1:32" ht="12.5">
      <c r="E103" s="3"/>
      <c r="F103" s="3"/>
      <c r="G103" s="3"/>
      <c r="L103" s="3" t="s">
        <v>39</v>
      </c>
      <c r="M103" s="3">
        <v>28</v>
      </c>
      <c r="N103" s="3">
        <v>0</v>
      </c>
      <c r="O103" s="3">
        <v>7</v>
      </c>
      <c r="P103" s="3">
        <v>2</v>
      </c>
      <c r="Q103" s="3">
        <v>1</v>
      </c>
      <c r="R103" s="3">
        <v>0</v>
      </c>
      <c r="S103" s="3"/>
      <c r="T103" s="8">
        <v>0</v>
      </c>
      <c r="U103" s="3">
        <v>2.3810000000000001E-2</v>
      </c>
      <c r="V103" s="3">
        <v>0.14186000000000001</v>
      </c>
      <c r="W103" s="9">
        <v>0</v>
      </c>
      <c r="X103" s="9"/>
      <c r="Y103" s="3"/>
      <c r="Z103" s="3" t="s">
        <v>52</v>
      </c>
      <c r="AB103" s="3" t="str">
        <f t="shared" si="1"/>
        <v>___</v>
      </c>
      <c r="AC103" s="3" t="str">
        <f t="shared" si="0"/>
        <v>____</v>
      </c>
    </row>
    <row r="104" spans="1:32" ht="12.5">
      <c r="A104" s="2">
        <v>45483</v>
      </c>
      <c r="B104" s="3">
        <v>696</v>
      </c>
      <c r="C104" s="3">
        <v>55</v>
      </c>
      <c r="D104" s="3" t="s">
        <v>33</v>
      </c>
      <c r="E104" s="3"/>
      <c r="F104" s="3" t="s">
        <v>51</v>
      </c>
      <c r="G104" s="3" t="s">
        <v>35</v>
      </c>
      <c r="H104" s="3">
        <v>2</v>
      </c>
      <c r="I104" s="4">
        <v>45435</v>
      </c>
      <c r="J104" s="4">
        <v>45548</v>
      </c>
      <c r="K104" s="3">
        <v>4</v>
      </c>
      <c r="L104" s="3" t="s">
        <v>36</v>
      </c>
      <c r="M104" s="3">
        <v>36</v>
      </c>
      <c r="N104" s="3">
        <v>12</v>
      </c>
      <c r="O104" s="3">
        <v>13</v>
      </c>
      <c r="R104" s="3">
        <v>0</v>
      </c>
      <c r="S104" s="3"/>
      <c r="T104" s="3">
        <v>4.709E-2</v>
      </c>
      <c r="U104" s="3">
        <v>8.1200000000000005E-3</v>
      </c>
      <c r="V104" s="8">
        <v>0</v>
      </c>
      <c r="W104" s="9">
        <v>0</v>
      </c>
      <c r="X104" s="9"/>
      <c r="AB104" s="3" t="str">
        <f t="shared" si="1"/>
        <v>696_55_T31-C-4_vv</v>
      </c>
      <c r="AC104" s="3" t="str">
        <f t="shared" si="0"/>
        <v>696_55_T31-C-4_vv_2</v>
      </c>
      <c r="AE104" s="3" t="s">
        <v>37</v>
      </c>
      <c r="AF104" s="3" t="s">
        <v>37</v>
      </c>
    </row>
    <row r="105" spans="1:32" ht="12.5">
      <c r="E105" s="3"/>
      <c r="F105" s="3"/>
      <c r="G105" s="3"/>
      <c r="L105" s="3" t="s">
        <v>38</v>
      </c>
      <c r="M105" s="3">
        <v>45</v>
      </c>
      <c r="N105" s="3">
        <v>7</v>
      </c>
      <c r="O105" s="3">
        <v>12</v>
      </c>
      <c r="R105" s="3">
        <v>0</v>
      </c>
      <c r="S105" s="3"/>
      <c r="T105" s="3">
        <v>4.6890000000000001E-2</v>
      </c>
      <c r="U105" s="3">
        <v>1.7950000000000001E-2</v>
      </c>
      <c r="V105" s="8">
        <v>0</v>
      </c>
      <c r="W105" s="9">
        <v>0</v>
      </c>
      <c r="X105" s="9"/>
      <c r="AB105" s="3" t="str">
        <f t="shared" si="1"/>
        <v>___</v>
      </c>
      <c r="AC105" s="3" t="str">
        <f t="shared" si="0"/>
        <v>____</v>
      </c>
    </row>
    <row r="106" spans="1:32" ht="12.5">
      <c r="E106" s="3"/>
      <c r="F106" s="3"/>
      <c r="G106" s="3"/>
      <c r="L106" s="3" t="s">
        <v>39</v>
      </c>
      <c r="M106" s="3">
        <v>14</v>
      </c>
      <c r="N106" s="3">
        <v>0</v>
      </c>
      <c r="O106" s="3">
        <v>4</v>
      </c>
      <c r="R106" s="3">
        <v>0</v>
      </c>
      <c r="S106" s="3"/>
      <c r="T106" s="8">
        <v>0</v>
      </c>
      <c r="U106" s="3">
        <v>6.3899999999999998E-3</v>
      </c>
      <c r="V106" s="8">
        <v>0</v>
      </c>
      <c r="W106" s="9">
        <v>0</v>
      </c>
      <c r="X106" s="9"/>
      <c r="AB106" s="3" t="str">
        <f t="shared" si="1"/>
        <v>___</v>
      </c>
      <c r="AC106" s="3" t="str">
        <f t="shared" si="0"/>
        <v>____</v>
      </c>
    </row>
    <row r="107" spans="1:32" ht="12.5">
      <c r="A107" s="2">
        <v>45483</v>
      </c>
      <c r="B107" s="3">
        <v>696</v>
      </c>
      <c r="C107" s="3">
        <v>55</v>
      </c>
      <c r="D107" s="3" t="s">
        <v>33</v>
      </c>
      <c r="E107" s="3"/>
      <c r="F107" s="3" t="s">
        <v>51</v>
      </c>
      <c r="G107" s="3" t="s">
        <v>35</v>
      </c>
      <c r="H107" s="3">
        <v>3</v>
      </c>
      <c r="I107" s="4">
        <v>45429</v>
      </c>
      <c r="J107" s="3">
        <v>14</v>
      </c>
      <c r="K107" s="3">
        <v>5</v>
      </c>
      <c r="L107" s="3" t="s">
        <v>36</v>
      </c>
      <c r="M107" s="3">
        <v>19</v>
      </c>
      <c r="N107" s="3">
        <v>10</v>
      </c>
      <c r="O107" s="3">
        <v>10</v>
      </c>
      <c r="R107" s="3">
        <v>0</v>
      </c>
      <c r="S107" s="3"/>
      <c r="T107" s="3">
        <v>3.1669999999999997E-2</v>
      </c>
      <c r="U107" s="3">
        <v>3.5899999999999999E-3</v>
      </c>
      <c r="V107" s="8">
        <v>0</v>
      </c>
      <c r="W107" s="9">
        <v>0</v>
      </c>
      <c r="X107" s="9"/>
      <c r="AB107" s="3" t="str">
        <f t="shared" si="1"/>
        <v>696_55_T31-C-4_vv</v>
      </c>
      <c r="AC107" s="3" t="str">
        <f t="shared" si="0"/>
        <v>696_55_T31-C-4_vv_3</v>
      </c>
      <c r="AE107" s="3" t="s">
        <v>37</v>
      </c>
      <c r="AF107" s="3" t="s">
        <v>37</v>
      </c>
    </row>
    <row r="108" spans="1:32" ht="12.5">
      <c r="E108" s="3"/>
      <c r="F108" s="3"/>
      <c r="G108" s="3"/>
      <c r="L108" s="3" t="s">
        <v>38</v>
      </c>
      <c r="M108" s="3">
        <v>35</v>
      </c>
      <c r="N108" s="3">
        <v>10</v>
      </c>
      <c r="O108" s="3">
        <v>12</v>
      </c>
      <c r="R108" s="3">
        <v>0</v>
      </c>
      <c r="S108" s="3"/>
      <c r="T108" s="3">
        <v>8.4180000000000005E-2</v>
      </c>
      <c r="U108" s="3">
        <v>1.242E-2</v>
      </c>
      <c r="V108" s="8">
        <v>0</v>
      </c>
      <c r="W108" s="9">
        <v>0</v>
      </c>
      <c r="X108" s="9"/>
      <c r="AB108" s="3" t="str">
        <f t="shared" si="1"/>
        <v>___</v>
      </c>
      <c r="AC108" s="3" t="str">
        <f t="shared" si="0"/>
        <v>____</v>
      </c>
    </row>
    <row r="109" spans="1:32" ht="12.5">
      <c r="E109" s="3"/>
      <c r="F109" s="3"/>
      <c r="G109" s="3"/>
      <c r="L109" s="3" t="s">
        <v>39</v>
      </c>
      <c r="M109" s="3">
        <v>28</v>
      </c>
      <c r="N109" s="3">
        <v>5</v>
      </c>
      <c r="O109" s="3">
        <v>11</v>
      </c>
      <c r="R109" s="3">
        <v>0</v>
      </c>
      <c r="S109" s="3"/>
      <c r="T109" s="3">
        <v>4.8430000000000001E-2</v>
      </c>
      <c r="U109" s="3">
        <v>1.8519999999999998E-2</v>
      </c>
      <c r="V109" s="8">
        <v>0</v>
      </c>
      <c r="W109" s="9">
        <v>0</v>
      </c>
      <c r="X109" s="9"/>
      <c r="AB109" s="3" t="str">
        <f t="shared" si="1"/>
        <v>___</v>
      </c>
      <c r="AC109" s="3" t="str">
        <f t="shared" si="0"/>
        <v>____</v>
      </c>
    </row>
    <row r="110" spans="1:32" ht="12.5">
      <c r="A110" s="2">
        <v>45483</v>
      </c>
      <c r="B110" s="10">
        <v>696</v>
      </c>
      <c r="C110" s="10">
        <v>66</v>
      </c>
      <c r="D110" s="3" t="s">
        <v>33</v>
      </c>
      <c r="E110" s="3"/>
      <c r="G110" s="3" t="s">
        <v>35</v>
      </c>
      <c r="H110" s="3">
        <v>1</v>
      </c>
      <c r="I110" s="4">
        <v>45434</v>
      </c>
      <c r="J110" s="4">
        <v>45554</v>
      </c>
      <c r="K110" s="3">
        <v>5</v>
      </c>
      <c r="L110" s="3" t="s">
        <v>36</v>
      </c>
      <c r="M110" s="3">
        <v>39</v>
      </c>
      <c r="N110" s="3">
        <v>10</v>
      </c>
      <c r="O110" s="3">
        <v>17</v>
      </c>
      <c r="R110" s="3">
        <v>0</v>
      </c>
      <c r="S110" s="3"/>
      <c r="T110" s="8">
        <v>0.13200000000000001</v>
      </c>
      <c r="U110" s="3">
        <v>1.401E-2</v>
      </c>
      <c r="V110" s="8">
        <v>0</v>
      </c>
      <c r="W110" s="9">
        <v>0</v>
      </c>
      <c r="X110" s="9"/>
      <c r="AB110" s="3" t="str">
        <f t="shared" si="1"/>
        <v>696_66__vv</v>
      </c>
      <c r="AC110" s="3" t="str">
        <f t="shared" si="0"/>
        <v>696_66__vv_1</v>
      </c>
      <c r="AE110" s="3" t="s">
        <v>37</v>
      </c>
      <c r="AF110" s="3" t="s">
        <v>37</v>
      </c>
    </row>
    <row r="111" spans="1:32" ht="12.5">
      <c r="E111" s="3"/>
      <c r="F111" s="3"/>
      <c r="G111" s="3"/>
      <c r="L111" s="3" t="s">
        <v>38</v>
      </c>
      <c r="M111" s="3">
        <v>37</v>
      </c>
      <c r="N111" s="3">
        <v>9</v>
      </c>
      <c r="O111" s="3">
        <v>13</v>
      </c>
      <c r="P111" s="3">
        <v>1</v>
      </c>
      <c r="Q111" s="3">
        <v>1</v>
      </c>
      <c r="R111" s="3">
        <v>0</v>
      </c>
      <c r="S111" s="3"/>
      <c r="T111" s="3">
        <v>0.21534</v>
      </c>
      <c r="U111" s="3">
        <v>3.0679999999999999E-2</v>
      </c>
      <c r="V111" s="11">
        <v>0.13159000000000001</v>
      </c>
      <c r="W111" s="9">
        <v>0</v>
      </c>
      <c r="X111" s="9"/>
      <c r="Y111" s="3"/>
      <c r="Z111" s="3" t="s">
        <v>55</v>
      </c>
      <c r="AB111" s="3" t="str">
        <f t="shared" si="1"/>
        <v>___</v>
      </c>
      <c r="AC111" s="3" t="str">
        <f t="shared" si="0"/>
        <v>____</v>
      </c>
    </row>
    <row r="112" spans="1:32" ht="12.5">
      <c r="E112" s="3"/>
      <c r="F112" s="3"/>
      <c r="G112" s="3"/>
      <c r="L112" s="3" t="s">
        <v>39</v>
      </c>
      <c r="M112" s="3">
        <v>41</v>
      </c>
      <c r="N112" s="3">
        <v>7</v>
      </c>
      <c r="O112" s="3">
        <v>13</v>
      </c>
      <c r="R112" s="3">
        <v>0</v>
      </c>
      <c r="S112" s="3"/>
      <c r="T112" s="3">
        <v>0.10851</v>
      </c>
      <c r="U112" s="3">
        <v>4.2320000000000003E-2</v>
      </c>
      <c r="V112" s="8">
        <v>0</v>
      </c>
      <c r="W112" s="9">
        <v>0</v>
      </c>
      <c r="X112" s="9"/>
      <c r="AB112" s="3" t="str">
        <f t="shared" si="1"/>
        <v>___</v>
      </c>
      <c r="AC112" s="3" t="str">
        <f t="shared" si="0"/>
        <v>____</v>
      </c>
    </row>
    <row r="113" spans="1:32" ht="12.5">
      <c r="A113" s="2">
        <v>45483</v>
      </c>
      <c r="B113" s="3">
        <v>696</v>
      </c>
      <c r="C113" s="3">
        <v>66</v>
      </c>
      <c r="D113" s="3" t="s">
        <v>33</v>
      </c>
      <c r="E113" s="3"/>
      <c r="F113" s="3"/>
      <c r="G113" s="3" t="s">
        <v>35</v>
      </c>
      <c r="H113" s="3">
        <v>2</v>
      </c>
      <c r="I113" s="3">
        <v>13</v>
      </c>
      <c r="J113" s="4">
        <v>45481</v>
      </c>
      <c r="K113" s="3">
        <v>2</v>
      </c>
      <c r="L113" s="3" t="s">
        <v>36</v>
      </c>
      <c r="M113" s="3">
        <v>26</v>
      </c>
      <c r="N113" s="3">
        <v>12</v>
      </c>
      <c r="O113" s="3">
        <v>12</v>
      </c>
      <c r="R113" s="3">
        <v>0</v>
      </c>
      <c r="S113" s="3"/>
      <c r="T113" s="3">
        <v>5.7759999999999999E-2</v>
      </c>
      <c r="U113" s="3">
        <v>6.77E-3</v>
      </c>
      <c r="V113" s="8">
        <v>0</v>
      </c>
      <c r="W113" s="9">
        <v>0</v>
      </c>
      <c r="X113" s="9"/>
      <c r="Y113" s="3"/>
      <c r="Z113" s="3" t="s">
        <v>56</v>
      </c>
      <c r="AB113" s="3" t="str">
        <f t="shared" si="1"/>
        <v>696_66__vv</v>
      </c>
      <c r="AC113" s="3" t="str">
        <f t="shared" si="0"/>
        <v>696_66__vv_2</v>
      </c>
      <c r="AE113" s="3" t="s">
        <v>37</v>
      </c>
      <c r="AF113" s="3" t="s">
        <v>37</v>
      </c>
    </row>
    <row r="114" spans="1:32" ht="12.5">
      <c r="E114" s="3"/>
      <c r="F114" s="3"/>
      <c r="G114" s="3"/>
      <c r="L114" s="3" t="s">
        <v>38</v>
      </c>
      <c r="M114" s="3">
        <v>57</v>
      </c>
      <c r="N114" s="3">
        <v>5</v>
      </c>
      <c r="O114" s="3">
        <v>11</v>
      </c>
      <c r="R114" s="3">
        <v>0</v>
      </c>
      <c r="S114" s="3"/>
      <c r="T114" s="3">
        <v>4.0090000000000001E-2</v>
      </c>
      <c r="U114" s="3">
        <v>2.6179999999999998E-2</v>
      </c>
      <c r="V114" s="8">
        <v>0</v>
      </c>
      <c r="W114" s="9">
        <v>0</v>
      </c>
      <c r="X114" s="9"/>
      <c r="AB114" s="3" t="str">
        <f t="shared" si="1"/>
        <v>___</v>
      </c>
      <c r="AC114" s="3" t="str">
        <f t="shared" si="0"/>
        <v>____</v>
      </c>
    </row>
    <row r="115" spans="1:32" ht="12.5">
      <c r="E115" s="3"/>
      <c r="F115" s="3"/>
      <c r="G115" s="3"/>
      <c r="L115" s="3" t="s">
        <v>39</v>
      </c>
      <c r="M115" s="3" t="s">
        <v>47</v>
      </c>
      <c r="N115" s="3" t="s">
        <v>47</v>
      </c>
      <c r="O115" s="3" t="s">
        <v>47</v>
      </c>
      <c r="R115" s="3" t="s">
        <v>47</v>
      </c>
      <c r="S115" s="3"/>
      <c r="T115" s="5" t="s">
        <v>47</v>
      </c>
      <c r="U115" s="5" t="s">
        <v>47</v>
      </c>
      <c r="V115" s="5" t="s">
        <v>47</v>
      </c>
      <c r="W115" s="5" t="s">
        <v>47</v>
      </c>
      <c r="X115" s="5"/>
      <c r="AB115" s="3" t="str">
        <f t="shared" si="1"/>
        <v>___</v>
      </c>
      <c r="AC115" s="3" t="str">
        <f t="shared" si="0"/>
        <v>____</v>
      </c>
    </row>
    <row r="116" spans="1:32" ht="12.5">
      <c r="A116" s="2">
        <v>45483</v>
      </c>
      <c r="B116" s="3">
        <v>696</v>
      </c>
      <c r="C116" s="3">
        <v>66</v>
      </c>
      <c r="D116" s="3" t="s">
        <v>33</v>
      </c>
      <c r="E116" s="3"/>
      <c r="F116" s="3"/>
      <c r="G116" s="3" t="s">
        <v>35</v>
      </c>
      <c r="H116" s="3">
        <v>3</v>
      </c>
      <c r="I116" s="4">
        <v>45407</v>
      </c>
      <c r="J116" s="4">
        <v>45428</v>
      </c>
      <c r="K116" s="3">
        <v>4</v>
      </c>
      <c r="L116" s="3" t="s">
        <v>36</v>
      </c>
      <c r="M116" s="3">
        <v>29</v>
      </c>
      <c r="N116" s="3">
        <v>11</v>
      </c>
      <c r="O116" s="3">
        <v>14</v>
      </c>
      <c r="R116" s="3">
        <v>0</v>
      </c>
      <c r="S116" s="3"/>
      <c r="T116" s="3">
        <v>9.4060000000000005E-2</v>
      </c>
      <c r="U116" s="3">
        <v>8.3999999999999995E-3</v>
      </c>
      <c r="V116" s="8">
        <v>0</v>
      </c>
      <c r="W116" s="8">
        <v>0</v>
      </c>
      <c r="X116" s="8"/>
      <c r="AB116" s="3" t="str">
        <f t="shared" si="1"/>
        <v>696_66__vv</v>
      </c>
      <c r="AC116" s="3" t="str">
        <f t="shared" si="0"/>
        <v>696_66__vv_3</v>
      </c>
      <c r="AE116" s="3" t="s">
        <v>37</v>
      </c>
      <c r="AF116" s="3" t="s">
        <v>37</v>
      </c>
    </row>
    <row r="117" spans="1:32" ht="12.5">
      <c r="E117" s="3"/>
      <c r="F117" s="3"/>
      <c r="G117" s="3"/>
      <c r="L117" s="3" t="s">
        <v>38</v>
      </c>
      <c r="M117" s="3">
        <v>40</v>
      </c>
      <c r="N117" s="3">
        <v>10</v>
      </c>
      <c r="O117" s="3">
        <v>15</v>
      </c>
      <c r="R117" s="3">
        <v>0</v>
      </c>
      <c r="S117" s="3"/>
      <c r="T117" s="3">
        <v>0.12361999999999999</v>
      </c>
      <c r="U117" s="3">
        <v>2.5690000000000001E-2</v>
      </c>
      <c r="V117" s="8">
        <v>0</v>
      </c>
      <c r="W117" s="8">
        <v>0</v>
      </c>
      <c r="X117" s="8"/>
      <c r="AB117" s="3" t="str">
        <f t="shared" si="1"/>
        <v>___</v>
      </c>
      <c r="AC117" s="3" t="str">
        <f t="shared" si="0"/>
        <v>____</v>
      </c>
    </row>
    <row r="118" spans="1:32" ht="12.5">
      <c r="E118" s="3"/>
      <c r="F118" s="3"/>
      <c r="G118" s="3"/>
      <c r="L118" s="3" t="s">
        <v>39</v>
      </c>
      <c r="M118" s="3">
        <v>48</v>
      </c>
      <c r="N118" s="3">
        <v>5</v>
      </c>
      <c r="O118" s="3">
        <v>13</v>
      </c>
      <c r="R118" s="3">
        <v>0</v>
      </c>
      <c r="S118" s="3"/>
      <c r="T118" s="3">
        <v>7.9339999999999994E-2</v>
      </c>
      <c r="U118" s="3">
        <v>4.7260000000000003E-2</v>
      </c>
      <c r="V118" s="8">
        <v>0</v>
      </c>
      <c r="W118" s="8">
        <v>0</v>
      </c>
      <c r="X118" s="8"/>
      <c r="AB118" s="3" t="str">
        <f t="shared" si="1"/>
        <v>___</v>
      </c>
      <c r="AC118" s="3" t="str">
        <f t="shared" si="0"/>
        <v>____</v>
      </c>
    </row>
    <row r="119" spans="1:32" ht="12.5">
      <c r="A119" s="2">
        <v>45483</v>
      </c>
      <c r="B119" s="6">
        <v>718</v>
      </c>
      <c r="C119" s="6">
        <v>55</v>
      </c>
      <c r="D119" s="3" t="s">
        <v>33</v>
      </c>
      <c r="E119" s="3"/>
      <c r="F119" s="3" t="s">
        <v>57</v>
      </c>
      <c r="G119" s="3" t="s">
        <v>40</v>
      </c>
      <c r="H119" s="3">
        <v>1</v>
      </c>
      <c r="I119" s="4">
        <v>45564</v>
      </c>
      <c r="J119" s="4">
        <v>45407</v>
      </c>
      <c r="K119" s="3">
        <v>5</v>
      </c>
      <c r="L119" s="3" t="s">
        <v>36</v>
      </c>
      <c r="M119" s="3">
        <v>37</v>
      </c>
      <c r="N119" s="3">
        <v>6</v>
      </c>
      <c r="O119" s="3">
        <v>7</v>
      </c>
      <c r="R119" s="3">
        <v>0</v>
      </c>
      <c r="S119" s="3"/>
      <c r="T119" s="3">
        <v>3.1359999999999999E-2</v>
      </c>
      <c r="U119" s="3">
        <v>1.848E-2</v>
      </c>
      <c r="V119" s="3">
        <v>0</v>
      </c>
      <c r="W119" s="3">
        <v>0</v>
      </c>
      <c r="X119" s="3"/>
      <c r="AB119" s="3" t="str">
        <f t="shared" si="1"/>
        <v>718_55_T31-C-2_vm</v>
      </c>
      <c r="AC119" s="3" t="str">
        <f t="shared" si="0"/>
        <v>718_55_T31-C-2_vm_1</v>
      </c>
      <c r="AE119" s="3" t="s">
        <v>37</v>
      </c>
    </row>
    <row r="120" spans="1:32" ht="12.5">
      <c r="E120" s="3"/>
      <c r="F120" s="3"/>
      <c r="G120" s="3"/>
      <c r="L120" s="3" t="s">
        <v>38</v>
      </c>
      <c r="M120" s="3">
        <v>117</v>
      </c>
      <c r="N120" s="3">
        <v>0</v>
      </c>
      <c r="O120" s="3">
        <v>3</v>
      </c>
      <c r="P120" s="3">
        <v>5</v>
      </c>
      <c r="Q120" s="3">
        <v>5</v>
      </c>
      <c r="R120" s="3">
        <v>0</v>
      </c>
      <c r="S120" s="3"/>
      <c r="T120" s="3">
        <v>0</v>
      </c>
      <c r="U120" s="3">
        <v>0.15648999999999999</v>
      </c>
      <c r="V120" s="3">
        <v>0.35604000000000002</v>
      </c>
      <c r="W120" s="3">
        <v>0</v>
      </c>
      <c r="X120" s="3"/>
      <c r="AB120" s="3" t="str">
        <f t="shared" si="1"/>
        <v>___</v>
      </c>
      <c r="AC120" s="3" t="str">
        <f t="shared" si="0"/>
        <v>____</v>
      </c>
    </row>
    <row r="121" spans="1:32" ht="12.5">
      <c r="E121" s="3"/>
      <c r="F121" s="3"/>
      <c r="G121" s="3"/>
      <c r="L121" s="3" t="s">
        <v>39</v>
      </c>
      <c r="M121" s="3">
        <v>117</v>
      </c>
      <c r="N121" s="3">
        <v>0</v>
      </c>
      <c r="O121" s="3">
        <v>6</v>
      </c>
      <c r="P121" s="3">
        <v>4</v>
      </c>
      <c r="Q121" s="3">
        <v>4</v>
      </c>
      <c r="R121" s="3">
        <v>0</v>
      </c>
      <c r="S121" s="3"/>
      <c r="T121" s="3">
        <v>0</v>
      </c>
      <c r="U121" s="3">
        <v>0.24376999999999999</v>
      </c>
      <c r="V121" s="3">
        <v>0.36293999999999998</v>
      </c>
      <c r="W121" s="3">
        <v>0</v>
      </c>
      <c r="X121" s="3"/>
      <c r="AB121" s="3" t="str">
        <f t="shared" si="1"/>
        <v>___</v>
      </c>
      <c r="AC121" s="3" t="str">
        <f t="shared" si="0"/>
        <v>____</v>
      </c>
    </row>
    <row r="122" spans="1:32" ht="12.5">
      <c r="A122" s="2">
        <v>45483</v>
      </c>
      <c r="B122" s="3">
        <v>718</v>
      </c>
      <c r="C122" s="3">
        <v>55</v>
      </c>
      <c r="D122" s="3" t="s">
        <v>33</v>
      </c>
      <c r="E122" s="3"/>
      <c r="F122" s="3" t="s">
        <v>57</v>
      </c>
      <c r="G122" s="3" t="s">
        <v>40</v>
      </c>
      <c r="H122" s="3">
        <v>2</v>
      </c>
      <c r="I122" s="4">
        <v>45467</v>
      </c>
      <c r="J122" s="4">
        <v>45308</v>
      </c>
      <c r="K122" s="3">
        <v>5</v>
      </c>
      <c r="L122" s="3" t="s">
        <v>36</v>
      </c>
      <c r="M122" s="3">
        <v>78</v>
      </c>
      <c r="N122" s="3">
        <v>9</v>
      </c>
      <c r="O122" s="3">
        <v>9</v>
      </c>
      <c r="R122" s="3">
        <v>0</v>
      </c>
      <c r="S122" s="3"/>
      <c r="T122" s="3">
        <v>5.2979999999999999E-2</v>
      </c>
      <c r="U122" s="3">
        <v>3.9390000000000001E-2</v>
      </c>
      <c r="V122" s="3">
        <v>0</v>
      </c>
      <c r="W122" s="3">
        <v>0</v>
      </c>
      <c r="X122" s="3"/>
      <c r="AB122" s="3" t="str">
        <f t="shared" si="1"/>
        <v>718_55_T31-C-2_vm</v>
      </c>
      <c r="AC122" s="3" t="str">
        <f t="shared" si="0"/>
        <v>718_55_T31-C-2_vm_2</v>
      </c>
      <c r="AE122" s="3" t="s">
        <v>37</v>
      </c>
    </row>
    <row r="123" spans="1:32" ht="12.5">
      <c r="E123" s="3"/>
      <c r="F123" s="3"/>
      <c r="G123" s="3"/>
      <c r="L123" s="3" t="s">
        <v>38</v>
      </c>
      <c r="M123" s="3">
        <v>40</v>
      </c>
      <c r="N123" s="3">
        <v>0</v>
      </c>
      <c r="O123" s="3">
        <v>2</v>
      </c>
      <c r="P123" s="3">
        <v>2</v>
      </c>
      <c r="Q123" s="3">
        <v>2</v>
      </c>
      <c r="R123" s="3">
        <v>0</v>
      </c>
      <c r="S123" s="3"/>
      <c r="T123" s="3">
        <v>0</v>
      </c>
      <c r="U123" s="3">
        <v>4.5159999999999999E-2</v>
      </c>
      <c r="V123" s="3">
        <v>0.1202</v>
      </c>
      <c r="W123" s="3">
        <v>0</v>
      </c>
      <c r="X123" s="3"/>
      <c r="AB123" s="3" t="str">
        <f t="shared" si="1"/>
        <v>___</v>
      </c>
      <c r="AC123" s="3" t="str">
        <f t="shared" si="0"/>
        <v>____</v>
      </c>
    </row>
    <row r="124" spans="1:32" ht="12.5">
      <c r="E124" s="3"/>
      <c r="F124" s="3"/>
      <c r="G124" s="3"/>
      <c r="L124" s="3" t="s">
        <v>39</v>
      </c>
      <c r="M124" s="3">
        <v>35</v>
      </c>
      <c r="N124" s="3">
        <v>0</v>
      </c>
      <c r="O124" s="3">
        <v>1</v>
      </c>
      <c r="P124" s="3">
        <v>3</v>
      </c>
      <c r="Q124" s="3">
        <v>3</v>
      </c>
      <c r="R124" s="3">
        <v>0</v>
      </c>
      <c r="S124" s="3"/>
      <c r="T124" s="3">
        <v>0</v>
      </c>
      <c r="U124" s="3">
        <v>6.6699999999999995E-2</v>
      </c>
      <c r="V124" s="3">
        <v>0.36282999999999999</v>
      </c>
      <c r="W124" s="3">
        <v>0</v>
      </c>
      <c r="X124" s="3"/>
      <c r="AB124" s="3" t="str">
        <f t="shared" si="1"/>
        <v>___</v>
      </c>
      <c r="AC124" s="3" t="str">
        <f t="shared" si="0"/>
        <v>____</v>
      </c>
    </row>
    <row r="125" spans="1:32" ht="12.5">
      <c r="A125" s="2">
        <v>45483</v>
      </c>
      <c r="B125" s="3">
        <v>718</v>
      </c>
      <c r="C125" s="3">
        <v>55</v>
      </c>
      <c r="D125" s="3" t="s">
        <v>33</v>
      </c>
      <c r="E125" s="3"/>
      <c r="F125" s="3" t="s">
        <v>57</v>
      </c>
      <c r="G125" s="3" t="s">
        <v>40</v>
      </c>
      <c r="H125" s="3">
        <v>3</v>
      </c>
      <c r="I125" s="4">
        <v>45404</v>
      </c>
      <c r="J125" s="4">
        <v>45372</v>
      </c>
      <c r="K125" s="3">
        <v>8</v>
      </c>
      <c r="L125" s="3" t="s">
        <v>36</v>
      </c>
      <c r="M125" s="3">
        <v>32</v>
      </c>
      <c r="N125" s="3">
        <v>7</v>
      </c>
      <c r="O125" s="3">
        <v>8</v>
      </c>
      <c r="R125" s="3">
        <v>0</v>
      </c>
      <c r="S125" s="3"/>
      <c r="T125" s="3">
        <v>3.108E-2</v>
      </c>
      <c r="U125" s="3">
        <v>1.315E-2</v>
      </c>
      <c r="V125" s="3">
        <v>0</v>
      </c>
      <c r="W125" s="3">
        <v>0</v>
      </c>
      <c r="X125" s="3"/>
      <c r="AB125" s="3" t="str">
        <f t="shared" si="1"/>
        <v>718_55_T31-C-2_vm</v>
      </c>
      <c r="AC125" s="3" t="str">
        <f t="shared" si="0"/>
        <v>718_55_T31-C-2_vm_3</v>
      </c>
      <c r="AE125" s="3" t="s">
        <v>37</v>
      </c>
    </row>
    <row r="126" spans="1:32" ht="12.5">
      <c r="E126" s="3"/>
      <c r="F126" s="3"/>
      <c r="G126" s="3"/>
      <c r="L126" s="3" t="s">
        <v>38</v>
      </c>
      <c r="M126" s="3">
        <v>14</v>
      </c>
      <c r="N126" s="3">
        <v>0</v>
      </c>
      <c r="O126" s="3">
        <v>3</v>
      </c>
      <c r="R126" s="3">
        <v>0</v>
      </c>
      <c r="S126" s="3"/>
      <c r="T126" s="3">
        <v>0</v>
      </c>
      <c r="U126" s="3">
        <v>5.6600000000000001E-3</v>
      </c>
      <c r="V126" s="3">
        <v>0</v>
      </c>
      <c r="W126" s="3">
        <v>0</v>
      </c>
      <c r="X126" s="3"/>
      <c r="AB126" s="3" t="str">
        <f t="shared" si="1"/>
        <v>___</v>
      </c>
      <c r="AC126" s="3" t="str">
        <f t="shared" si="0"/>
        <v>____</v>
      </c>
    </row>
    <row r="127" spans="1:32" ht="12.5">
      <c r="E127" s="3"/>
      <c r="F127" s="3"/>
      <c r="G127" s="3"/>
      <c r="L127" s="3" t="s">
        <v>39</v>
      </c>
      <c r="M127" s="3">
        <v>29</v>
      </c>
      <c r="N127" s="3">
        <v>0</v>
      </c>
      <c r="O127" s="3">
        <v>2</v>
      </c>
      <c r="P127" s="3">
        <v>3</v>
      </c>
      <c r="Q127" s="3">
        <v>3</v>
      </c>
      <c r="R127" s="3">
        <v>0</v>
      </c>
      <c r="S127" s="3"/>
      <c r="T127" s="3">
        <v>0</v>
      </c>
      <c r="U127" s="3">
        <v>2.1250000000000002E-2</v>
      </c>
      <c r="V127" s="3">
        <v>6.6409999999999997E-2</v>
      </c>
      <c r="W127" s="3">
        <v>0</v>
      </c>
      <c r="X127" s="3"/>
      <c r="AB127" s="3" t="str">
        <f t="shared" si="1"/>
        <v>___</v>
      </c>
      <c r="AC127" s="3" t="str">
        <f t="shared" si="0"/>
        <v>____</v>
      </c>
    </row>
    <row r="128" spans="1:32" ht="12.5">
      <c r="A128" s="2">
        <v>45483</v>
      </c>
      <c r="B128" s="3">
        <v>718</v>
      </c>
      <c r="C128" s="3">
        <v>55</v>
      </c>
      <c r="D128" s="3" t="s">
        <v>33</v>
      </c>
      <c r="E128" s="3"/>
      <c r="F128" s="3" t="s">
        <v>57</v>
      </c>
      <c r="G128" s="3" t="s">
        <v>35</v>
      </c>
      <c r="H128" s="3">
        <v>1</v>
      </c>
      <c r="I128" s="4">
        <v>45341</v>
      </c>
      <c r="J128" s="4">
        <v>45394</v>
      </c>
      <c r="K128" s="3">
        <v>4</v>
      </c>
      <c r="L128" s="3" t="s">
        <v>36</v>
      </c>
      <c r="M128" s="3">
        <v>36</v>
      </c>
      <c r="N128" s="3">
        <v>13</v>
      </c>
      <c r="O128" s="3">
        <v>16</v>
      </c>
      <c r="R128" s="3">
        <v>0</v>
      </c>
      <c r="S128" s="3"/>
      <c r="T128" s="3">
        <v>8.7429999999999994E-2</v>
      </c>
      <c r="U128" s="3">
        <v>1.2319999999999999E-2</v>
      </c>
      <c r="V128" s="3">
        <v>0</v>
      </c>
      <c r="W128" s="3">
        <v>0</v>
      </c>
      <c r="X128" s="3"/>
      <c r="AB128" s="3" t="str">
        <f t="shared" si="1"/>
        <v>718_55_T31-C-2_vv</v>
      </c>
      <c r="AC128" s="3" t="str">
        <f t="shared" si="0"/>
        <v>718_55_T31-C-2_vv_1</v>
      </c>
      <c r="AE128" s="3" t="s">
        <v>37</v>
      </c>
    </row>
    <row r="129" spans="1:31" ht="12.5">
      <c r="E129" s="3"/>
      <c r="F129" s="3"/>
      <c r="G129" s="3"/>
      <c r="L129" s="3" t="s">
        <v>38</v>
      </c>
      <c r="M129" s="3">
        <v>35</v>
      </c>
      <c r="N129" s="3">
        <v>6</v>
      </c>
      <c r="O129" s="3">
        <v>15</v>
      </c>
      <c r="R129" s="3">
        <v>0</v>
      </c>
      <c r="S129" s="3"/>
      <c r="T129" s="3">
        <v>3.7179999999999998E-2</v>
      </c>
      <c r="U129" s="3">
        <v>1.8350000000000002E-2</v>
      </c>
      <c r="V129" s="3">
        <v>0</v>
      </c>
      <c r="W129" s="3">
        <v>0</v>
      </c>
      <c r="X129" s="3"/>
      <c r="AB129" s="3" t="str">
        <f t="shared" si="1"/>
        <v>___</v>
      </c>
      <c r="AC129" s="3" t="str">
        <f t="shared" si="0"/>
        <v>____</v>
      </c>
    </row>
    <row r="130" spans="1:31" ht="12.5">
      <c r="E130" s="3"/>
      <c r="F130" s="3"/>
      <c r="G130" s="3"/>
      <c r="L130" s="3" t="s">
        <v>39</v>
      </c>
      <c r="M130" s="3">
        <v>35</v>
      </c>
      <c r="N130" s="3">
        <v>4</v>
      </c>
      <c r="O130" s="3">
        <v>9</v>
      </c>
      <c r="R130" s="3">
        <v>0</v>
      </c>
      <c r="S130" s="3"/>
      <c r="T130" s="3">
        <v>3.884E-2</v>
      </c>
      <c r="U130" s="3">
        <v>3.1710000000000002E-2</v>
      </c>
      <c r="V130" s="3">
        <v>0</v>
      </c>
      <c r="W130" s="3">
        <v>0</v>
      </c>
      <c r="X130" s="3"/>
      <c r="AB130" s="3" t="str">
        <f t="shared" si="1"/>
        <v>___</v>
      </c>
      <c r="AC130" s="3" t="str">
        <f t="shared" si="0"/>
        <v>____</v>
      </c>
    </row>
    <row r="131" spans="1:31" ht="12.5">
      <c r="A131" s="2">
        <v>45483</v>
      </c>
      <c r="B131" s="3">
        <v>718</v>
      </c>
      <c r="C131" s="3">
        <v>55</v>
      </c>
      <c r="D131" s="3" t="s">
        <v>33</v>
      </c>
      <c r="E131" s="3"/>
      <c r="F131" s="3" t="s">
        <v>57</v>
      </c>
      <c r="G131" s="3" t="s">
        <v>35</v>
      </c>
      <c r="H131" s="3">
        <v>2</v>
      </c>
      <c r="I131" s="3">
        <v>9</v>
      </c>
      <c r="J131" s="3">
        <v>9</v>
      </c>
      <c r="K131" s="3">
        <v>4</v>
      </c>
      <c r="L131" s="3" t="s">
        <v>36</v>
      </c>
      <c r="M131" s="3">
        <v>24</v>
      </c>
      <c r="N131" s="3">
        <v>9</v>
      </c>
      <c r="O131" s="3">
        <v>11</v>
      </c>
      <c r="R131" s="3">
        <v>0</v>
      </c>
      <c r="S131" s="3"/>
      <c r="T131" s="3">
        <v>4.6030000000000001E-2</v>
      </c>
      <c r="U131" s="3">
        <v>4.9500000000000004E-3</v>
      </c>
      <c r="V131" s="3">
        <v>0</v>
      </c>
      <c r="W131" s="3">
        <v>0</v>
      </c>
      <c r="X131" s="3"/>
      <c r="AB131" s="3" t="str">
        <f t="shared" si="1"/>
        <v>718_55_T31-C-2_vv</v>
      </c>
      <c r="AC131" s="3" t="str">
        <f t="shared" si="0"/>
        <v>718_55_T31-C-2_vv_2</v>
      </c>
      <c r="AE131" s="3" t="s">
        <v>37</v>
      </c>
    </row>
    <row r="132" spans="1:31" ht="12.5">
      <c r="E132" s="3"/>
      <c r="F132" s="3"/>
      <c r="G132" s="3"/>
      <c r="L132" s="3" t="s">
        <v>38</v>
      </c>
      <c r="M132" s="3">
        <v>21</v>
      </c>
      <c r="N132" s="3">
        <v>7</v>
      </c>
      <c r="O132" s="3">
        <v>8</v>
      </c>
      <c r="R132" s="3">
        <v>0</v>
      </c>
      <c r="S132" s="3"/>
      <c r="T132" s="3">
        <v>5.0630000000000001E-2</v>
      </c>
      <c r="U132" s="3">
        <v>7.3600000000000002E-3</v>
      </c>
      <c r="V132" s="3">
        <v>0</v>
      </c>
      <c r="W132" s="3">
        <v>0</v>
      </c>
      <c r="X132" s="3"/>
      <c r="AB132" s="3" t="str">
        <f t="shared" si="1"/>
        <v>___</v>
      </c>
      <c r="AC132" s="3" t="str">
        <f t="shared" si="0"/>
        <v>____</v>
      </c>
    </row>
    <row r="133" spans="1:31" ht="12.5">
      <c r="E133" s="3"/>
      <c r="F133" s="3"/>
      <c r="G133" s="3"/>
      <c r="L133" s="3" t="s">
        <v>39</v>
      </c>
      <c r="M133" s="3">
        <v>21</v>
      </c>
      <c r="N133" s="3">
        <v>0</v>
      </c>
      <c r="O133" s="3">
        <v>12</v>
      </c>
      <c r="R133" s="3">
        <v>0</v>
      </c>
      <c r="S133" s="3"/>
      <c r="T133" s="3">
        <v>0</v>
      </c>
      <c r="U133" s="3">
        <v>1.0330000000000001E-2</v>
      </c>
      <c r="V133" s="3">
        <v>0</v>
      </c>
      <c r="W133" s="3">
        <v>0</v>
      </c>
      <c r="X133" s="3"/>
      <c r="AB133" s="3" t="str">
        <f t="shared" si="1"/>
        <v>___</v>
      </c>
      <c r="AC133" s="3" t="str">
        <f t="shared" si="0"/>
        <v>____</v>
      </c>
    </row>
    <row r="134" spans="1:31" ht="12.5">
      <c r="A134" s="2">
        <v>45483</v>
      </c>
      <c r="B134" s="3">
        <v>718</v>
      </c>
      <c r="C134" s="3">
        <v>55</v>
      </c>
      <c r="D134" s="3" t="s">
        <v>33</v>
      </c>
      <c r="E134" s="3"/>
      <c r="F134" s="3" t="s">
        <v>57</v>
      </c>
      <c r="G134" s="3" t="s">
        <v>35</v>
      </c>
      <c r="H134" s="3">
        <v>3</v>
      </c>
      <c r="I134" s="4">
        <v>45302</v>
      </c>
      <c r="J134" s="4">
        <v>45512</v>
      </c>
      <c r="K134" s="3">
        <v>2</v>
      </c>
      <c r="L134" s="3" t="s">
        <v>36</v>
      </c>
      <c r="M134" s="3">
        <v>28</v>
      </c>
      <c r="N134" s="3">
        <v>11</v>
      </c>
      <c r="O134" s="3">
        <v>13</v>
      </c>
      <c r="R134" s="3">
        <v>0</v>
      </c>
      <c r="S134" s="3"/>
      <c r="T134" s="3">
        <v>9.1289999999999996E-2</v>
      </c>
      <c r="U134" s="3">
        <v>8.6199999999999992E-3</v>
      </c>
      <c r="Y134" s="3"/>
      <c r="Z134" s="3" t="s">
        <v>56</v>
      </c>
      <c r="AB134" s="3" t="str">
        <f t="shared" si="1"/>
        <v>718_55_T31-C-2_vv</v>
      </c>
      <c r="AC134" s="3" t="str">
        <f t="shared" si="0"/>
        <v>718_55_T31-C-2_vv_3</v>
      </c>
      <c r="AE134" s="3" t="s">
        <v>37</v>
      </c>
    </row>
    <row r="135" spans="1:31" ht="12.5">
      <c r="E135" s="3"/>
      <c r="F135" s="3"/>
      <c r="G135" s="3"/>
      <c r="L135" s="3" t="s">
        <v>38</v>
      </c>
      <c r="M135" s="3">
        <v>56</v>
      </c>
      <c r="N135" s="3">
        <v>8</v>
      </c>
      <c r="O135" s="3">
        <v>13</v>
      </c>
      <c r="P135" s="3">
        <v>4</v>
      </c>
      <c r="Q135" s="3">
        <v>4</v>
      </c>
      <c r="R135" s="3">
        <v>0</v>
      </c>
      <c r="S135" s="3"/>
      <c r="T135" s="3">
        <v>6.8610000000000004E-2</v>
      </c>
      <c r="U135" s="3">
        <v>4.3430000000000003E-2</v>
      </c>
      <c r="V135" s="3">
        <v>0.14638000000000001</v>
      </c>
      <c r="W135" s="3">
        <v>0</v>
      </c>
      <c r="X135" s="3"/>
      <c r="AB135" s="3" t="str">
        <f t="shared" si="1"/>
        <v>___</v>
      </c>
      <c r="AC135" s="3" t="str">
        <f t="shared" si="0"/>
        <v>____</v>
      </c>
    </row>
    <row r="136" spans="1:31" ht="12.5">
      <c r="E136" s="3"/>
      <c r="F136" s="3"/>
      <c r="G136" s="3"/>
      <c r="L136" s="3" t="s">
        <v>39</v>
      </c>
      <c r="M136" s="3" t="s">
        <v>47</v>
      </c>
      <c r="N136" s="3" t="s">
        <v>47</v>
      </c>
      <c r="O136" s="3" t="s">
        <v>47</v>
      </c>
      <c r="R136" s="3" t="s">
        <v>47</v>
      </c>
      <c r="S136" s="3"/>
      <c r="T136" s="3" t="s">
        <v>47</v>
      </c>
      <c r="U136" s="3" t="s">
        <v>47</v>
      </c>
      <c r="V136" s="3" t="s">
        <v>47</v>
      </c>
      <c r="W136" s="3" t="s">
        <v>47</v>
      </c>
      <c r="X136" s="3"/>
      <c r="AB136" s="3" t="str">
        <f t="shared" si="1"/>
        <v>___</v>
      </c>
      <c r="AC136" s="3" t="str">
        <f t="shared" si="0"/>
        <v>____</v>
      </c>
    </row>
    <row r="137" spans="1:31" ht="12.5">
      <c r="A137" s="2">
        <v>45483</v>
      </c>
      <c r="B137" s="6">
        <v>718</v>
      </c>
      <c r="C137" s="6">
        <v>62</v>
      </c>
      <c r="D137" s="3" t="s">
        <v>33</v>
      </c>
      <c r="E137" s="3"/>
      <c r="F137" s="3" t="s">
        <v>58</v>
      </c>
      <c r="G137" s="3" t="s">
        <v>35</v>
      </c>
      <c r="H137" s="3">
        <v>1</v>
      </c>
      <c r="I137" s="4">
        <v>45518</v>
      </c>
      <c r="J137" s="4">
        <v>45454</v>
      </c>
      <c r="K137" s="3">
        <v>5</v>
      </c>
      <c r="L137" s="3" t="s">
        <v>36</v>
      </c>
      <c r="M137" s="3">
        <v>22</v>
      </c>
      <c r="N137" s="3">
        <v>10</v>
      </c>
      <c r="O137" s="3">
        <v>12</v>
      </c>
      <c r="R137" s="3">
        <v>0</v>
      </c>
      <c r="S137" s="3"/>
      <c r="T137" s="3">
        <v>3.9780000000000003E-2</v>
      </c>
      <c r="U137" s="3">
        <v>5.47E-3</v>
      </c>
      <c r="V137" s="3">
        <v>0</v>
      </c>
      <c r="W137" s="3">
        <v>0</v>
      </c>
      <c r="X137" s="3"/>
      <c r="AB137" s="3" t="str">
        <f t="shared" si="1"/>
        <v>718_62_V1-C-5_vv</v>
      </c>
      <c r="AC137" s="3" t="str">
        <f t="shared" si="0"/>
        <v>718_62_V1-C-5_vv_1</v>
      </c>
      <c r="AE137" s="3" t="s">
        <v>37</v>
      </c>
    </row>
    <row r="138" spans="1:31" ht="12.5">
      <c r="E138" s="3"/>
      <c r="F138" s="3"/>
      <c r="G138" s="3"/>
      <c r="L138" s="3" t="s">
        <v>38</v>
      </c>
      <c r="M138" s="3">
        <v>33</v>
      </c>
      <c r="N138" s="3">
        <v>10</v>
      </c>
      <c r="O138" s="3">
        <v>12</v>
      </c>
      <c r="P138" s="3">
        <v>1</v>
      </c>
      <c r="Q138" s="3">
        <v>1</v>
      </c>
      <c r="R138" s="3">
        <v>0</v>
      </c>
      <c r="S138" s="3"/>
      <c r="T138" s="3">
        <v>9.0359999999999996E-2</v>
      </c>
      <c r="U138" s="3">
        <v>2.027E-2</v>
      </c>
      <c r="V138" s="3">
        <v>1.055E-2</v>
      </c>
      <c r="W138" s="3">
        <v>0</v>
      </c>
      <c r="X138" s="3"/>
      <c r="AB138" s="3" t="str">
        <f t="shared" si="1"/>
        <v>___</v>
      </c>
      <c r="AC138" s="3" t="str">
        <f t="shared" si="0"/>
        <v>____</v>
      </c>
    </row>
    <row r="139" spans="1:31" ht="12.5">
      <c r="E139" s="3"/>
      <c r="F139" s="3"/>
      <c r="G139" s="3"/>
      <c r="L139" s="3" t="s">
        <v>39</v>
      </c>
      <c r="M139" s="3">
        <v>20</v>
      </c>
      <c r="N139" s="3">
        <v>1</v>
      </c>
      <c r="O139" s="3">
        <v>9</v>
      </c>
      <c r="R139" s="3">
        <v>0</v>
      </c>
      <c r="S139" s="3"/>
      <c r="T139" s="3">
        <v>9.4599999999999997E-3</v>
      </c>
      <c r="U139" s="3">
        <v>1.379E-2</v>
      </c>
      <c r="V139" s="3">
        <v>0</v>
      </c>
      <c r="W139" s="3">
        <v>0</v>
      </c>
      <c r="X139" s="3"/>
      <c r="AB139" s="3" t="str">
        <f t="shared" si="1"/>
        <v>___</v>
      </c>
      <c r="AC139" s="3" t="str">
        <f t="shared" si="0"/>
        <v>____</v>
      </c>
    </row>
    <row r="140" spans="1:31" ht="12.5">
      <c r="A140" s="2">
        <v>45483</v>
      </c>
      <c r="B140" s="3">
        <v>718</v>
      </c>
      <c r="C140" s="3">
        <v>62</v>
      </c>
      <c r="D140" s="3" t="s">
        <v>33</v>
      </c>
      <c r="E140" s="3"/>
      <c r="F140" s="3" t="s">
        <v>58</v>
      </c>
      <c r="G140" s="3" t="s">
        <v>35</v>
      </c>
      <c r="H140" s="3">
        <v>2</v>
      </c>
      <c r="I140" s="4">
        <v>45335</v>
      </c>
      <c r="J140" s="3">
        <v>12</v>
      </c>
      <c r="K140" s="3">
        <v>3</v>
      </c>
      <c r="L140" s="3" t="s">
        <v>36</v>
      </c>
      <c r="M140" s="3">
        <v>20</v>
      </c>
      <c r="N140" s="3">
        <v>11</v>
      </c>
      <c r="O140" s="3">
        <v>11</v>
      </c>
      <c r="R140" s="3">
        <v>0</v>
      </c>
      <c r="S140" s="3"/>
      <c r="T140" s="3">
        <v>4.3560000000000001E-2</v>
      </c>
      <c r="U140" s="3">
        <v>4.45E-3</v>
      </c>
      <c r="V140" s="3">
        <v>0</v>
      </c>
      <c r="W140" s="3">
        <v>0</v>
      </c>
      <c r="X140" s="3"/>
      <c r="AB140" s="3" t="str">
        <f t="shared" si="1"/>
        <v>718_62_V1-C-5_vv</v>
      </c>
      <c r="AC140" s="3" t="str">
        <f t="shared" si="0"/>
        <v>718_62_V1-C-5_vv_2</v>
      </c>
      <c r="AE140" s="3" t="s">
        <v>37</v>
      </c>
    </row>
    <row r="141" spans="1:31" ht="12.5">
      <c r="E141" s="3"/>
      <c r="F141" s="3"/>
      <c r="G141" s="3"/>
      <c r="L141" s="3" t="s">
        <v>38</v>
      </c>
      <c r="M141" s="3">
        <v>45</v>
      </c>
      <c r="N141" s="3">
        <v>11</v>
      </c>
      <c r="O141" s="3">
        <v>15</v>
      </c>
      <c r="R141" s="3">
        <v>0</v>
      </c>
      <c r="S141" s="3"/>
      <c r="T141" s="3">
        <v>0.17347000000000001</v>
      </c>
      <c r="U141" s="3">
        <v>2.4989999999999998E-2</v>
      </c>
      <c r="V141" s="3">
        <v>0</v>
      </c>
      <c r="W141" s="3">
        <v>0</v>
      </c>
      <c r="X141" s="3"/>
      <c r="AB141" s="3" t="str">
        <f t="shared" si="1"/>
        <v>___</v>
      </c>
      <c r="AC141" s="3" t="str">
        <f t="shared" si="0"/>
        <v>____</v>
      </c>
    </row>
    <row r="142" spans="1:31" ht="12.5">
      <c r="E142" s="3"/>
      <c r="F142" s="3"/>
      <c r="G142" s="3"/>
      <c r="L142" s="3" t="s">
        <v>39</v>
      </c>
      <c r="M142" s="3">
        <v>55</v>
      </c>
      <c r="N142" s="3">
        <v>2</v>
      </c>
      <c r="O142" s="3">
        <v>7</v>
      </c>
      <c r="R142" s="3">
        <v>0</v>
      </c>
      <c r="S142" s="3"/>
      <c r="T142" s="3">
        <v>1.375E-2</v>
      </c>
      <c r="U142" s="3">
        <v>3.4119999999999998E-2</v>
      </c>
      <c r="V142" s="3">
        <v>0</v>
      </c>
      <c r="W142" s="3">
        <v>0</v>
      </c>
      <c r="X142" s="3"/>
      <c r="AB142" s="3" t="str">
        <f t="shared" si="1"/>
        <v>___</v>
      </c>
      <c r="AC142" s="3" t="str">
        <f t="shared" si="0"/>
        <v>____</v>
      </c>
    </row>
    <row r="143" spans="1:31" ht="12.5">
      <c r="A143" s="2">
        <v>45483</v>
      </c>
      <c r="B143" s="3">
        <v>718</v>
      </c>
      <c r="C143" s="3">
        <v>62</v>
      </c>
      <c r="D143" s="3" t="s">
        <v>33</v>
      </c>
      <c r="E143" s="3"/>
      <c r="F143" s="3" t="s">
        <v>58</v>
      </c>
      <c r="G143" s="3" t="s">
        <v>35</v>
      </c>
      <c r="H143" s="3">
        <v>3</v>
      </c>
      <c r="I143" s="4">
        <v>45485</v>
      </c>
      <c r="J143" s="4">
        <v>45419</v>
      </c>
      <c r="K143" s="3">
        <v>2</v>
      </c>
      <c r="L143" s="3" t="s">
        <v>36</v>
      </c>
      <c r="M143" s="3">
        <v>35</v>
      </c>
      <c r="N143" s="3">
        <v>9</v>
      </c>
      <c r="O143" s="3">
        <v>12</v>
      </c>
      <c r="R143" s="3">
        <v>0</v>
      </c>
      <c r="S143" s="3"/>
      <c r="T143" s="3">
        <v>8.6379999999999998E-2</v>
      </c>
      <c r="U143" s="3">
        <v>9.5300000000000003E-3</v>
      </c>
      <c r="V143" s="3">
        <v>0</v>
      </c>
      <c r="W143" s="3">
        <v>0</v>
      </c>
      <c r="X143" s="3"/>
      <c r="AB143" s="3" t="str">
        <f t="shared" si="1"/>
        <v>718_62_V1-C-5_vv</v>
      </c>
      <c r="AC143" s="3" t="str">
        <f t="shared" si="0"/>
        <v>718_62_V1-C-5_vv_3</v>
      </c>
      <c r="AE143" s="3" t="s">
        <v>37</v>
      </c>
    </row>
    <row r="144" spans="1:31" ht="12.5">
      <c r="E144" s="3"/>
      <c r="F144" s="3"/>
      <c r="G144" s="3"/>
      <c r="L144" s="3" t="s">
        <v>38</v>
      </c>
      <c r="M144" s="3">
        <v>39</v>
      </c>
      <c r="N144" s="3">
        <v>6</v>
      </c>
      <c r="O144" s="3">
        <v>9</v>
      </c>
      <c r="R144" s="3">
        <v>0</v>
      </c>
      <c r="S144" s="3"/>
      <c r="T144" s="3">
        <v>4.274E-2</v>
      </c>
      <c r="U144" s="3">
        <v>2.2970000000000001E-2</v>
      </c>
      <c r="V144" s="3">
        <v>0</v>
      </c>
      <c r="W144" s="3">
        <v>0</v>
      </c>
      <c r="X144" s="3"/>
      <c r="AB144" s="3" t="str">
        <f t="shared" si="1"/>
        <v>___</v>
      </c>
      <c r="AC144" s="3" t="str">
        <f t="shared" si="0"/>
        <v>____</v>
      </c>
    </row>
    <row r="145" spans="1:32" ht="12.5">
      <c r="E145" s="3"/>
      <c r="F145" s="3"/>
      <c r="G145" s="3"/>
      <c r="L145" s="3" t="s">
        <v>39</v>
      </c>
      <c r="M145" s="3" t="s">
        <v>47</v>
      </c>
      <c r="N145" s="3" t="s">
        <v>47</v>
      </c>
      <c r="O145" s="3" t="s">
        <v>47</v>
      </c>
      <c r="R145" s="3" t="s">
        <v>47</v>
      </c>
      <c r="S145" s="3"/>
      <c r="T145" s="7" t="s">
        <v>47</v>
      </c>
      <c r="U145" s="7" t="s">
        <v>47</v>
      </c>
      <c r="V145" s="7" t="s">
        <v>47</v>
      </c>
      <c r="W145" s="7" t="s">
        <v>47</v>
      </c>
      <c r="X145" s="7"/>
      <c r="Y145" s="3"/>
      <c r="Z145" s="7" t="s">
        <v>56</v>
      </c>
      <c r="AB145" s="3" t="str">
        <f t="shared" si="1"/>
        <v>___</v>
      </c>
      <c r="AC145" s="3" t="str">
        <f t="shared" si="0"/>
        <v>____</v>
      </c>
    </row>
    <row r="146" spans="1:32" ht="12.5">
      <c r="A146" s="2">
        <v>45483</v>
      </c>
      <c r="B146" s="3">
        <v>718</v>
      </c>
      <c r="C146" s="3">
        <v>62</v>
      </c>
      <c r="D146" s="3" t="s">
        <v>33</v>
      </c>
      <c r="E146" s="3"/>
      <c r="F146" s="3" t="s">
        <v>58</v>
      </c>
      <c r="G146" s="3" t="s">
        <v>40</v>
      </c>
      <c r="H146" s="3">
        <v>1</v>
      </c>
      <c r="I146" s="3">
        <v>15</v>
      </c>
      <c r="J146" s="4">
        <v>45331</v>
      </c>
      <c r="K146" s="3">
        <v>3</v>
      </c>
      <c r="L146" s="3" t="s">
        <v>36</v>
      </c>
      <c r="M146" s="3">
        <v>21</v>
      </c>
      <c r="N146" s="3">
        <v>6</v>
      </c>
      <c r="O146" s="3">
        <v>6</v>
      </c>
      <c r="R146" s="3">
        <v>0</v>
      </c>
      <c r="S146" s="3"/>
      <c r="T146" s="3">
        <v>1.137E-2</v>
      </c>
      <c r="U146" s="3">
        <v>5.0899999999999999E-3</v>
      </c>
      <c r="V146" s="3">
        <v>0</v>
      </c>
      <c r="W146" s="3">
        <v>0</v>
      </c>
      <c r="X146" s="3"/>
      <c r="AB146" s="3" t="str">
        <f t="shared" si="1"/>
        <v>718_62_V1-C-5_vm</v>
      </c>
      <c r="AC146" s="3" t="str">
        <f t="shared" si="0"/>
        <v>718_62_V1-C-5_vm_1</v>
      </c>
      <c r="AE146" s="3" t="s">
        <v>37</v>
      </c>
    </row>
    <row r="147" spans="1:32" ht="12.5">
      <c r="E147" s="3"/>
      <c r="F147" s="3"/>
      <c r="G147" s="3"/>
      <c r="L147" s="3" t="s">
        <v>38</v>
      </c>
      <c r="M147" s="3">
        <v>45</v>
      </c>
      <c r="N147" s="3">
        <v>0</v>
      </c>
      <c r="O147" s="3">
        <v>2</v>
      </c>
      <c r="P147" s="3">
        <v>3</v>
      </c>
      <c r="Q147" s="3">
        <v>3</v>
      </c>
      <c r="R147" s="3">
        <v>0</v>
      </c>
      <c r="S147" s="3"/>
      <c r="T147" s="3">
        <v>0</v>
      </c>
      <c r="U147" s="3">
        <v>2.681E-2</v>
      </c>
      <c r="V147" s="3">
        <v>4.2680000000000003E-2</v>
      </c>
      <c r="W147" s="3">
        <v>0</v>
      </c>
      <c r="X147" s="3"/>
      <c r="AB147" s="3" t="str">
        <f t="shared" si="1"/>
        <v>___</v>
      </c>
      <c r="AC147" s="3" t="str">
        <f t="shared" si="0"/>
        <v>____</v>
      </c>
    </row>
    <row r="148" spans="1:32" ht="12.5">
      <c r="E148" s="3"/>
      <c r="F148" s="3"/>
      <c r="G148" s="3"/>
      <c r="L148" s="3" t="s">
        <v>39</v>
      </c>
      <c r="M148" s="3">
        <v>30</v>
      </c>
      <c r="N148" s="3">
        <v>0</v>
      </c>
      <c r="O148" s="3">
        <v>4</v>
      </c>
      <c r="R148" s="3">
        <v>0</v>
      </c>
      <c r="S148" s="3"/>
      <c r="T148" s="3">
        <v>0</v>
      </c>
      <c r="U148" s="3">
        <v>2.6370000000000001E-2</v>
      </c>
      <c r="V148" s="3">
        <v>0</v>
      </c>
      <c r="W148" s="3">
        <v>0</v>
      </c>
      <c r="X148" s="3"/>
      <c r="AB148" s="3" t="str">
        <f t="shared" si="1"/>
        <v>___</v>
      </c>
      <c r="AC148" s="3" t="str">
        <f t="shared" si="0"/>
        <v>____</v>
      </c>
    </row>
    <row r="149" spans="1:32" ht="12.5">
      <c r="A149" s="2">
        <v>45483</v>
      </c>
      <c r="B149" s="3">
        <v>718</v>
      </c>
      <c r="C149" s="3">
        <v>62</v>
      </c>
      <c r="D149" s="3" t="s">
        <v>33</v>
      </c>
      <c r="E149" s="3"/>
      <c r="F149" s="3" t="s">
        <v>58</v>
      </c>
      <c r="G149" s="3" t="s">
        <v>40</v>
      </c>
      <c r="H149" s="3">
        <v>2</v>
      </c>
      <c r="I149" s="3">
        <v>10</v>
      </c>
      <c r="J149" s="4">
        <v>45543</v>
      </c>
      <c r="K149" s="3">
        <v>2</v>
      </c>
      <c r="L149" s="3" t="s">
        <v>36</v>
      </c>
      <c r="M149" s="3">
        <v>42</v>
      </c>
      <c r="N149" s="3">
        <v>6</v>
      </c>
      <c r="O149" s="3">
        <v>6</v>
      </c>
      <c r="R149" s="3">
        <v>0</v>
      </c>
      <c r="S149" s="3"/>
      <c r="T149" s="3">
        <v>2.401E-2</v>
      </c>
      <c r="U149" s="3">
        <v>1.712E-2</v>
      </c>
      <c r="V149" s="3">
        <v>0</v>
      </c>
      <c r="W149" s="3">
        <v>0</v>
      </c>
      <c r="X149" s="3"/>
      <c r="AB149" s="3" t="str">
        <f t="shared" si="1"/>
        <v>718_62_V1-C-5_vm</v>
      </c>
      <c r="AC149" s="3" t="str">
        <f t="shared" si="0"/>
        <v>718_62_V1-C-5_vm_2</v>
      </c>
      <c r="AE149" s="3" t="s">
        <v>37</v>
      </c>
    </row>
    <row r="150" spans="1:32" ht="12.5">
      <c r="E150" s="3"/>
      <c r="F150" s="3"/>
      <c r="G150" s="3"/>
      <c r="L150" s="3" t="s">
        <v>38</v>
      </c>
      <c r="M150" s="3">
        <v>48</v>
      </c>
      <c r="N150" s="3">
        <v>0</v>
      </c>
      <c r="O150" s="3">
        <v>4</v>
      </c>
      <c r="P150" s="3">
        <v>3</v>
      </c>
      <c r="Q150" s="3">
        <v>1</v>
      </c>
      <c r="R150" s="3">
        <v>0</v>
      </c>
      <c r="S150" s="3"/>
      <c r="T150" s="3">
        <v>0</v>
      </c>
      <c r="U150" s="3">
        <v>3.6880000000000003E-2</v>
      </c>
      <c r="V150" s="3">
        <v>1.2760000000000001E-2</v>
      </c>
      <c r="W150" s="3">
        <v>0</v>
      </c>
      <c r="X150" s="3"/>
      <c r="Y150" s="3"/>
      <c r="Z150" s="3" t="s">
        <v>59</v>
      </c>
      <c r="AB150" s="3" t="str">
        <f t="shared" si="1"/>
        <v>___</v>
      </c>
      <c r="AC150" s="3" t="str">
        <f t="shared" si="0"/>
        <v>____</v>
      </c>
    </row>
    <row r="151" spans="1:32" ht="12.5">
      <c r="E151" s="3"/>
      <c r="F151" s="3"/>
      <c r="G151" s="3"/>
      <c r="L151" s="3" t="s">
        <v>39</v>
      </c>
      <c r="M151" s="3" t="s">
        <v>47</v>
      </c>
      <c r="N151" s="3" t="s">
        <v>47</v>
      </c>
      <c r="O151" s="3" t="s">
        <v>47</v>
      </c>
      <c r="R151" s="3" t="s">
        <v>47</v>
      </c>
      <c r="S151" s="3"/>
      <c r="T151" s="3" t="s">
        <v>47</v>
      </c>
      <c r="U151" s="3" t="s">
        <v>47</v>
      </c>
      <c r="V151" s="3" t="s">
        <v>47</v>
      </c>
      <c r="W151" s="3" t="s">
        <v>47</v>
      </c>
      <c r="X151" s="3"/>
      <c r="Y151" s="3"/>
      <c r="Z151" s="3" t="s">
        <v>56</v>
      </c>
      <c r="AB151" s="3" t="str">
        <f t="shared" si="1"/>
        <v>___</v>
      </c>
      <c r="AC151" s="3" t="str">
        <f t="shared" si="0"/>
        <v>____</v>
      </c>
    </row>
    <row r="152" spans="1:32" ht="12.5">
      <c r="A152" s="2">
        <v>45483</v>
      </c>
      <c r="B152" s="3">
        <v>718</v>
      </c>
      <c r="C152" s="3">
        <v>62</v>
      </c>
      <c r="D152" s="3" t="s">
        <v>33</v>
      </c>
      <c r="E152" s="3"/>
      <c r="F152" s="3" t="s">
        <v>58</v>
      </c>
      <c r="G152" s="3" t="s">
        <v>40</v>
      </c>
      <c r="H152" s="3">
        <v>3</v>
      </c>
      <c r="I152" s="4">
        <v>45306</v>
      </c>
      <c r="J152" s="4">
        <v>45304</v>
      </c>
      <c r="K152" s="3">
        <v>5</v>
      </c>
      <c r="L152" s="3" t="s">
        <v>36</v>
      </c>
      <c r="M152" s="3">
        <v>31</v>
      </c>
      <c r="N152" s="3">
        <v>6</v>
      </c>
      <c r="O152" s="3">
        <v>6</v>
      </c>
      <c r="R152" s="3">
        <v>0</v>
      </c>
      <c r="S152" s="3"/>
      <c r="T152" s="3">
        <v>2.887E-2</v>
      </c>
      <c r="U152" s="3">
        <v>1.4449999999999999E-2</v>
      </c>
      <c r="V152" s="3">
        <v>0</v>
      </c>
      <c r="W152" s="3">
        <v>0</v>
      </c>
      <c r="X152" s="3"/>
      <c r="AB152" s="3" t="str">
        <f t="shared" si="1"/>
        <v>718_62_V1-C-5_vm</v>
      </c>
      <c r="AC152" s="3" t="str">
        <f t="shared" si="0"/>
        <v>718_62_V1-C-5_vm_3</v>
      </c>
      <c r="AE152" s="3" t="s">
        <v>37</v>
      </c>
    </row>
    <row r="153" spans="1:32" ht="12.5">
      <c r="E153" s="3"/>
      <c r="F153" s="3"/>
      <c r="G153" s="3"/>
      <c r="L153" s="3" t="s">
        <v>38</v>
      </c>
      <c r="M153" s="3">
        <v>54</v>
      </c>
      <c r="N153" s="3">
        <v>0</v>
      </c>
      <c r="O153" s="3">
        <v>3</v>
      </c>
      <c r="P153" s="3">
        <v>2</v>
      </c>
      <c r="Q153" s="3">
        <v>1</v>
      </c>
      <c r="R153" s="3">
        <v>0</v>
      </c>
      <c r="S153" s="3"/>
      <c r="T153" s="3">
        <v>0</v>
      </c>
      <c r="U153" s="3">
        <v>4.3900000000000002E-2</v>
      </c>
      <c r="V153" s="3">
        <v>2.426E-2</v>
      </c>
      <c r="W153" s="3">
        <v>0</v>
      </c>
      <c r="X153" s="3"/>
      <c r="Y153" s="3"/>
      <c r="Z153" s="3" t="s">
        <v>60</v>
      </c>
      <c r="AB153" s="3" t="str">
        <f t="shared" si="1"/>
        <v>___</v>
      </c>
      <c r="AC153" s="3" t="str">
        <f t="shared" si="0"/>
        <v>____</v>
      </c>
    </row>
    <row r="154" spans="1:32" ht="12.5">
      <c r="E154" s="3"/>
      <c r="F154" s="3"/>
      <c r="G154" s="3"/>
      <c r="L154" s="3" t="s">
        <v>39</v>
      </c>
      <c r="M154" s="3">
        <v>32</v>
      </c>
      <c r="N154" s="3">
        <v>0</v>
      </c>
      <c r="O154" s="3">
        <v>2</v>
      </c>
      <c r="P154" s="3">
        <v>2</v>
      </c>
      <c r="Q154" s="3">
        <v>1</v>
      </c>
      <c r="R154" s="3">
        <v>0</v>
      </c>
      <c r="S154" s="3"/>
      <c r="T154" s="3">
        <v>0</v>
      </c>
      <c r="U154" s="3">
        <v>3.4709999999999998E-2</v>
      </c>
      <c r="V154" s="3">
        <v>8.301E-2</v>
      </c>
      <c r="W154" s="3">
        <v>0</v>
      </c>
      <c r="X154" s="3"/>
      <c r="Y154" s="3"/>
      <c r="Z154" s="3" t="s">
        <v>60</v>
      </c>
      <c r="AB154" s="3" t="str">
        <f t="shared" si="1"/>
        <v>___</v>
      </c>
      <c r="AC154" s="3" t="str">
        <f t="shared" si="0"/>
        <v>____</v>
      </c>
    </row>
    <row r="155" spans="1:32" ht="12.5">
      <c r="A155" s="2">
        <v>45483</v>
      </c>
      <c r="B155" s="6">
        <v>622</v>
      </c>
      <c r="C155" s="6">
        <v>35</v>
      </c>
      <c r="D155" s="3" t="s">
        <v>33</v>
      </c>
      <c r="E155" s="3"/>
      <c r="F155" s="3" t="s">
        <v>44</v>
      </c>
      <c r="G155" s="3" t="s">
        <v>40</v>
      </c>
      <c r="H155" s="3">
        <v>1</v>
      </c>
      <c r="I155" s="4">
        <v>45401</v>
      </c>
      <c r="J155" s="4">
        <v>45492</v>
      </c>
      <c r="K155" s="3">
        <v>5</v>
      </c>
      <c r="L155" s="3" t="s">
        <v>36</v>
      </c>
      <c r="M155" s="3">
        <v>31</v>
      </c>
      <c r="N155" s="3">
        <v>5</v>
      </c>
      <c r="O155" s="3">
        <v>5</v>
      </c>
      <c r="R155" s="3">
        <v>0</v>
      </c>
      <c r="S155" s="3"/>
      <c r="T155" s="3">
        <v>0.97089999999999999</v>
      </c>
      <c r="U155" s="3">
        <v>1.068E-2</v>
      </c>
      <c r="V155" s="3">
        <v>0</v>
      </c>
      <c r="W155" s="3">
        <v>0</v>
      </c>
      <c r="X155" s="3"/>
      <c r="AB155" s="3" t="str">
        <f t="shared" si="1"/>
        <v>622_35_T4-C-1_vm</v>
      </c>
      <c r="AC155" s="3" t="str">
        <f t="shared" si="0"/>
        <v>622_35_T4-C-1_vm_1</v>
      </c>
      <c r="AE155" s="3" t="s">
        <v>37</v>
      </c>
      <c r="AF155" s="3" t="s">
        <v>37</v>
      </c>
    </row>
    <row r="156" spans="1:32" ht="12.5">
      <c r="E156" s="3"/>
      <c r="F156" s="3"/>
      <c r="G156" s="3"/>
      <c r="L156" s="3" t="s">
        <v>38</v>
      </c>
      <c r="M156" s="3">
        <v>74</v>
      </c>
      <c r="N156" s="3">
        <v>0</v>
      </c>
      <c r="O156" s="3">
        <v>7</v>
      </c>
      <c r="P156" s="3">
        <v>4</v>
      </c>
      <c r="Q156" s="3">
        <v>4</v>
      </c>
      <c r="R156" s="3">
        <v>0</v>
      </c>
      <c r="S156" s="3"/>
      <c r="T156" s="3">
        <v>7.1029999999999996E-2</v>
      </c>
      <c r="U156" s="3">
        <v>3.5610000000000003E-2</v>
      </c>
      <c r="V156" s="3">
        <v>0</v>
      </c>
      <c r="W156" s="3">
        <v>0</v>
      </c>
      <c r="X156" s="3"/>
      <c r="AB156" s="3" t="str">
        <f t="shared" si="1"/>
        <v>___</v>
      </c>
      <c r="AC156" s="3" t="str">
        <f t="shared" si="0"/>
        <v>____</v>
      </c>
    </row>
    <row r="157" spans="1:32" ht="12.5">
      <c r="E157" s="3"/>
      <c r="F157" s="3"/>
      <c r="G157" s="3"/>
      <c r="L157" s="3" t="s">
        <v>39</v>
      </c>
      <c r="M157" s="3">
        <v>52</v>
      </c>
      <c r="N157" s="3">
        <v>0</v>
      </c>
      <c r="O157" s="3">
        <v>7</v>
      </c>
      <c r="P157" s="3">
        <v>1</v>
      </c>
      <c r="Q157" s="3">
        <v>1</v>
      </c>
      <c r="R157" s="3">
        <v>0</v>
      </c>
      <c r="S157" s="3"/>
      <c r="T157" s="3">
        <v>0</v>
      </c>
      <c r="U157" s="3">
        <v>1.6709999999999999E-2</v>
      </c>
      <c r="V157" s="3">
        <v>0</v>
      </c>
      <c r="W157" s="3">
        <v>0</v>
      </c>
      <c r="X157" s="3"/>
      <c r="AB157" s="3" t="str">
        <f t="shared" si="1"/>
        <v>___</v>
      </c>
      <c r="AC157" s="3" t="str">
        <f t="shared" si="0"/>
        <v>____</v>
      </c>
    </row>
    <row r="158" spans="1:32" ht="12.5">
      <c r="A158" s="2">
        <v>45483</v>
      </c>
      <c r="B158" s="3">
        <v>622</v>
      </c>
      <c r="C158" s="3">
        <v>35</v>
      </c>
      <c r="D158" s="3" t="s">
        <v>33</v>
      </c>
      <c r="E158" s="3"/>
      <c r="F158" s="3" t="s">
        <v>44</v>
      </c>
      <c r="G158" s="3" t="s">
        <v>40</v>
      </c>
      <c r="H158" s="3">
        <v>2</v>
      </c>
      <c r="I158" s="4">
        <v>45314</v>
      </c>
      <c r="J158" s="4">
        <v>45339</v>
      </c>
      <c r="K158" s="3">
        <v>5</v>
      </c>
      <c r="L158" s="3" t="s">
        <v>36</v>
      </c>
      <c r="M158" s="3">
        <v>43</v>
      </c>
      <c r="N158" s="3">
        <v>5</v>
      </c>
      <c r="O158" s="3">
        <v>5</v>
      </c>
      <c r="R158" s="3">
        <v>0</v>
      </c>
      <c r="S158" s="3"/>
      <c r="T158" s="3">
        <v>8.9249999999999996E-2</v>
      </c>
      <c r="U158" s="3">
        <v>8.6300000000000005E-3</v>
      </c>
      <c r="V158" s="3">
        <v>0</v>
      </c>
      <c r="W158" s="3">
        <v>0</v>
      </c>
      <c r="X158" s="3"/>
      <c r="AB158" s="3" t="str">
        <f t="shared" si="1"/>
        <v>622_35_T4-C-1_vm</v>
      </c>
      <c r="AC158" s="3" t="str">
        <f t="shared" si="0"/>
        <v>622_35_T4-C-1_vm_2</v>
      </c>
      <c r="AE158" s="3" t="s">
        <v>37</v>
      </c>
      <c r="AF158" s="3" t="s">
        <v>37</v>
      </c>
    </row>
    <row r="159" spans="1:32" ht="12.5">
      <c r="E159" s="3"/>
      <c r="F159" s="3"/>
      <c r="G159" s="3"/>
      <c r="L159" s="3" t="s">
        <v>38</v>
      </c>
      <c r="M159" s="3">
        <v>69</v>
      </c>
      <c r="N159" s="3">
        <v>0</v>
      </c>
      <c r="O159" s="3">
        <v>3</v>
      </c>
      <c r="P159" s="3">
        <v>3</v>
      </c>
      <c r="Q159" s="3">
        <v>3</v>
      </c>
      <c r="R159" s="3">
        <v>0</v>
      </c>
      <c r="S159" s="3"/>
      <c r="T159" s="3">
        <v>0.12529000000000001</v>
      </c>
      <c r="U159" s="3">
        <v>1.6029999999999999E-2</v>
      </c>
      <c r="V159" s="3">
        <v>3.9989999999999998E-2</v>
      </c>
      <c r="W159" s="3">
        <v>0</v>
      </c>
      <c r="X159" s="3"/>
      <c r="AB159" s="3" t="str">
        <f t="shared" si="1"/>
        <v>___</v>
      </c>
      <c r="AC159" s="3" t="str">
        <f t="shared" si="0"/>
        <v>____</v>
      </c>
    </row>
    <row r="160" spans="1:32" ht="12.5">
      <c r="E160" s="3"/>
      <c r="F160" s="3"/>
      <c r="G160" s="3"/>
      <c r="L160" s="3" t="s">
        <v>39</v>
      </c>
      <c r="M160" s="3">
        <v>22</v>
      </c>
      <c r="N160" s="3">
        <v>0</v>
      </c>
      <c r="O160" s="3">
        <v>2</v>
      </c>
      <c r="R160" s="3">
        <v>0</v>
      </c>
      <c r="S160" s="3"/>
      <c r="T160" s="3">
        <v>0</v>
      </c>
      <c r="U160" s="3">
        <v>3.9890000000000002E-2</v>
      </c>
      <c r="V160" s="3">
        <v>0</v>
      </c>
      <c r="W160" s="3">
        <v>0</v>
      </c>
      <c r="X160" s="3"/>
      <c r="AB160" s="3" t="str">
        <f t="shared" si="1"/>
        <v>___</v>
      </c>
      <c r="AC160" s="3" t="str">
        <f t="shared" si="0"/>
        <v>____</v>
      </c>
    </row>
    <row r="161" spans="1:32" ht="12.5">
      <c r="A161" s="2">
        <v>45483</v>
      </c>
      <c r="B161" s="3">
        <v>622</v>
      </c>
      <c r="C161" s="3">
        <v>35</v>
      </c>
      <c r="D161" s="3" t="s">
        <v>33</v>
      </c>
      <c r="E161" s="3"/>
      <c r="F161" s="3" t="s">
        <v>44</v>
      </c>
      <c r="G161" s="3" t="s">
        <v>40</v>
      </c>
      <c r="H161" s="3">
        <v>3</v>
      </c>
      <c r="I161" s="4">
        <v>45494</v>
      </c>
      <c r="J161" s="3">
        <v>16</v>
      </c>
      <c r="K161" s="3">
        <v>5</v>
      </c>
      <c r="L161" s="3" t="s">
        <v>36</v>
      </c>
      <c r="M161" s="3">
        <v>52</v>
      </c>
      <c r="N161" s="3">
        <v>6</v>
      </c>
      <c r="O161" s="3">
        <v>6</v>
      </c>
      <c r="R161" s="3">
        <v>0</v>
      </c>
      <c r="S161" s="3"/>
      <c r="T161" s="3">
        <v>7.5850000000000001E-2</v>
      </c>
      <c r="U161" s="3">
        <v>1.294E-2</v>
      </c>
      <c r="V161" s="3">
        <v>0</v>
      </c>
      <c r="W161" s="3">
        <v>0</v>
      </c>
      <c r="X161" s="3"/>
      <c r="AB161" s="3" t="str">
        <f t="shared" si="1"/>
        <v>622_35_T4-C-1_vm</v>
      </c>
      <c r="AC161" s="3" t="str">
        <f t="shared" si="0"/>
        <v>622_35_T4-C-1_vm_3</v>
      </c>
      <c r="AE161" s="3" t="s">
        <v>37</v>
      </c>
      <c r="AF161" s="3" t="s">
        <v>37</v>
      </c>
    </row>
    <row r="162" spans="1:32" ht="12.5">
      <c r="E162" s="3"/>
      <c r="F162" s="3"/>
      <c r="G162" s="3"/>
      <c r="L162" s="3" t="s">
        <v>38</v>
      </c>
      <c r="M162" s="3">
        <v>35</v>
      </c>
      <c r="N162" s="3">
        <v>0</v>
      </c>
      <c r="O162" s="3">
        <v>3</v>
      </c>
      <c r="P162" s="3">
        <v>3</v>
      </c>
      <c r="Q162" s="3">
        <v>2</v>
      </c>
      <c r="R162" s="3">
        <v>0</v>
      </c>
      <c r="S162" s="3"/>
      <c r="T162" s="3">
        <v>9.783E-2</v>
      </c>
      <c r="U162" s="3">
        <v>3.7249999999999998E-2</v>
      </c>
      <c r="V162" s="3">
        <v>0</v>
      </c>
      <c r="W162" s="3">
        <v>0</v>
      </c>
      <c r="X162" s="3"/>
      <c r="Y162" s="3"/>
      <c r="Z162" s="3" t="s">
        <v>60</v>
      </c>
      <c r="AB162" s="3" t="str">
        <f t="shared" si="1"/>
        <v>___</v>
      </c>
      <c r="AC162" s="3" t="str">
        <f t="shared" si="0"/>
        <v>____</v>
      </c>
    </row>
    <row r="163" spans="1:32" ht="12.5">
      <c r="E163" s="3"/>
      <c r="F163" s="3"/>
      <c r="G163" s="3"/>
      <c r="L163" s="3" t="s">
        <v>39</v>
      </c>
      <c r="M163" s="3">
        <v>35</v>
      </c>
      <c r="N163" s="3">
        <v>0</v>
      </c>
      <c r="O163" s="3">
        <v>2</v>
      </c>
      <c r="P163" s="3">
        <v>2</v>
      </c>
      <c r="Q163" s="3">
        <v>2</v>
      </c>
      <c r="R163" s="3">
        <v>0</v>
      </c>
      <c r="S163" s="3"/>
      <c r="T163" s="3">
        <v>0</v>
      </c>
      <c r="U163" s="3">
        <v>2.232E-2</v>
      </c>
      <c r="V163" s="3">
        <v>0</v>
      </c>
      <c r="W163" s="3">
        <v>0</v>
      </c>
      <c r="X163" s="3"/>
      <c r="AB163" s="3" t="str">
        <f t="shared" si="1"/>
        <v>___</v>
      </c>
      <c r="AC163" s="3" t="str">
        <f t="shared" si="0"/>
        <v>____</v>
      </c>
    </row>
    <row r="164" spans="1:32" ht="12.5">
      <c r="A164" s="2">
        <v>45483</v>
      </c>
      <c r="B164" s="3">
        <v>622</v>
      </c>
      <c r="C164" s="3">
        <v>35</v>
      </c>
      <c r="D164" s="3" t="s">
        <v>33</v>
      </c>
      <c r="E164" s="3"/>
      <c r="F164" s="3" t="s">
        <v>44</v>
      </c>
      <c r="G164" s="3" t="s">
        <v>35</v>
      </c>
      <c r="H164" s="3">
        <v>1</v>
      </c>
      <c r="I164" s="4">
        <v>45460</v>
      </c>
      <c r="J164" s="4">
        <v>45334</v>
      </c>
      <c r="K164" s="3">
        <v>3</v>
      </c>
      <c r="L164" s="3" t="s">
        <v>36</v>
      </c>
      <c r="M164" s="3">
        <v>35</v>
      </c>
      <c r="N164" s="3">
        <v>13</v>
      </c>
      <c r="O164" s="3">
        <v>15</v>
      </c>
      <c r="R164" s="3">
        <v>0</v>
      </c>
      <c r="S164" s="3"/>
      <c r="T164" s="3">
        <v>3.32E-2</v>
      </c>
      <c r="U164" s="3">
        <v>1.4959999999999999E-2</v>
      </c>
      <c r="V164" s="3">
        <v>0</v>
      </c>
      <c r="W164" s="3">
        <v>0</v>
      </c>
      <c r="X164" s="3"/>
      <c r="AB164" s="3" t="str">
        <f t="shared" si="1"/>
        <v>622_35_T4-C-1_vv</v>
      </c>
      <c r="AC164" s="3" t="str">
        <f t="shared" si="0"/>
        <v>622_35_T4-C-1_vv_1</v>
      </c>
      <c r="AE164" s="3" t="s">
        <v>37</v>
      </c>
      <c r="AF164" s="3" t="s">
        <v>37</v>
      </c>
    </row>
    <row r="165" spans="1:32" ht="12.5">
      <c r="E165" s="3"/>
      <c r="F165" s="3"/>
      <c r="G165" s="3"/>
      <c r="L165" s="3" t="s">
        <v>38</v>
      </c>
      <c r="M165" s="3">
        <v>55</v>
      </c>
      <c r="N165" s="3">
        <v>0</v>
      </c>
      <c r="O165" s="3">
        <v>10</v>
      </c>
      <c r="R165" s="3">
        <v>0</v>
      </c>
      <c r="S165" s="3"/>
      <c r="T165" s="3">
        <v>0</v>
      </c>
      <c r="U165" s="3">
        <v>7.9350000000000004E-2</v>
      </c>
      <c r="V165" s="3">
        <v>8.3970000000000003E-2</v>
      </c>
      <c r="W165" s="3">
        <v>0</v>
      </c>
      <c r="X165" s="3"/>
      <c r="AB165" s="3" t="str">
        <f t="shared" si="1"/>
        <v>___</v>
      </c>
      <c r="AC165" s="3" t="str">
        <f t="shared" si="0"/>
        <v>____</v>
      </c>
    </row>
    <row r="166" spans="1:32" ht="12.5">
      <c r="E166" s="3"/>
      <c r="F166" s="3"/>
      <c r="G166" s="3"/>
      <c r="L166" s="3" t="s">
        <v>39</v>
      </c>
      <c r="M166" s="3">
        <v>32</v>
      </c>
      <c r="N166" s="3">
        <v>0</v>
      </c>
      <c r="O166" s="3">
        <v>8</v>
      </c>
      <c r="R166" s="3">
        <v>0</v>
      </c>
      <c r="S166" s="3"/>
      <c r="T166" s="3">
        <v>0</v>
      </c>
      <c r="U166" s="3">
        <v>0.10212</v>
      </c>
      <c r="V166" s="3">
        <v>0.20558999999999999</v>
      </c>
      <c r="W166" s="3">
        <v>0</v>
      </c>
      <c r="X166" s="3"/>
      <c r="AB166" s="3" t="str">
        <f t="shared" si="1"/>
        <v>___</v>
      </c>
      <c r="AC166" s="3" t="str">
        <f t="shared" si="0"/>
        <v>____</v>
      </c>
    </row>
    <row r="167" spans="1:32" ht="12.5">
      <c r="A167" s="2">
        <v>45483</v>
      </c>
      <c r="B167" s="3">
        <v>622</v>
      </c>
      <c r="C167" s="3">
        <v>35</v>
      </c>
      <c r="D167" s="3" t="s">
        <v>33</v>
      </c>
      <c r="E167" s="3"/>
      <c r="F167" s="3" t="s">
        <v>44</v>
      </c>
      <c r="G167" s="3" t="s">
        <v>35</v>
      </c>
      <c r="H167" s="3">
        <v>2</v>
      </c>
      <c r="I167" s="4">
        <v>45425</v>
      </c>
      <c r="J167" s="4">
        <v>45301</v>
      </c>
      <c r="K167" s="3">
        <v>3</v>
      </c>
      <c r="L167" s="3" t="s">
        <v>36</v>
      </c>
      <c r="M167" s="3">
        <v>25</v>
      </c>
      <c r="N167" s="3">
        <v>13</v>
      </c>
      <c r="O167" s="3">
        <v>15</v>
      </c>
      <c r="R167" s="3">
        <v>0</v>
      </c>
      <c r="S167" s="3"/>
      <c r="T167" s="3">
        <v>3.5049999999999998E-2</v>
      </c>
      <c r="U167" s="3">
        <v>2.666E-2</v>
      </c>
      <c r="V167" s="3">
        <v>0</v>
      </c>
      <c r="W167" s="3">
        <v>0</v>
      </c>
      <c r="X167" s="3"/>
      <c r="AB167" s="3" t="str">
        <f t="shared" si="1"/>
        <v>622_35_T4-C-1_vv</v>
      </c>
      <c r="AC167" s="3" t="str">
        <f t="shared" si="0"/>
        <v>622_35_T4-C-1_vv_2</v>
      </c>
      <c r="AE167" s="3" t="s">
        <v>37</v>
      </c>
      <c r="AF167" s="3" t="s">
        <v>37</v>
      </c>
    </row>
    <row r="168" spans="1:32" ht="12.5">
      <c r="E168" s="3"/>
      <c r="F168" s="3"/>
      <c r="G168" s="3"/>
      <c r="L168" s="3" t="s">
        <v>38</v>
      </c>
      <c r="M168" s="3">
        <v>25</v>
      </c>
      <c r="N168" s="3">
        <v>7</v>
      </c>
      <c r="O168" s="3">
        <v>11</v>
      </c>
      <c r="P168" s="3">
        <v>1</v>
      </c>
      <c r="Q168" s="3">
        <v>1</v>
      </c>
      <c r="R168" s="3">
        <v>0</v>
      </c>
      <c r="S168" s="3"/>
      <c r="T168" s="3">
        <v>0</v>
      </c>
      <c r="U168" s="3">
        <v>9.9669999999999995E-2</v>
      </c>
      <c r="V168" s="3">
        <v>0.19142999999999999</v>
      </c>
      <c r="W168" s="3">
        <v>0</v>
      </c>
      <c r="X168" s="3"/>
      <c r="Y168" s="3"/>
      <c r="Z168" s="3" t="s">
        <v>55</v>
      </c>
      <c r="AB168" s="3" t="str">
        <f t="shared" si="1"/>
        <v>___</v>
      </c>
      <c r="AC168" s="3" t="str">
        <f t="shared" si="0"/>
        <v>____</v>
      </c>
    </row>
    <row r="169" spans="1:32" ht="12.5">
      <c r="E169" s="3"/>
      <c r="F169" s="3"/>
      <c r="G169" s="3"/>
      <c r="L169" s="3" t="s">
        <v>39</v>
      </c>
      <c r="M169" s="3">
        <v>48</v>
      </c>
      <c r="N169" s="3">
        <v>0</v>
      </c>
      <c r="O169" s="3">
        <v>11</v>
      </c>
      <c r="R169" s="3">
        <v>0</v>
      </c>
      <c r="S169" s="3"/>
      <c r="T169" s="3">
        <v>0</v>
      </c>
      <c r="U169" s="3">
        <v>3.4869999999999998E-2</v>
      </c>
      <c r="V169" s="3">
        <v>0</v>
      </c>
      <c r="W169" s="3">
        <v>0</v>
      </c>
      <c r="X169" s="3"/>
      <c r="AB169" s="3" t="str">
        <f t="shared" si="1"/>
        <v>___</v>
      </c>
      <c r="AC169" s="3" t="str">
        <f t="shared" si="0"/>
        <v>____</v>
      </c>
    </row>
    <row r="170" spans="1:32" ht="12.5">
      <c r="A170" s="2">
        <v>45483</v>
      </c>
      <c r="B170" s="3">
        <v>622</v>
      </c>
      <c r="C170" s="3">
        <v>35</v>
      </c>
      <c r="D170" s="3" t="s">
        <v>33</v>
      </c>
      <c r="E170" s="3"/>
      <c r="F170" s="3" t="s">
        <v>44</v>
      </c>
      <c r="G170" s="3" t="s">
        <v>35</v>
      </c>
      <c r="H170" s="3">
        <v>3</v>
      </c>
      <c r="I170" s="3">
        <v>21</v>
      </c>
      <c r="J170" s="3">
        <v>16</v>
      </c>
      <c r="K170" s="3">
        <v>3</v>
      </c>
      <c r="L170" s="3" t="s">
        <v>36</v>
      </c>
      <c r="M170" s="3">
        <v>45</v>
      </c>
      <c r="N170" s="3">
        <v>11</v>
      </c>
      <c r="O170" s="3">
        <v>15</v>
      </c>
      <c r="R170" s="3">
        <v>0</v>
      </c>
      <c r="S170" s="3"/>
      <c r="T170" s="3">
        <v>4.8140000000000002E-2</v>
      </c>
      <c r="U170" s="3">
        <v>3.3070000000000002E-2</v>
      </c>
      <c r="V170" s="3">
        <v>0</v>
      </c>
      <c r="W170" s="3">
        <v>0</v>
      </c>
      <c r="X170" s="3"/>
      <c r="AB170" s="3" t="str">
        <f t="shared" si="1"/>
        <v>622_35_T4-C-1_vv</v>
      </c>
      <c r="AC170" s="3" t="str">
        <f t="shared" si="0"/>
        <v>622_35_T4-C-1_vv_3</v>
      </c>
      <c r="AE170" s="3" t="s">
        <v>37</v>
      </c>
      <c r="AF170" s="3" t="s">
        <v>37</v>
      </c>
    </row>
    <row r="171" spans="1:32" ht="12.5">
      <c r="E171" s="3"/>
      <c r="F171" s="3"/>
      <c r="G171" s="3"/>
      <c r="L171" s="3" t="s">
        <v>38</v>
      </c>
      <c r="M171" s="3">
        <v>67</v>
      </c>
      <c r="N171" s="3">
        <v>5</v>
      </c>
      <c r="O171" s="3">
        <v>13</v>
      </c>
      <c r="R171" s="3">
        <v>0</v>
      </c>
      <c r="S171" s="3"/>
      <c r="T171" s="3">
        <v>0</v>
      </c>
      <c r="U171" s="3">
        <v>3.73E-2</v>
      </c>
      <c r="V171" s="3">
        <v>0.11751</v>
      </c>
      <c r="W171" s="3">
        <v>0</v>
      </c>
      <c r="X171" s="3"/>
      <c r="AB171" s="3" t="str">
        <f t="shared" si="1"/>
        <v>___</v>
      </c>
      <c r="AC171" s="3" t="str">
        <f t="shared" si="0"/>
        <v>____</v>
      </c>
    </row>
    <row r="172" spans="1:32" ht="12.5">
      <c r="E172" s="3"/>
      <c r="F172" s="3"/>
      <c r="G172" s="3"/>
      <c r="L172" s="3" t="s">
        <v>39</v>
      </c>
      <c r="M172" s="3">
        <v>43</v>
      </c>
      <c r="N172" s="3">
        <v>0</v>
      </c>
      <c r="O172" s="3">
        <v>4</v>
      </c>
      <c r="R172" s="3">
        <v>0</v>
      </c>
      <c r="S172" s="3"/>
      <c r="T172" s="3">
        <v>0</v>
      </c>
      <c r="U172" s="3">
        <v>4.8890000000000003E-2</v>
      </c>
      <c r="V172" s="3">
        <v>0.10514</v>
      </c>
      <c r="W172" s="3">
        <v>0</v>
      </c>
      <c r="X172" s="3"/>
      <c r="AB172" s="3" t="str">
        <f t="shared" si="1"/>
        <v>___</v>
      </c>
      <c r="AC172" s="3" t="str">
        <f t="shared" si="0"/>
        <v>____</v>
      </c>
    </row>
    <row r="173" spans="1:32" ht="12.5">
      <c r="A173" s="2">
        <v>45483</v>
      </c>
      <c r="B173" s="6">
        <v>622</v>
      </c>
      <c r="C173" s="6">
        <v>46</v>
      </c>
      <c r="D173" s="3" t="s">
        <v>33</v>
      </c>
      <c r="E173" s="3"/>
      <c r="F173" s="3" t="s">
        <v>61</v>
      </c>
      <c r="G173" s="3" t="s">
        <v>40</v>
      </c>
      <c r="H173" s="3">
        <v>1</v>
      </c>
      <c r="I173" s="4">
        <v>45314</v>
      </c>
      <c r="J173" s="4">
        <v>45397</v>
      </c>
      <c r="K173" s="3">
        <v>4</v>
      </c>
      <c r="L173" s="3" t="s">
        <v>36</v>
      </c>
      <c r="M173" s="3">
        <v>49</v>
      </c>
      <c r="N173" s="3">
        <v>8</v>
      </c>
      <c r="O173" s="3">
        <v>8</v>
      </c>
      <c r="R173" s="3">
        <v>0</v>
      </c>
      <c r="S173" s="3"/>
      <c r="T173" s="3">
        <v>5.5019999999999999E-2</v>
      </c>
      <c r="U173" s="3">
        <v>3.1530000000000002E-2</v>
      </c>
      <c r="V173" s="3">
        <v>0</v>
      </c>
      <c r="W173" s="3">
        <v>0</v>
      </c>
      <c r="X173" s="3"/>
      <c r="AB173" s="3" t="str">
        <f t="shared" si="1"/>
        <v>622_46_T2-C-1_vm</v>
      </c>
      <c r="AC173" s="3" t="str">
        <f t="shared" si="0"/>
        <v>622_46_T2-C-1_vm_1</v>
      </c>
      <c r="AE173" s="3" t="s">
        <v>37</v>
      </c>
      <c r="AF173" s="3" t="s">
        <v>37</v>
      </c>
    </row>
    <row r="174" spans="1:32" ht="12.5">
      <c r="E174" s="3"/>
      <c r="F174" s="3"/>
      <c r="G174" s="3"/>
      <c r="L174" s="3" t="s">
        <v>38</v>
      </c>
      <c r="M174" s="3">
        <v>71</v>
      </c>
      <c r="N174" s="3">
        <v>0</v>
      </c>
      <c r="O174" s="3">
        <v>2</v>
      </c>
      <c r="P174" s="3">
        <v>5</v>
      </c>
      <c r="Q174" s="3">
        <v>3</v>
      </c>
      <c r="R174" s="3">
        <v>0</v>
      </c>
      <c r="S174" s="3"/>
      <c r="T174" s="3">
        <v>0</v>
      </c>
      <c r="U174" s="3">
        <v>0.10177</v>
      </c>
      <c r="V174" s="3">
        <v>0.18512999999999999</v>
      </c>
      <c r="W174" s="3">
        <v>0</v>
      </c>
      <c r="X174" s="3"/>
      <c r="Y174" s="3"/>
      <c r="Z174" s="3" t="s">
        <v>62</v>
      </c>
      <c r="AB174" s="3" t="str">
        <f t="shared" si="1"/>
        <v>___</v>
      </c>
      <c r="AC174" s="3" t="str">
        <f t="shared" si="0"/>
        <v>____</v>
      </c>
    </row>
    <row r="175" spans="1:32" ht="12.5">
      <c r="E175" s="3"/>
      <c r="F175" s="3"/>
      <c r="G175" s="3"/>
      <c r="L175" s="3" t="s">
        <v>39</v>
      </c>
      <c r="M175" s="3">
        <v>7</v>
      </c>
      <c r="N175" s="3">
        <v>0</v>
      </c>
      <c r="O175" s="3">
        <v>1</v>
      </c>
      <c r="R175" s="3">
        <v>0</v>
      </c>
      <c r="S175" s="3"/>
      <c r="T175" s="3">
        <v>0</v>
      </c>
      <c r="U175" s="3">
        <v>1.6E-2</v>
      </c>
      <c r="V175" s="3">
        <v>0</v>
      </c>
      <c r="W175" s="3">
        <v>0</v>
      </c>
      <c r="X175" s="3"/>
      <c r="AB175" s="3" t="str">
        <f t="shared" si="1"/>
        <v>___</v>
      </c>
      <c r="AC175" s="3" t="str">
        <f t="shared" si="0"/>
        <v>____</v>
      </c>
    </row>
    <row r="176" spans="1:32" ht="12.5">
      <c r="A176" s="2">
        <v>45483</v>
      </c>
      <c r="B176" s="3">
        <v>622</v>
      </c>
      <c r="C176" s="3">
        <v>46</v>
      </c>
      <c r="D176" s="3" t="s">
        <v>33</v>
      </c>
      <c r="E176" s="3"/>
      <c r="F176" s="3" t="s">
        <v>61</v>
      </c>
      <c r="G176" s="3" t="s">
        <v>40</v>
      </c>
      <c r="H176" s="3">
        <v>2</v>
      </c>
      <c r="I176" s="4">
        <v>45424</v>
      </c>
      <c r="J176" s="4">
        <v>45546</v>
      </c>
      <c r="K176" s="3">
        <v>5</v>
      </c>
      <c r="L176" s="3" t="s">
        <v>36</v>
      </c>
      <c r="M176" s="3">
        <v>13</v>
      </c>
      <c r="N176" s="3">
        <v>4</v>
      </c>
      <c r="O176" s="3">
        <v>5</v>
      </c>
      <c r="R176" s="3">
        <v>0</v>
      </c>
      <c r="S176" s="3"/>
      <c r="T176" s="3">
        <v>6.9699999999999996E-3</v>
      </c>
      <c r="U176" s="3">
        <v>2.0899999999999998E-3</v>
      </c>
      <c r="V176" s="3">
        <v>0</v>
      </c>
      <c r="W176" s="3">
        <v>0</v>
      </c>
      <c r="X176" s="3"/>
      <c r="AB176" s="3" t="str">
        <f t="shared" si="1"/>
        <v>622_46_T2-C-1_vm</v>
      </c>
      <c r="AC176" s="3" t="str">
        <f t="shared" si="0"/>
        <v>622_46_T2-C-1_vm_2</v>
      </c>
      <c r="AE176" s="3" t="s">
        <v>37</v>
      </c>
      <c r="AF176" s="3" t="s">
        <v>37</v>
      </c>
    </row>
    <row r="177" spans="1:32" ht="12.5">
      <c r="E177" s="3"/>
      <c r="F177" s="3"/>
      <c r="G177" s="3"/>
      <c r="L177" s="3" t="s">
        <v>38</v>
      </c>
      <c r="M177" s="3">
        <v>21</v>
      </c>
      <c r="N177" s="3">
        <v>4</v>
      </c>
      <c r="O177" s="3">
        <v>3</v>
      </c>
      <c r="P177" s="3">
        <v>1</v>
      </c>
      <c r="Q177" s="3">
        <v>1</v>
      </c>
      <c r="R177" s="3">
        <v>0</v>
      </c>
      <c r="S177" s="3"/>
      <c r="T177" s="3">
        <v>0</v>
      </c>
      <c r="U177" s="3">
        <v>4.1700000000000001E-3</v>
      </c>
      <c r="V177" s="3">
        <v>1.7899999999999999E-3</v>
      </c>
      <c r="W177" s="3">
        <v>0</v>
      </c>
      <c r="X177" s="3"/>
      <c r="AB177" s="3" t="str">
        <f t="shared" si="1"/>
        <v>___</v>
      </c>
      <c r="AC177" s="3" t="str">
        <f t="shared" si="0"/>
        <v>____</v>
      </c>
    </row>
    <row r="178" spans="1:32" ht="12.5">
      <c r="E178" s="3"/>
      <c r="F178" s="3"/>
      <c r="G178" s="3"/>
      <c r="L178" s="3" t="s">
        <v>39</v>
      </c>
      <c r="M178" s="3">
        <v>10</v>
      </c>
      <c r="N178" s="3">
        <v>0</v>
      </c>
      <c r="O178" s="3">
        <v>4</v>
      </c>
      <c r="P178" s="3">
        <v>1</v>
      </c>
      <c r="Q178" s="3">
        <v>1</v>
      </c>
      <c r="R178" s="3">
        <v>0</v>
      </c>
      <c r="S178" s="3"/>
      <c r="T178" s="3">
        <v>0</v>
      </c>
      <c r="U178" s="3">
        <v>3.31E-3</v>
      </c>
      <c r="V178" s="3">
        <v>8.7100000000000007E-3</v>
      </c>
      <c r="W178" s="3">
        <v>0</v>
      </c>
      <c r="X178" s="3"/>
      <c r="AB178" s="3" t="str">
        <f t="shared" si="1"/>
        <v>___</v>
      </c>
      <c r="AC178" s="3" t="str">
        <f t="shared" si="0"/>
        <v>____</v>
      </c>
    </row>
    <row r="179" spans="1:32" ht="12.5">
      <c r="A179" s="2">
        <v>45483</v>
      </c>
      <c r="B179" s="3">
        <v>622</v>
      </c>
      <c r="C179" s="3">
        <v>46</v>
      </c>
      <c r="D179" s="3" t="s">
        <v>33</v>
      </c>
      <c r="E179" s="3"/>
      <c r="F179" s="3" t="s">
        <v>61</v>
      </c>
      <c r="G179" s="3" t="s">
        <v>40</v>
      </c>
      <c r="H179" s="3">
        <v>3</v>
      </c>
      <c r="I179" s="4">
        <v>45367</v>
      </c>
      <c r="J179" s="4">
        <v>45399</v>
      </c>
      <c r="K179" s="3">
        <v>6</v>
      </c>
      <c r="L179" s="3" t="s">
        <v>36</v>
      </c>
      <c r="M179" s="3">
        <v>20</v>
      </c>
      <c r="N179" s="3">
        <v>6</v>
      </c>
      <c r="O179" s="3">
        <v>6</v>
      </c>
      <c r="R179" s="3">
        <v>0</v>
      </c>
      <c r="S179" s="3"/>
      <c r="T179" s="3">
        <v>2.674E-2</v>
      </c>
      <c r="U179" s="3">
        <v>6.4799999999999996E-3</v>
      </c>
      <c r="V179" s="3">
        <v>0</v>
      </c>
      <c r="W179" s="3">
        <v>0</v>
      </c>
      <c r="X179" s="3"/>
      <c r="AB179" s="3" t="str">
        <f t="shared" si="1"/>
        <v>622_46_T2-C-1_vm</v>
      </c>
      <c r="AC179" s="3" t="str">
        <f t="shared" si="0"/>
        <v>622_46_T2-C-1_vm_3</v>
      </c>
      <c r="AE179" s="3" t="s">
        <v>37</v>
      </c>
      <c r="AF179" s="3" t="s">
        <v>37</v>
      </c>
    </row>
    <row r="180" spans="1:32" ht="12.5">
      <c r="E180" s="3"/>
      <c r="F180" s="3"/>
      <c r="G180" s="3"/>
      <c r="L180" s="3" t="s">
        <v>38</v>
      </c>
      <c r="M180" s="3">
        <v>36</v>
      </c>
      <c r="N180" s="3">
        <v>0</v>
      </c>
      <c r="O180" s="3">
        <v>3</v>
      </c>
      <c r="P180" s="3">
        <v>3</v>
      </c>
      <c r="Q180" s="3">
        <v>2</v>
      </c>
      <c r="R180" s="3">
        <v>0</v>
      </c>
      <c r="S180" s="3"/>
      <c r="T180" s="3">
        <v>0</v>
      </c>
      <c r="U180" s="3">
        <v>2.7359999999999999E-2</v>
      </c>
      <c r="V180" s="3">
        <v>3.9109999999999999E-2</v>
      </c>
      <c r="W180" s="3">
        <v>0</v>
      </c>
      <c r="X180" s="3"/>
      <c r="Y180" s="3"/>
      <c r="Z180" s="3" t="s">
        <v>60</v>
      </c>
      <c r="AB180" s="3" t="str">
        <f t="shared" si="1"/>
        <v>___</v>
      </c>
      <c r="AC180" s="3" t="str">
        <f t="shared" si="0"/>
        <v>____</v>
      </c>
    </row>
    <row r="181" spans="1:32" ht="12.5">
      <c r="E181" s="3"/>
      <c r="F181" s="3"/>
      <c r="G181" s="3"/>
      <c r="L181" s="3" t="s">
        <v>39</v>
      </c>
      <c r="M181" s="3">
        <v>41</v>
      </c>
      <c r="N181" s="3">
        <v>0</v>
      </c>
      <c r="O181" s="3">
        <v>4</v>
      </c>
      <c r="P181" s="3">
        <v>2</v>
      </c>
      <c r="Q181" s="3">
        <v>2</v>
      </c>
      <c r="R181" s="3">
        <v>0</v>
      </c>
      <c r="S181" s="3"/>
      <c r="T181" s="3">
        <v>0</v>
      </c>
      <c r="U181" s="3">
        <v>4.0689999999999997E-2</v>
      </c>
      <c r="V181" s="3">
        <v>0.11638</v>
      </c>
      <c r="W181" s="3">
        <v>0</v>
      </c>
      <c r="X181" s="3"/>
      <c r="AB181" s="3" t="str">
        <f t="shared" si="1"/>
        <v>___</v>
      </c>
      <c r="AC181" s="3" t="str">
        <f t="shared" si="0"/>
        <v>____</v>
      </c>
    </row>
    <row r="182" spans="1:32" ht="12.5">
      <c r="A182" s="2">
        <v>45483</v>
      </c>
      <c r="B182" s="3">
        <v>622</v>
      </c>
      <c r="C182" s="3">
        <v>46</v>
      </c>
      <c r="D182" s="3" t="s">
        <v>33</v>
      </c>
      <c r="E182" s="3"/>
      <c r="F182" s="3" t="s">
        <v>61</v>
      </c>
      <c r="G182" s="3" t="s">
        <v>35</v>
      </c>
      <c r="H182" s="3">
        <v>1</v>
      </c>
      <c r="I182" s="4">
        <v>45427</v>
      </c>
      <c r="J182" s="3">
        <v>11</v>
      </c>
      <c r="K182" s="3">
        <v>7</v>
      </c>
      <c r="L182" s="3" t="s">
        <v>36</v>
      </c>
      <c r="M182" s="3">
        <v>11</v>
      </c>
      <c r="N182" s="3">
        <v>7</v>
      </c>
      <c r="O182" s="3">
        <v>7</v>
      </c>
      <c r="R182" s="3">
        <v>0</v>
      </c>
      <c r="S182" s="3"/>
      <c r="T182" s="3">
        <v>1.1950000000000001E-2</v>
      </c>
      <c r="U182" s="3">
        <v>1.34E-3</v>
      </c>
      <c r="V182" s="3">
        <v>0</v>
      </c>
      <c r="W182" s="3">
        <v>0</v>
      </c>
      <c r="X182" s="3"/>
      <c r="AB182" s="3" t="str">
        <f t="shared" si="1"/>
        <v>622_46_T2-C-1_vv</v>
      </c>
      <c r="AC182" s="3" t="str">
        <f t="shared" si="0"/>
        <v>622_46_T2-C-1_vv_1</v>
      </c>
      <c r="AE182" s="3" t="s">
        <v>37</v>
      </c>
      <c r="AF182" s="3" t="s">
        <v>37</v>
      </c>
    </row>
    <row r="183" spans="1:32" ht="12.5">
      <c r="E183" s="3"/>
      <c r="F183" s="3"/>
      <c r="G183" s="3"/>
      <c r="L183" s="3" t="s">
        <v>38</v>
      </c>
      <c r="M183" s="3">
        <v>21</v>
      </c>
      <c r="N183" s="3">
        <v>7</v>
      </c>
      <c r="O183" s="3">
        <v>9</v>
      </c>
      <c r="R183" s="3">
        <v>0</v>
      </c>
      <c r="S183" s="3"/>
      <c r="T183" s="3">
        <v>8.4029999999999994E-2</v>
      </c>
      <c r="U183" s="3">
        <v>6.5900000000000004E-3</v>
      </c>
      <c r="V183" s="3">
        <v>0</v>
      </c>
      <c r="W183" s="3">
        <v>0</v>
      </c>
      <c r="X183" s="3"/>
      <c r="AB183" s="3" t="str">
        <f t="shared" si="1"/>
        <v>___</v>
      </c>
      <c r="AC183" s="3" t="str">
        <f t="shared" si="0"/>
        <v>____</v>
      </c>
    </row>
    <row r="184" spans="1:32" ht="12.5">
      <c r="E184" s="3"/>
      <c r="F184" s="3"/>
      <c r="G184" s="3"/>
      <c r="L184" s="3" t="s">
        <v>39</v>
      </c>
      <c r="M184" s="3">
        <v>20</v>
      </c>
      <c r="N184" s="3">
        <v>3</v>
      </c>
      <c r="O184" s="3">
        <v>5</v>
      </c>
      <c r="R184" s="3">
        <v>0</v>
      </c>
      <c r="S184" s="3"/>
      <c r="T184" s="3">
        <v>3.304E-2</v>
      </c>
      <c r="U184" s="3">
        <v>7.9799999999999992E-3</v>
      </c>
      <c r="V184" s="3">
        <v>0</v>
      </c>
      <c r="W184" s="3">
        <v>0</v>
      </c>
      <c r="X184" s="3"/>
      <c r="AB184" s="3" t="str">
        <f t="shared" si="1"/>
        <v>___</v>
      </c>
      <c r="AC184" s="3" t="str">
        <f t="shared" si="0"/>
        <v>____</v>
      </c>
    </row>
    <row r="185" spans="1:32" ht="12.5">
      <c r="A185" s="2">
        <v>45483</v>
      </c>
      <c r="B185" s="3">
        <v>622</v>
      </c>
      <c r="C185" s="3">
        <v>46</v>
      </c>
      <c r="D185" s="3" t="s">
        <v>33</v>
      </c>
      <c r="E185" s="3"/>
      <c r="F185" s="3" t="s">
        <v>61</v>
      </c>
      <c r="G185" s="3" t="s">
        <v>35</v>
      </c>
      <c r="H185" s="3">
        <v>2</v>
      </c>
      <c r="I185" s="4">
        <v>45515</v>
      </c>
      <c r="J185" s="4">
        <v>45358</v>
      </c>
      <c r="K185" s="3">
        <v>5</v>
      </c>
      <c r="L185" s="3" t="s">
        <v>36</v>
      </c>
      <c r="M185" s="3">
        <v>7</v>
      </c>
      <c r="N185" s="3">
        <v>8</v>
      </c>
      <c r="O185" s="3">
        <v>8</v>
      </c>
      <c r="R185" s="3">
        <v>0</v>
      </c>
      <c r="S185" s="3"/>
      <c r="T185" s="3">
        <v>1.4489999999999999E-2</v>
      </c>
      <c r="U185" s="3">
        <v>7.3999999999999999E-4</v>
      </c>
      <c r="V185" s="3">
        <v>0</v>
      </c>
      <c r="W185" s="3">
        <v>0</v>
      </c>
      <c r="X185" s="3"/>
      <c r="AB185" s="3" t="str">
        <f t="shared" si="1"/>
        <v>622_46_T2-C-1_vv</v>
      </c>
      <c r="AC185" s="3" t="str">
        <f t="shared" si="0"/>
        <v>622_46_T2-C-1_vv_2</v>
      </c>
      <c r="AE185" s="3" t="s">
        <v>37</v>
      </c>
      <c r="AF185" s="3" t="s">
        <v>37</v>
      </c>
    </row>
    <row r="186" spans="1:32" ht="12.5">
      <c r="E186" s="3"/>
      <c r="F186" s="3"/>
      <c r="G186" s="3"/>
      <c r="L186" s="3" t="s">
        <v>38</v>
      </c>
      <c r="M186" s="3">
        <v>19</v>
      </c>
      <c r="N186" s="3">
        <v>6</v>
      </c>
      <c r="O186" s="3">
        <v>7</v>
      </c>
      <c r="R186" s="3">
        <v>0</v>
      </c>
      <c r="S186" s="3"/>
      <c r="T186" s="3">
        <v>5.6279999999999997E-2</v>
      </c>
      <c r="U186" s="3">
        <v>3.65E-3</v>
      </c>
      <c r="V186" s="3">
        <v>0</v>
      </c>
      <c r="W186" s="3">
        <v>0</v>
      </c>
      <c r="X186" s="3"/>
      <c r="AB186" s="3" t="str">
        <f t="shared" si="1"/>
        <v>___</v>
      </c>
      <c r="AC186" s="3" t="str">
        <f t="shared" si="0"/>
        <v>____</v>
      </c>
    </row>
    <row r="187" spans="1:32" ht="12.5">
      <c r="E187" s="3"/>
      <c r="F187" s="3"/>
      <c r="G187" s="3"/>
      <c r="L187" s="3" t="s">
        <v>39</v>
      </c>
      <c r="M187" s="3">
        <v>21</v>
      </c>
      <c r="N187" s="3">
        <v>1</v>
      </c>
      <c r="O187" s="3">
        <v>6</v>
      </c>
      <c r="R187" s="3">
        <v>0</v>
      </c>
      <c r="S187" s="3"/>
      <c r="T187" s="3">
        <v>1.306E-2</v>
      </c>
      <c r="U187" s="3">
        <v>8.0599999999999995E-3</v>
      </c>
      <c r="V187" s="3">
        <v>0</v>
      </c>
      <c r="W187" s="3">
        <v>0</v>
      </c>
      <c r="X187" s="3"/>
      <c r="AB187" s="3" t="str">
        <f t="shared" si="1"/>
        <v>___</v>
      </c>
      <c r="AC187" s="3" t="str">
        <f t="shared" si="0"/>
        <v>____</v>
      </c>
    </row>
    <row r="188" spans="1:32" ht="12.5">
      <c r="A188" s="2">
        <v>45483</v>
      </c>
      <c r="B188" s="3">
        <v>622</v>
      </c>
      <c r="C188" s="3">
        <v>46</v>
      </c>
      <c r="D188" s="3" t="s">
        <v>33</v>
      </c>
      <c r="E188" s="3"/>
      <c r="F188" s="3" t="s">
        <v>61</v>
      </c>
      <c r="G188" s="3" t="s">
        <v>35</v>
      </c>
      <c r="H188" s="3">
        <v>3</v>
      </c>
      <c r="I188" s="4">
        <v>45456</v>
      </c>
      <c r="J188" s="4">
        <v>45546</v>
      </c>
      <c r="K188" s="3">
        <v>5</v>
      </c>
      <c r="L188" s="3" t="s">
        <v>36</v>
      </c>
      <c r="M188" s="3">
        <v>17</v>
      </c>
      <c r="N188" s="3">
        <v>8</v>
      </c>
      <c r="O188" s="3">
        <v>9</v>
      </c>
      <c r="R188" s="3">
        <v>0</v>
      </c>
      <c r="S188" s="3"/>
      <c r="T188" s="3">
        <v>9.1660000000000005E-2</v>
      </c>
      <c r="U188" s="3">
        <v>5.5100000000000001E-3</v>
      </c>
      <c r="V188" s="3">
        <v>0</v>
      </c>
      <c r="W188" s="3">
        <v>0</v>
      </c>
      <c r="X188" s="3"/>
      <c r="AB188" s="3" t="str">
        <f t="shared" si="1"/>
        <v>622_46_T2-C-1_vv</v>
      </c>
      <c r="AC188" s="3" t="str">
        <f t="shared" si="0"/>
        <v>622_46_T2-C-1_vv_3</v>
      </c>
      <c r="AE188" s="3" t="s">
        <v>37</v>
      </c>
      <c r="AF188" s="3" t="s">
        <v>37</v>
      </c>
    </row>
    <row r="189" spans="1:32" ht="12.5">
      <c r="E189" s="3"/>
      <c r="F189" s="3"/>
      <c r="G189" s="3"/>
      <c r="L189" s="3" t="s">
        <v>38</v>
      </c>
      <c r="M189" s="3">
        <v>14</v>
      </c>
      <c r="N189" s="3">
        <v>6</v>
      </c>
      <c r="O189" s="3">
        <v>8</v>
      </c>
      <c r="R189" s="3">
        <v>0</v>
      </c>
      <c r="S189" s="3"/>
      <c r="T189" s="3">
        <v>4.836E-2</v>
      </c>
      <c r="U189" s="3">
        <v>2.5400000000000002E-3</v>
      </c>
      <c r="V189" s="3">
        <v>0</v>
      </c>
      <c r="W189" s="3">
        <v>0</v>
      </c>
      <c r="X189" s="3"/>
      <c r="AB189" s="3" t="str">
        <f t="shared" si="1"/>
        <v>___</v>
      </c>
      <c r="AC189" s="3" t="str">
        <f t="shared" si="0"/>
        <v>____</v>
      </c>
    </row>
    <row r="190" spans="1:32" ht="12.5">
      <c r="E190" s="3"/>
      <c r="F190" s="3"/>
      <c r="G190" s="3"/>
      <c r="L190" s="3" t="s">
        <v>39</v>
      </c>
      <c r="M190" s="3">
        <v>34</v>
      </c>
      <c r="N190" s="3">
        <v>2</v>
      </c>
      <c r="O190" s="3">
        <v>19</v>
      </c>
      <c r="R190" s="3">
        <v>0</v>
      </c>
      <c r="S190" s="3"/>
      <c r="T190" s="3">
        <v>1.9769999999999999E-2</v>
      </c>
      <c r="U190" s="3">
        <v>1.711E-2</v>
      </c>
      <c r="V190" s="3">
        <v>0</v>
      </c>
      <c r="W190" s="3">
        <v>0</v>
      </c>
      <c r="X190" s="3"/>
      <c r="AB190" s="3" t="str">
        <f t="shared" si="1"/>
        <v>___</v>
      </c>
      <c r="AC190" s="3" t="str">
        <f t="shared" si="0"/>
        <v>____</v>
      </c>
    </row>
    <row r="191" spans="1:32" ht="12.5">
      <c r="A191" s="12">
        <v>45482</v>
      </c>
      <c r="B191" s="6">
        <v>970</v>
      </c>
      <c r="C191" s="6">
        <v>24</v>
      </c>
      <c r="D191" s="3" t="s">
        <v>33</v>
      </c>
      <c r="E191" s="3"/>
      <c r="F191" s="3" t="s">
        <v>45</v>
      </c>
      <c r="G191" s="3" t="s">
        <v>40</v>
      </c>
      <c r="H191" s="3">
        <v>1</v>
      </c>
      <c r="I191" s="4">
        <v>45457</v>
      </c>
      <c r="J191" s="4">
        <v>45446</v>
      </c>
      <c r="K191" s="3">
        <v>4</v>
      </c>
      <c r="L191" s="3" t="s">
        <v>36</v>
      </c>
      <c r="M191" s="3">
        <v>24</v>
      </c>
      <c r="N191" s="3">
        <v>8</v>
      </c>
      <c r="O191" s="3">
        <v>8</v>
      </c>
      <c r="V191" s="3">
        <v>0</v>
      </c>
      <c r="AB191" s="3" t="str">
        <f t="shared" si="1"/>
        <v>970_24_T31-C-1_vm</v>
      </c>
      <c r="AC191" s="3" t="str">
        <f t="shared" si="0"/>
        <v>970_24_T31-C-1_vm_1</v>
      </c>
      <c r="AE191" s="3" t="s">
        <v>63</v>
      </c>
    </row>
    <row r="192" spans="1:32" ht="12.5">
      <c r="E192" s="3"/>
      <c r="F192" s="3"/>
      <c r="G192" s="3"/>
      <c r="L192" s="3" t="s">
        <v>38</v>
      </c>
      <c r="M192" s="3">
        <v>81</v>
      </c>
      <c r="N192" s="3">
        <v>0</v>
      </c>
      <c r="O192" s="3">
        <v>3</v>
      </c>
      <c r="P192" s="3">
        <v>5</v>
      </c>
      <c r="Q192" s="3">
        <v>4</v>
      </c>
      <c r="T192" s="3"/>
      <c r="U192" s="3"/>
      <c r="V192" s="3">
        <v>0</v>
      </c>
      <c r="W192" s="3"/>
      <c r="X192" s="3"/>
      <c r="Y192" s="3"/>
      <c r="Z192" s="3" t="s">
        <v>60</v>
      </c>
      <c r="AB192" s="3" t="str">
        <f t="shared" si="1"/>
        <v>___</v>
      </c>
      <c r="AC192" s="3" t="str">
        <f t="shared" si="0"/>
        <v>____</v>
      </c>
      <c r="AE192" s="3" t="s">
        <v>63</v>
      </c>
    </row>
    <row r="193" spans="1:31" ht="12.5">
      <c r="E193" s="3"/>
      <c r="F193" s="3"/>
      <c r="G193" s="3"/>
      <c r="L193" s="3" t="s">
        <v>39</v>
      </c>
      <c r="M193" s="3">
        <v>25</v>
      </c>
      <c r="N193" s="3">
        <v>0</v>
      </c>
      <c r="O193" s="3">
        <v>1</v>
      </c>
      <c r="V193" s="3">
        <v>0</v>
      </c>
      <c r="AB193" s="3" t="str">
        <f t="shared" si="1"/>
        <v>___</v>
      </c>
      <c r="AC193" s="3" t="str">
        <f t="shared" si="0"/>
        <v>____</v>
      </c>
      <c r="AE193" s="3" t="s">
        <v>63</v>
      </c>
    </row>
    <row r="194" spans="1:31" ht="12.5">
      <c r="A194" s="12">
        <v>45482</v>
      </c>
      <c r="B194" s="3">
        <v>970</v>
      </c>
      <c r="C194" s="3">
        <v>24</v>
      </c>
      <c r="D194" s="3" t="s">
        <v>33</v>
      </c>
      <c r="E194" s="3"/>
      <c r="F194" s="3" t="s">
        <v>45</v>
      </c>
      <c r="G194" s="3" t="s">
        <v>40</v>
      </c>
      <c r="H194" s="3">
        <v>2</v>
      </c>
      <c r="I194" s="4">
        <v>45311</v>
      </c>
      <c r="J194" s="4">
        <v>45365</v>
      </c>
      <c r="K194" s="3">
        <v>5</v>
      </c>
      <c r="L194" s="3" t="s">
        <v>36</v>
      </c>
      <c r="M194" s="3">
        <v>31</v>
      </c>
      <c r="N194" s="3">
        <v>8</v>
      </c>
      <c r="O194" s="3">
        <v>8</v>
      </c>
      <c r="V194" s="3">
        <v>0</v>
      </c>
      <c r="AB194" s="3" t="str">
        <f t="shared" si="1"/>
        <v>970_24_T31-C-1_vm</v>
      </c>
      <c r="AC194" s="3" t="str">
        <f t="shared" si="0"/>
        <v>970_24_T31-C-1_vm_2</v>
      </c>
      <c r="AE194" s="3" t="s">
        <v>63</v>
      </c>
    </row>
    <row r="195" spans="1:31" ht="12.5">
      <c r="E195" s="3"/>
      <c r="F195" s="3"/>
      <c r="G195" s="3"/>
      <c r="L195" s="3" t="s">
        <v>38</v>
      </c>
      <c r="M195" s="3">
        <v>58</v>
      </c>
      <c r="N195" s="3">
        <v>0</v>
      </c>
      <c r="O195" s="3">
        <v>4</v>
      </c>
      <c r="P195" s="3">
        <v>3</v>
      </c>
      <c r="Q195" s="3">
        <v>3</v>
      </c>
      <c r="V195" s="3">
        <v>0</v>
      </c>
      <c r="AB195" s="3" t="str">
        <f t="shared" si="1"/>
        <v>___</v>
      </c>
      <c r="AC195" s="3" t="str">
        <f t="shared" si="0"/>
        <v>____</v>
      </c>
      <c r="AE195" s="3" t="s">
        <v>63</v>
      </c>
    </row>
    <row r="196" spans="1:31" ht="12.5">
      <c r="E196" s="3"/>
      <c r="F196" s="3"/>
      <c r="G196" s="3"/>
      <c r="L196" s="3" t="s">
        <v>39</v>
      </c>
      <c r="M196" s="3">
        <v>41</v>
      </c>
      <c r="N196" s="3">
        <v>0</v>
      </c>
      <c r="O196" s="3">
        <v>4</v>
      </c>
      <c r="P196" s="3">
        <v>1</v>
      </c>
      <c r="Q196" s="3">
        <v>1</v>
      </c>
      <c r="V196" s="3">
        <v>0</v>
      </c>
      <c r="AB196" s="3" t="str">
        <f t="shared" si="1"/>
        <v>___</v>
      </c>
      <c r="AC196" s="3" t="str">
        <f t="shared" si="0"/>
        <v>____</v>
      </c>
      <c r="AE196" s="3" t="s">
        <v>63</v>
      </c>
    </row>
    <row r="197" spans="1:31" ht="12.5">
      <c r="A197" s="12">
        <v>45482</v>
      </c>
      <c r="B197" s="3">
        <v>970</v>
      </c>
      <c r="C197" s="3">
        <v>24</v>
      </c>
      <c r="D197" s="3" t="s">
        <v>33</v>
      </c>
      <c r="E197" s="3"/>
      <c r="F197" s="3" t="s">
        <v>45</v>
      </c>
      <c r="G197" s="3" t="s">
        <v>40</v>
      </c>
      <c r="H197" s="3">
        <v>3</v>
      </c>
      <c r="I197" s="4">
        <v>45310</v>
      </c>
      <c r="J197" s="4">
        <v>45482</v>
      </c>
      <c r="K197" s="3">
        <v>4</v>
      </c>
      <c r="L197" s="3" t="s">
        <v>36</v>
      </c>
      <c r="M197" s="3">
        <v>42</v>
      </c>
      <c r="N197" s="3">
        <v>7</v>
      </c>
      <c r="O197" s="3">
        <v>7</v>
      </c>
      <c r="V197" s="3">
        <v>0</v>
      </c>
      <c r="AB197" s="3" t="str">
        <f t="shared" si="1"/>
        <v>970_24_T31-C-1_vm</v>
      </c>
      <c r="AC197" s="3" t="str">
        <f t="shared" si="0"/>
        <v>970_24_T31-C-1_vm_3</v>
      </c>
      <c r="AE197" s="3" t="s">
        <v>63</v>
      </c>
    </row>
    <row r="198" spans="1:31" ht="12.5">
      <c r="E198" s="3"/>
      <c r="F198" s="3"/>
      <c r="G198" s="3"/>
      <c r="L198" s="3" t="s">
        <v>38</v>
      </c>
      <c r="M198" s="3">
        <v>12</v>
      </c>
      <c r="N198" s="3">
        <v>2</v>
      </c>
      <c r="O198" s="3">
        <v>2</v>
      </c>
      <c r="P198" s="3">
        <v>1</v>
      </c>
      <c r="Q198" s="3">
        <v>1</v>
      </c>
      <c r="V198" s="3">
        <v>0</v>
      </c>
      <c r="AB198" s="3" t="str">
        <f t="shared" si="1"/>
        <v>___</v>
      </c>
      <c r="AC198" s="3" t="str">
        <f t="shared" si="0"/>
        <v>____</v>
      </c>
      <c r="AE198" s="3" t="s">
        <v>63</v>
      </c>
    </row>
    <row r="199" spans="1:31" ht="12.5">
      <c r="E199" s="3"/>
      <c r="F199" s="3"/>
      <c r="G199" s="3"/>
      <c r="L199" s="3" t="s">
        <v>39</v>
      </c>
      <c r="M199" s="3">
        <v>35</v>
      </c>
      <c r="N199" s="3">
        <v>0</v>
      </c>
      <c r="O199" s="3">
        <v>1</v>
      </c>
      <c r="P199" s="3">
        <v>3</v>
      </c>
      <c r="Q199" s="3">
        <v>2</v>
      </c>
      <c r="T199" s="3"/>
      <c r="U199" s="3"/>
      <c r="V199" s="3">
        <v>0</v>
      </c>
      <c r="W199" s="3"/>
      <c r="X199" s="3"/>
      <c r="Y199" s="3"/>
      <c r="Z199" s="3" t="s">
        <v>60</v>
      </c>
      <c r="AB199" s="3" t="str">
        <f t="shared" si="1"/>
        <v>___</v>
      </c>
      <c r="AC199" s="3" t="str">
        <f t="shared" si="0"/>
        <v>____</v>
      </c>
      <c r="AE199" s="3" t="s">
        <v>63</v>
      </c>
    </row>
    <row r="200" spans="1:31" ht="12.5">
      <c r="A200" s="12">
        <v>45482</v>
      </c>
      <c r="B200" s="3">
        <v>970</v>
      </c>
      <c r="C200" s="3">
        <v>24</v>
      </c>
      <c r="D200" s="3" t="s">
        <v>33</v>
      </c>
      <c r="E200" s="3"/>
      <c r="F200" s="3" t="s">
        <v>45</v>
      </c>
      <c r="G200" s="3" t="s">
        <v>35</v>
      </c>
      <c r="H200" s="3">
        <v>1</v>
      </c>
      <c r="I200" s="3">
        <v>13</v>
      </c>
      <c r="J200" s="4">
        <v>45519</v>
      </c>
      <c r="K200" s="3">
        <v>6</v>
      </c>
      <c r="L200" s="3" t="s">
        <v>36</v>
      </c>
      <c r="M200" s="3">
        <v>20</v>
      </c>
      <c r="N200" s="3">
        <v>10</v>
      </c>
      <c r="O200" s="3">
        <v>11</v>
      </c>
      <c r="V200" s="3">
        <v>0</v>
      </c>
      <c r="AB200" s="3" t="str">
        <f t="shared" si="1"/>
        <v>970_24_T31-C-1_vv</v>
      </c>
      <c r="AC200" s="3" t="str">
        <f t="shared" si="0"/>
        <v>970_24_T31-C-1_vv_1</v>
      </c>
      <c r="AE200" s="3" t="s">
        <v>63</v>
      </c>
    </row>
    <row r="201" spans="1:31" ht="12.5">
      <c r="E201" s="3"/>
      <c r="F201" s="3"/>
      <c r="G201" s="3"/>
      <c r="L201" s="3" t="s">
        <v>38</v>
      </c>
      <c r="M201" s="3">
        <v>29</v>
      </c>
      <c r="N201" s="3">
        <v>11</v>
      </c>
      <c r="O201" s="3">
        <v>13</v>
      </c>
      <c r="V201" s="3">
        <v>0</v>
      </c>
      <c r="AB201" s="3" t="str">
        <f t="shared" si="1"/>
        <v>___</v>
      </c>
      <c r="AC201" s="3" t="str">
        <f t="shared" si="0"/>
        <v>____</v>
      </c>
      <c r="AE201" s="3" t="s">
        <v>63</v>
      </c>
    </row>
    <row r="202" spans="1:31" ht="12.5">
      <c r="E202" s="3"/>
      <c r="F202" s="3"/>
      <c r="G202" s="3"/>
      <c r="L202" s="3" t="s">
        <v>39</v>
      </c>
      <c r="M202" s="3">
        <v>20</v>
      </c>
      <c r="N202" s="3">
        <v>8</v>
      </c>
      <c r="O202" s="3">
        <v>9</v>
      </c>
      <c r="V202" s="3">
        <v>0</v>
      </c>
      <c r="AB202" s="3" t="str">
        <f t="shared" si="1"/>
        <v>___</v>
      </c>
      <c r="AC202" s="3" t="str">
        <f t="shared" si="0"/>
        <v>____</v>
      </c>
      <c r="AE202" s="3" t="s">
        <v>63</v>
      </c>
    </row>
    <row r="203" spans="1:31" ht="12.5">
      <c r="A203" s="12">
        <v>45482</v>
      </c>
      <c r="B203" s="3">
        <v>970</v>
      </c>
      <c r="C203" s="3">
        <v>24</v>
      </c>
      <c r="D203" s="3" t="s">
        <v>33</v>
      </c>
      <c r="E203" s="3"/>
      <c r="F203" s="3" t="s">
        <v>45</v>
      </c>
      <c r="G203" s="3" t="s">
        <v>35</v>
      </c>
      <c r="H203" s="3">
        <v>2</v>
      </c>
      <c r="I203" s="4">
        <v>45548</v>
      </c>
      <c r="J203" s="3">
        <v>14</v>
      </c>
      <c r="K203" s="3">
        <v>6</v>
      </c>
      <c r="L203" s="3" t="s">
        <v>36</v>
      </c>
      <c r="M203" s="3">
        <v>25</v>
      </c>
      <c r="N203" s="3">
        <v>12</v>
      </c>
      <c r="O203" s="3">
        <v>12</v>
      </c>
      <c r="V203" s="3">
        <v>0</v>
      </c>
      <c r="AB203" s="3" t="str">
        <f t="shared" si="1"/>
        <v>970_24_T31-C-1_vv</v>
      </c>
      <c r="AC203" s="3" t="str">
        <f t="shared" si="0"/>
        <v>970_24_T31-C-1_vv_2</v>
      </c>
      <c r="AE203" s="3" t="s">
        <v>63</v>
      </c>
    </row>
    <row r="204" spans="1:31" ht="12.5">
      <c r="E204" s="3"/>
      <c r="F204" s="3"/>
      <c r="G204" s="3"/>
      <c r="L204" s="3" t="s">
        <v>38</v>
      </c>
      <c r="M204" s="3">
        <v>31</v>
      </c>
      <c r="N204" s="3">
        <v>11</v>
      </c>
      <c r="O204" s="3">
        <v>13</v>
      </c>
      <c r="V204" s="3">
        <v>0</v>
      </c>
      <c r="AB204" s="3" t="str">
        <f t="shared" si="1"/>
        <v>___</v>
      </c>
      <c r="AC204" s="3" t="str">
        <f t="shared" si="0"/>
        <v>____</v>
      </c>
      <c r="AE204" s="3" t="s">
        <v>63</v>
      </c>
    </row>
    <row r="205" spans="1:31" ht="12.5">
      <c r="E205" s="3"/>
      <c r="F205" s="3"/>
      <c r="G205" s="3"/>
      <c r="L205" s="3" t="s">
        <v>39</v>
      </c>
      <c r="M205" s="3">
        <v>20</v>
      </c>
      <c r="N205" s="3">
        <v>7</v>
      </c>
      <c r="O205" s="3">
        <v>13</v>
      </c>
      <c r="V205" s="3">
        <v>0</v>
      </c>
      <c r="AB205" s="3" t="str">
        <f t="shared" si="1"/>
        <v>___</v>
      </c>
      <c r="AC205" s="3" t="str">
        <f t="shared" si="0"/>
        <v>____</v>
      </c>
      <c r="AE205" s="3" t="s">
        <v>63</v>
      </c>
    </row>
    <row r="206" spans="1:31" ht="12.5">
      <c r="A206" s="12">
        <v>45482</v>
      </c>
      <c r="B206" s="3">
        <v>970</v>
      </c>
      <c r="C206" s="3">
        <v>24</v>
      </c>
      <c r="D206" s="3" t="s">
        <v>33</v>
      </c>
      <c r="E206" s="3"/>
      <c r="F206" s="3" t="s">
        <v>45</v>
      </c>
      <c r="G206" s="3" t="s">
        <v>35</v>
      </c>
      <c r="H206" s="3">
        <v>3</v>
      </c>
      <c r="I206" s="3">
        <v>9</v>
      </c>
      <c r="J206" s="4">
        <v>45511</v>
      </c>
      <c r="K206" s="3">
        <v>3</v>
      </c>
      <c r="L206" s="3" t="s">
        <v>36</v>
      </c>
      <c r="M206" s="3">
        <v>21</v>
      </c>
      <c r="N206" s="3">
        <v>6</v>
      </c>
      <c r="O206" s="3">
        <v>10</v>
      </c>
      <c r="V206" s="3">
        <v>0</v>
      </c>
      <c r="AB206" s="3" t="str">
        <f t="shared" si="1"/>
        <v>970_24_T31-C-1_vv</v>
      </c>
      <c r="AC206" s="3" t="str">
        <f t="shared" si="0"/>
        <v>970_24_T31-C-1_vv_3</v>
      </c>
      <c r="AE206" s="3" t="s">
        <v>63</v>
      </c>
    </row>
    <row r="207" spans="1:31" ht="12.5">
      <c r="E207" s="3"/>
      <c r="F207" s="3"/>
      <c r="G207" s="3"/>
      <c r="L207" s="3" t="s">
        <v>38</v>
      </c>
      <c r="M207" s="3">
        <v>35</v>
      </c>
      <c r="N207" s="3">
        <v>3</v>
      </c>
      <c r="O207" s="3">
        <v>9</v>
      </c>
      <c r="P207" s="3">
        <v>2</v>
      </c>
      <c r="Q207" s="3">
        <v>2</v>
      </c>
      <c r="T207" s="3"/>
      <c r="U207" s="3"/>
      <c r="V207" s="3">
        <v>0</v>
      </c>
      <c r="W207" s="3"/>
      <c r="X207" s="3"/>
      <c r="Y207" s="3"/>
      <c r="Z207" s="3" t="s">
        <v>64</v>
      </c>
      <c r="AB207" s="3" t="str">
        <f t="shared" si="1"/>
        <v>___</v>
      </c>
      <c r="AC207" s="3" t="str">
        <f t="shared" si="0"/>
        <v>____</v>
      </c>
      <c r="AE207" s="3" t="s">
        <v>63</v>
      </c>
    </row>
    <row r="208" spans="1:31" ht="12.5">
      <c r="E208" s="3"/>
      <c r="F208" s="3"/>
      <c r="G208" s="3"/>
      <c r="L208" s="3" t="s">
        <v>39</v>
      </c>
      <c r="M208" s="3">
        <v>25</v>
      </c>
      <c r="N208" s="3">
        <v>0</v>
      </c>
      <c r="O208" s="3">
        <v>2</v>
      </c>
      <c r="P208" s="3">
        <v>1</v>
      </c>
      <c r="Q208" s="3">
        <v>1</v>
      </c>
      <c r="V208" s="3">
        <v>0</v>
      </c>
      <c r="AB208" s="3" t="str">
        <f t="shared" si="1"/>
        <v>___</v>
      </c>
      <c r="AC208" s="3" t="str">
        <f t="shared" si="0"/>
        <v>____</v>
      </c>
      <c r="AE208" s="3" t="s">
        <v>63</v>
      </c>
    </row>
    <row r="209" spans="1:31" ht="12.5">
      <c r="A209" s="12">
        <v>45482</v>
      </c>
      <c r="B209" s="6">
        <v>970</v>
      </c>
      <c r="C209" s="6">
        <v>26</v>
      </c>
      <c r="D209" s="3" t="s">
        <v>33</v>
      </c>
      <c r="E209" s="3"/>
      <c r="F209" s="3" t="s">
        <v>44</v>
      </c>
      <c r="G209" s="3" t="s">
        <v>40</v>
      </c>
      <c r="H209" s="3">
        <v>1</v>
      </c>
      <c r="I209" s="4">
        <v>45372</v>
      </c>
      <c r="J209" s="4">
        <v>45524</v>
      </c>
      <c r="K209" s="3">
        <v>8</v>
      </c>
      <c r="L209" s="3" t="s">
        <v>36</v>
      </c>
      <c r="M209" s="3">
        <v>24</v>
      </c>
      <c r="N209" s="3">
        <v>5</v>
      </c>
      <c r="O209" s="3">
        <v>5</v>
      </c>
      <c r="AB209" s="3" t="str">
        <f t="shared" si="1"/>
        <v>970_26_T4-C-1_vm</v>
      </c>
      <c r="AC209" s="3" t="str">
        <f t="shared" si="0"/>
        <v>970_26_T4-C-1_vm_1</v>
      </c>
      <c r="AE209" s="3" t="s">
        <v>63</v>
      </c>
    </row>
    <row r="210" spans="1:31" ht="12.5">
      <c r="E210" s="3"/>
      <c r="F210" s="3"/>
      <c r="G210" s="3"/>
      <c r="L210" s="3" t="s">
        <v>38</v>
      </c>
      <c r="M210" s="3">
        <v>51</v>
      </c>
      <c r="N210" s="3">
        <v>0</v>
      </c>
      <c r="O210" s="3">
        <v>4</v>
      </c>
      <c r="P210" s="3">
        <v>1</v>
      </c>
      <c r="Q210" s="3">
        <v>1</v>
      </c>
      <c r="AB210" s="3" t="str">
        <f t="shared" si="1"/>
        <v>___</v>
      </c>
      <c r="AC210" s="3" t="str">
        <f t="shared" si="0"/>
        <v>____</v>
      </c>
      <c r="AE210" s="3" t="s">
        <v>63</v>
      </c>
    </row>
    <row r="211" spans="1:31" ht="12.5">
      <c r="E211" s="3"/>
      <c r="F211" s="3"/>
      <c r="G211" s="3"/>
      <c r="L211" s="3" t="s">
        <v>39</v>
      </c>
      <c r="M211" s="3">
        <v>58</v>
      </c>
      <c r="N211" s="3">
        <v>0</v>
      </c>
      <c r="O211" s="3">
        <v>2</v>
      </c>
      <c r="P211" s="3">
        <v>4</v>
      </c>
      <c r="Q211" s="3">
        <v>4</v>
      </c>
      <c r="AB211" s="3" t="str">
        <f t="shared" si="1"/>
        <v>___</v>
      </c>
      <c r="AC211" s="3" t="str">
        <f t="shared" si="0"/>
        <v>____</v>
      </c>
      <c r="AE211" s="3" t="s">
        <v>63</v>
      </c>
    </row>
    <row r="212" spans="1:31" ht="12.5">
      <c r="A212" s="12">
        <v>45482</v>
      </c>
      <c r="B212" s="3">
        <v>970</v>
      </c>
      <c r="C212" s="3">
        <v>26</v>
      </c>
      <c r="D212" s="3" t="s">
        <v>33</v>
      </c>
      <c r="E212" s="3"/>
      <c r="F212" s="3" t="s">
        <v>44</v>
      </c>
      <c r="G212" s="3" t="s">
        <v>40</v>
      </c>
      <c r="H212" s="3">
        <v>2</v>
      </c>
      <c r="I212" s="4">
        <v>45527</v>
      </c>
      <c r="J212" s="4">
        <v>45499</v>
      </c>
      <c r="K212" s="3">
        <v>6</v>
      </c>
      <c r="L212" s="3" t="s">
        <v>36</v>
      </c>
      <c r="M212" s="3">
        <v>57</v>
      </c>
      <c r="N212" s="3">
        <v>8</v>
      </c>
      <c r="O212" s="3">
        <v>8</v>
      </c>
      <c r="R212" s="3">
        <v>1</v>
      </c>
      <c r="S212" s="3"/>
      <c r="AB212" s="3" t="str">
        <f t="shared" si="1"/>
        <v>970_26_T4-C-1_vm</v>
      </c>
      <c r="AC212" s="3" t="str">
        <f t="shared" si="0"/>
        <v>970_26_T4-C-1_vm_2</v>
      </c>
      <c r="AE212" s="3" t="s">
        <v>63</v>
      </c>
    </row>
    <row r="213" spans="1:31" ht="12.5">
      <c r="E213" s="3"/>
      <c r="F213" s="3"/>
      <c r="G213" s="3"/>
      <c r="J213" s="4"/>
      <c r="L213" s="3" t="s">
        <v>38</v>
      </c>
      <c r="M213" s="3">
        <v>83</v>
      </c>
      <c r="N213" s="3">
        <v>0</v>
      </c>
      <c r="O213" s="3">
        <v>5</v>
      </c>
      <c r="P213" s="3">
        <v>4</v>
      </c>
      <c r="Q213" s="3">
        <v>3</v>
      </c>
      <c r="Y213" s="3"/>
      <c r="Z213" s="3" t="s">
        <v>60</v>
      </c>
      <c r="AB213" s="3" t="str">
        <f t="shared" si="1"/>
        <v>___</v>
      </c>
      <c r="AC213" s="3" t="str">
        <f t="shared" si="0"/>
        <v>____</v>
      </c>
      <c r="AE213" s="3" t="s">
        <v>63</v>
      </c>
    </row>
    <row r="214" spans="1:31" ht="12.5">
      <c r="E214" s="3"/>
      <c r="F214" s="3"/>
      <c r="G214" s="3"/>
      <c r="J214" s="4"/>
      <c r="L214" s="3" t="s">
        <v>39</v>
      </c>
      <c r="M214" s="3">
        <v>94</v>
      </c>
      <c r="N214" s="3">
        <v>0</v>
      </c>
      <c r="O214" s="3">
        <v>6</v>
      </c>
      <c r="P214" s="3">
        <v>3</v>
      </c>
      <c r="Q214" s="3">
        <v>1</v>
      </c>
      <c r="Y214" s="3"/>
      <c r="Z214" s="3" t="s">
        <v>62</v>
      </c>
      <c r="AB214" s="3" t="str">
        <f t="shared" si="1"/>
        <v>___</v>
      </c>
      <c r="AC214" s="3" t="str">
        <f t="shared" si="0"/>
        <v>____</v>
      </c>
      <c r="AE214" s="3" t="s">
        <v>63</v>
      </c>
    </row>
    <row r="215" spans="1:31" ht="12.5">
      <c r="A215" s="12">
        <v>45482</v>
      </c>
      <c r="B215" s="3">
        <v>970</v>
      </c>
      <c r="C215" s="3">
        <v>26</v>
      </c>
      <c r="D215" s="3" t="s">
        <v>33</v>
      </c>
      <c r="E215" s="3"/>
      <c r="F215" s="3" t="s">
        <v>44</v>
      </c>
      <c r="G215" s="3" t="s">
        <v>40</v>
      </c>
      <c r="H215" s="3">
        <v>3</v>
      </c>
      <c r="I215" s="3">
        <v>26</v>
      </c>
      <c r="J215" s="3" t="s">
        <v>65</v>
      </c>
      <c r="K215" s="3">
        <v>6</v>
      </c>
      <c r="L215" s="3" t="s">
        <v>36</v>
      </c>
      <c r="M215" s="3">
        <v>73</v>
      </c>
      <c r="N215" s="3">
        <v>8</v>
      </c>
      <c r="O215" s="3">
        <v>8</v>
      </c>
      <c r="P215" s="3">
        <v>1</v>
      </c>
      <c r="Q215" s="3"/>
      <c r="R215" s="3">
        <v>1</v>
      </c>
      <c r="S215" s="3"/>
      <c r="AB215" s="3" t="str">
        <f t="shared" si="1"/>
        <v>970_26_T4-C-1_vm</v>
      </c>
      <c r="AC215" s="3" t="str">
        <f t="shared" si="0"/>
        <v>970_26_T4-C-1_vm_3</v>
      </c>
      <c r="AE215" s="3" t="s">
        <v>63</v>
      </c>
    </row>
    <row r="216" spans="1:31" ht="12.5">
      <c r="E216" s="3"/>
      <c r="F216" s="3"/>
      <c r="G216" s="3"/>
      <c r="L216" s="3" t="s">
        <v>38</v>
      </c>
      <c r="M216" s="3">
        <v>78</v>
      </c>
      <c r="N216" s="3">
        <v>0</v>
      </c>
      <c r="O216" s="3">
        <v>2</v>
      </c>
      <c r="P216" s="3">
        <v>5</v>
      </c>
      <c r="Q216" s="3">
        <v>5</v>
      </c>
      <c r="AB216" s="3" t="str">
        <f t="shared" si="1"/>
        <v>___</v>
      </c>
      <c r="AC216" s="3" t="str">
        <f t="shared" si="0"/>
        <v>____</v>
      </c>
      <c r="AE216" s="3" t="s">
        <v>63</v>
      </c>
    </row>
    <row r="217" spans="1:31" ht="12.5">
      <c r="E217" s="3"/>
      <c r="F217" s="3"/>
      <c r="G217" s="3"/>
      <c r="L217" s="3" t="s">
        <v>39</v>
      </c>
      <c r="M217" s="3">
        <v>66</v>
      </c>
      <c r="N217" s="3">
        <v>0</v>
      </c>
      <c r="O217" s="3">
        <v>3</v>
      </c>
      <c r="P217" s="3">
        <v>3</v>
      </c>
      <c r="Q217" s="3">
        <v>3</v>
      </c>
      <c r="AB217" s="3" t="str">
        <f t="shared" si="1"/>
        <v>___</v>
      </c>
      <c r="AC217" s="3" t="str">
        <f t="shared" si="0"/>
        <v>____</v>
      </c>
      <c r="AE217" s="3" t="s">
        <v>63</v>
      </c>
    </row>
    <row r="218" spans="1:31" ht="12.5">
      <c r="A218" s="12">
        <v>45482</v>
      </c>
      <c r="B218" s="3">
        <v>970</v>
      </c>
      <c r="C218" s="3">
        <v>26</v>
      </c>
      <c r="D218" s="3" t="s">
        <v>33</v>
      </c>
      <c r="E218" s="3"/>
      <c r="F218" s="3" t="s">
        <v>44</v>
      </c>
      <c r="G218" s="3" t="s">
        <v>35</v>
      </c>
      <c r="H218" s="3">
        <v>1</v>
      </c>
      <c r="I218" s="4">
        <v>45312</v>
      </c>
      <c r="J218" s="3">
        <v>17</v>
      </c>
      <c r="K218" s="3">
        <v>3</v>
      </c>
      <c r="L218" s="3" t="s">
        <v>36</v>
      </c>
      <c r="M218" s="3">
        <v>30</v>
      </c>
      <c r="N218" s="3">
        <v>13</v>
      </c>
      <c r="O218" s="3">
        <v>16</v>
      </c>
      <c r="R218" s="3"/>
      <c r="S218" s="3"/>
      <c r="T218" s="3">
        <v>0</v>
      </c>
      <c r="U218" s="3">
        <v>0</v>
      </c>
      <c r="V218" s="3">
        <v>0</v>
      </c>
      <c r="AB218" s="3" t="str">
        <f t="shared" si="1"/>
        <v>970_26_T4-C-1_vv</v>
      </c>
      <c r="AC218" s="3" t="str">
        <f t="shared" si="0"/>
        <v>970_26_T4-C-1_vv_1</v>
      </c>
      <c r="AE218" s="3" t="s">
        <v>63</v>
      </c>
    </row>
    <row r="219" spans="1:31" ht="12.5">
      <c r="E219" s="3"/>
      <c r="F219" s="3"/>
      <c r="G219" s="3"/>
      <c r="L219" s="3" t="s">
        <v>38</v>
      </c>
      <c r="M219" s="3">
        <v>72</v>
      </c>
      <c r="N219" s="3">
        <v>10</v>
      </c>
      <c r="O219" s="3">
        <v>16</v>
      </c>
      <c r="T219" s="3">
        <v>0</v>
      </c>
      <c r="U219" s="3">
        <v>0</v>
      </c>
      <c r="V219" s="3">
        <v>0</v>
      </c>
      <c r="AB219" s="3" t="str">
        <f t="shared" si="1"/>
        <v>___</v>
      </c>
      <c r="AC219" s="3" t="str">
        <f t="shared" si="0"/>
        <v>____</v>
      </c>
      <c r="AE219" s="3" t="s">
        <v>63</v>
      </c>
    </row>
    <row r="220" spans="1:31" ht="12.5">
      <c r="E220" s="3"/>
      <c r="F220" s="3"/>
      <c r="G220" s="3"/>
      <c r="L220" s="3" t="s">
        <v>39</v>
      </c>
      <c r="M220" s="3">
        <v>70</v>
      </c>
      <c r="N220" s="3">
        <v>1</v>
      </c>
      <c r="O220" s="3">
        <v>7</v>
      </c>
      <c r="T220" s="3">
        <v>0</v>
      </c>
      <c r="U220" s="3">
        <v>0</v>
      </c>
      <c r="V220" s="3">
        <v>0</v>
      </c>
      <c r="AB220" s="3" t="str">
        <f t="shared" si="1"/>
        <v>___</v>
      </c>
      <c r="AC220" s="3" t="str">
        <f t="shared" si="0"/>
        <v>____</v>
      </c>
      <c r="AE220" s="3" t="s">
        <v>63</v>
      </c>
    </row>
    <row r="221" spans="1:31" ht="12.5">
      <c r="A221" s="12">
        <v>45482</v>
      </c>
      <c r="B221" s="3">
        <v>970</v>
      </c>
      <c r="C221" s="3">
        <v>26</v>
      </c>
      <c r="D221" s="3" t="s">
        <v>33</v>
      </c>
      <c r="E221" s="3"/>
      <c r="F221" s="3" t="s">
        <v>44</v>
      </c>
      <c r="G221" s="3" t="s">
        <v>35</v>
      </c>
      <c r="H221" s="3">
        <v>2</v>
      </c>
      <c r="I221" s="4">
        <v>45465</v>
      </c>
      <c r="J221" s="4">
        <v>45464</v>
      </c>
      <c r="K221" s="3">
        <v>5</v>
      </c>
      <c r="L221" s="3" t="s">
        <v>36</v>
      </c>
      <c r="M221" s="3">
        <v>47</v>
      </c>
      <c r="N221" s="3">
        <v>13</v>
      </c>
      <c r="O221" s="3">
        <v>15</v>
      </c>
      <c r="T221" s="3">
        <v>0</v>
      </c>
      <c r="U221" s="3">
        <v>0</v>
      </c>
      <c r="V221" s="3">
        <v>0</v>
      </c>
      <c r="AB221" s="3" t="str">
        <f t="shared" si="1"/>
        <v>970_26_T4-C-1_vv</v>
      </c>
      <c r="AC221" s="3" t="str">
        <f t="shared" si="0"/>
        <v>970_26_T4-C-1_vv_2</v>
      </c>
      <c r="AE221" s="3" t="s">
        <v>63</v>
      </c>
    </row>
    <row r="222" spans="1:31" ht="12.5">
      <c r="E222" s="3"/>
      <c r="F222" s="3"/>
      <c r="G222" s="3"/>
      <c r="L222" s="3" t="s">
        <v>38</v>
      </c>
      <c r="M222" s="3">
        <v>48</v>
      </c>
      <c r="N222" s="3">
        <v>7</v>
      </c>
      <c r="O222" s="3">
        <v>12</v>
      </c>
      <c r="P222" s="3">
        <v>2</v>
      </c>
      <c r="Q222" s="3">
        <v>2</v>
      </c>
      <c r="T222" s="3">
        <v>0</v>
      </c>
      <c r="U222" s="3">
        <v>0</v>
      </c>
      <c r="V222" s="3">
        <v>0</v>
      </c>
      <c r="W222" s="3"/>
      <c r="X222" s="3"/>
      <c r="Y222" s="3"/>
      <c r="Z222" s="3" t="s">
        <v>55</v>
      </c>
      <c r="AB222" s="3" t="str">
        <f t="shared" si="1"/>
        <v>___</v>
      </c>
      <c r="AC222" s="3" t="str">
        <f t="shared" si="0"/>
        <v>____</v>
      </c>
      <c r="AE222" s="3" t="s">
        <v>63</v>
      </c>
    </row>
    <row r="223" spans="1:31" ht="12.5">
      <c r="E223" s="3"/>
      <c r="F223" s="3"/>
      <c r="G223" s="3"/>
      <c r="L223" s="3" t="s">
        <v>39</v>
      </c>
      <c r="M223" s="3">
        <v>38</v>
      </c>
      <c r="N223" s="3">
        <v>7</v>
      </c>
      <c r="O223" s="3">
        <v>13</v>
      </c>
      <c r="T223" s="3">
        <v>0</v>
      </c>
      <c r="U223" s="3">
        <v>0</v>
      </c>
      <c r="V223" s="3">
        <v>0</v>
      </c>
      <c r="AB223" s="3" t="str">
        <f t="shared" si="1"/>
        <v>___</v>
      </c>
      <c r="AC223" s="3" t="str">
        <f t="shared" si="0"/>
        <v>____</v>
      </c>
      <c r="AE223" s="3" t="s">
        <v>63</v>
      </c>
    </row>
    <row r="224" spans="1:31" ht="12.5">
      <c r="A224" s="12">
        <v>45482</v>
      </c>
      <c r="B224" s="3">
        <v>970</v>
      </c>
      <c r="C224" s="3">
        <v>26</v>
      </c>
      <c r="D224" s="3" t="s">
        <v>33</v>
      </c>
      <c r="E224" s="3"/>
      <c r="F224" s="3" t="s">
        <v>44</v>
      </c>
      <c r="G224" s="3" t="s">
        <v>35</v>
      </c>
      <c r="H224" s="3">
        <v>3</v>
      </c>
      <c r="I224" s="4">
        <v>45529</v>
      </c>
      <c r="J224" s="4">
        <v>45311</v>
      </c>
      <c r="K224" s="3">
        <v>3</v>
      </c>
      <c r="L224" s="3" t="s">
        <v>36</v>
      </c>
      <c r="M224" s="3">
        <v>32</v>
      </c>
      <c r="N224" s="3">
        <v>12</v>
      </c>
      <c r="O224" s="3">
        <v>12</v>
      </c>
      <c r="T224" s="3">
        <v>0</v>
      </c>
      <c r="U224" s="3">
        <v>0</v>
      </c>
      <c r="V224" s="3">
        <v>0</v>
      </c>
      <c r="AB224" s="3" t="str">
        <f t="shared" si="1"/>
        <v>970_26_T4-C-1_vv</v>
      </c>
      <c r="AC224" s="3" t="str">
        <f t="shared" si="0"/>
        <v>970_26_T4-C-1_vv_3</v>
      </c>
      <c r="AE224" s="3" t="s">
        <v>63</v>
      </c>
    </row>
    <row r="225" spans="1:31" ht="12.5">
      <c r="E225" s="3"/>
      <c r="F225" s="3"/>
      <c r="G225" s="3"/>
      <c r="L225" s="3" t="s">
        <v>38</v>
      </c>
      <c r="M225" s="3">
        <v>74</v>
      </c>
      <c r="N225" s="3">
        <v>8</v>
      </c>
      <c r="O225" s="3">
        <v>15</v>
      </c>
      <c r="T225" s="3">
        <v>0</v>
      </c>
      <c r="U225" s="3">
        <v>0</v>
      </c>
      <c r="V225" s="3">
        <v>0</v>
      </c>
      <c r="AB225" s="3" t="str">
        <f t="shared" si="1"/>
        <v>___</v>
      </c>
      <c r="AC225" s="3" t="str">
        <f t="shared" si="0"/>
        <v>____</v>
      </c>
      <c r="AE225" s="3" t="s">
        <v>63</v>
      </c>
    </row>
    <row r="226" spans="1:31" ht="12.5">
      <c r="E226" s="3"/>
      <c r="F226" s="3"/>
      <c r="G226" s="3"/>
      <c r="L226" s="3" t="s">
        <v>39</v>
      </c>
      <c r="M226" s="3">
        <v>98</v>
      </c>
      <c r="N226" s="3">
        <v>3</v>
      </c>
      <c r="O226" s="3">
        <v>15</v>
      </c>
      <c r="T226" s="3">
        <v>0</v>
      </c>
      <c r="U226" s="3">
        <v>0</v>
      </c>
      <c r="V226" s="3">
        <v>0</v>
      </c>
      <c r="AB226" s="3" t="str">
        <f t="shared" si="1"/>
        <v>___</v>
      </c>
      <c r="AC226" s="3" t="str">
        <f t="shared" si="0"/>
        <v>____</v>
      </c>
      <c r="AE226" s="3" t="s">
        <v>63</v>
      </c>
    </row>
    <row r="227" spans="1:31" ht="12.5">
      <c r="A227" s="12">
        <v>45482</v>
      </c>
      <c r="B227" s="6">
        <v>970</v>
      </c>
      <c r="C227" s="6">
        <v>42</v>
      </c>
      <c r="D227" s="3" t="s">
        <v>33</v>
      </c>
      <c r="E227" s="3"/>
      <c r="F227" s="3" t="s">
        <v>43</v>
      </c>
      <c r="G227" s="3" t="s">
        <v>40</v>
      </c>
      <c r="H227" s="3">
        <v>1</v>
      </c>
      <c r="I227" s="4">
        <v>45336</v>
      </c>
      <c r="J227" s="3">
        <v>14</v>
      </c>
      <c r="K227" s="3">
        <v>5</v>
      </c>
      <c r="L227" s="3" t="s">
        <v>36</v>
      </c>
      <c r="M227" s="3">
        <v>16</v>
      </c>
      <c r="N227" s="3">
        <v>6</v>
      </c>
      <c r="O227" s="3">
        <v>6</v>
      </c>
      <c r="T227" s="3">
        <v>0</v>
      </c>
      <c r="U227" s="3">
        <v>0</v>
      </c>
      <c r="V227" s="3">
        <v>0</v>
      </c>
      <c r="AB227" s="3" t="str">
        <f t="shared" si="1"/>
        <v>970_42_T4-C-5_vm</v>
      </c>
      <c r="AC227" s="3" t="str">
        <f t="shared" si="0"/>
        <v>970_42_T4-C-5_vm_1</v>
      </c>
      <c r="AE227" s="3" t="s">
        <v>63</v>
      </c>
    </row>
    <row r="228" spans="1:31" ht="12.5">
      <c r="E228" s="3"/>
      <c r="F228" s="3"/>
      <c r="G228" s="3"/>
      <c r="L228" s="3" t="s">
        <v>38</v>
      </c>
      <c r="M228" s="3">
        <v>14</v>
      </c>
      <c r="N228" s="3">
        <v>0</v>
      </c>
      <c r="O228" s="3">
        <v>3</v>
      </c>
      <c r="T228" s="3">
        <v>0</v>
      </c>
      <c r="U228" s="3">
        <v>0</v>
      </c>
      <c r="V228" s="3">
        <v>0</v>
      </c>
      <c r="AB228" s="3" t="str">
        <f t="shared" si="1"/>
        <v>___</v>
      </c>
      <c r="AC228" s="3" t="str">
        <f t="shared" si="0"/>
        <v>____</v>
      </c>
      <c r="AE228" s="3" t="s">
        <v>63</v>
      </c>
    </row>
    <row r="229" spans="1:31" ht="12.5">
      <c r="E229" s="3"/>
      <c r="F229" s="3"/>
      <c r="G229" s="3"/>
      <c r="L229" s="3" t="s">
        <v>39</v>
      </c>
      <c r="M229" s="3">
        <v>32</v>
      </c>
      <c r="N229" s="3">
        <v>0</v>
      </c>
      <c r="O229" s="3">
        <v>5</v>
      </c>
      <c r="P229" s="3">
        <v>1</v>
      </c>
      <c r="Q229" s="3">
        <v>1</v>
      </c>
      <c r="T229" s="3">
        <v>0</v>
      </c>
      <c r="U229" s="3">
        <v>0</v>
      </c>
      <c r="V229" s="3">
        <v>0</v>
      </c>
      <c r="AB229" s="3" t="str">
        <f t="shared" si="1"/>
        <v>___</v>
      </c>
      <c r="AC229" s="3" t="str">
        <f t="shared" si="0"/>
        <v>____</v>
      </c>
      <c r="AE229" s="3" t="s">
        <v>63</v>
      </c>
    </row>
    <row r="230" spans="1:31" ht="12.5">
      <c r="A230" s="12">
        <v>45482</v>
      </c>
      <c r="B230" s="3">
        <v>970</v>
      </c>
      <c r="C230" s="3">
        <v>42</v>
      </c>
      <c r="D230" s="3" t="s">
        <v>33</v>
      </c>
      <c r="E230" s="3"/>
      <c r="F230" s="3" t="s">
        <v>43</v>
      </c>
      <c r="G230" s="3" t="s">
        <v>40</v>
      </c>
      <c r="H230" s="3">
        <v>2</v>
      </c>
      <c r="I230" s="4">
        <v>45434</v>
      </c>
      <c r="J230" s="4">
        <v>45313</v>
      </c>
      <c r="K230" s="3">
        <v>5</v>
      </c>
      <c r="L230" s="3" t="s">
        <v>36</v>
      </c>
      <c r="M230" s="3">
        <v>59</v>
      </c>
      <c r="N230" s="3">
        <v>8</v>
      </c>
      <c r="O230" s="3">
        <v>8</v>
      </c>
      <c r="T230" s="3">
        <v>0</v>
      </c>
      <c r="U230" s="3">
        <v>0</v>
      </c>
      <c r="V230" s="3">
        <v>0</v>
      </c>
      <c r="AB230" s="3" t="str">
        <f t="shared" si="1"/>
        <v>970_42_T4-C-5_vm</v>
      </c>
      <c r="AC230" s="3" t="str">
        <f t="shared" si="0"/>
        <v>970_42_T4-C-5_vm_2</v>
      </c>
      <c r="AE230" s="3" t="s">
        <v>63</v>
      </c>
    </row>
    <row r="231" spans="1:31" ht="12.5">
      <c r="E231" s="3"/>
      <c r="F231" s="3"/>
      <c r="G231" s="3"/>
      <c r="L231" s="3" t="s">
        <v>38</v>
      </c>
      <c r="M231" s="3">
        <v>79</v>
      </c>
      <c r="N231" s="3">
        <v>0</v>
      </c>
      <c r="O231" s="3">
        <v>4</v>
      </c>
      <c r="P231" s="3">
        <v>2</v>
      </c>
      <c r="Q231" s="3">
        <v>2</v>
      </c>
      <c r="T231" s="3">
        <v>0</v>
      </c>
      <c r="U231" s="3">
        <v>0</v>
      </c>
      <c r="V231" s="3">
        <v>0</v>
      </c>
      <c r="AB231" s="3" t="str">
        <f t="shared" si="1"/>
        <v>___</v>
      </c>
      <c r="AC231" s="3" t="str">
        <f t="shared" si="0"/>
        <v>____</v>
      </c>
      <c r="AE231" s="3" t="s">
        <v>63</v>
      </c>
    </row>
    <row r="232" spans="1:31" ht="12.5">
      <c r="E232" s="3"/>
      <c r="F232" s="3"/>
      <c r="G232" s="3"/>
      <c r="L232" s="3" t="s">
        <v>39</v>
      </c>
      <c r="M232" s="3">
        <v>7</v>
      </c>
      <c r="N232" s="3">
        <v>0</v>
      </c>
      <c r="O232" s="3">
        <v>0</v>
      </c>
      <c r="P232" s="3">
        <v>1</v>
      </c>
      <c r="Q232" s="3">
        <v>1</v>
      </c>
      <c r="T232" s="3">
        <v>0</v>
      </c>
      <c r="U232" s="3">
        <v>0</v>
      </c>
      <c r="V232" s="3">
        <v>0</v>
      </c>
      <c r="AB232" s="3" t="str">
        <f t="shared" si="1"/>
        <v>___</v>
      </c>
      <c r="AC232" s="3" t="str">
        <f t="shared" si="0"/>
        <v>____</v>
      </c>
      <c r="AE232" s="3" t="s">
        <v>63</v>
      </c>
    </row>
    <row r="233" spans="1:31" ht="12.5">
      <c r="A233" s="12">
        <v>45482</v>
      </c>
      <c r="B233" s="3">
        <v>970</v>
      </c>
      <c r="C233" s="3">
        <v>42</v>
      </c>
      <c r="D233" s="3" t="s">
        <v>33</v>
      </c>
      <c r="E233" s="3"/>
      <c r="F233" s="3" t="s">
        <v>43</v>
      </c>
      <c r="G233" s="3" t="s">
        <v>40</v>
      </c>
      <c r="H233" s="3">
        <v>3</v>
      </c>
      <c r="I233" s="3">
        <v>27</v>
      </c>
      <c r="J233" s="3">
        <v>30</v>
      </c>
      <c r="K233" s="3">
        <v>5</v>
      </c>
      <c r="L233" s="3" t="s">
        <v>36</v>
      </c>
      <c r="M233" s="3">
        <v>67</v>
      </c>
      <c r="N233" s="3">
        <v>8</v>
      </c>
      <c r="O233" s="3">
        <v>8</v>
      </c>
      <c r="AB233" s="3" t="str">
        <f t="shared" si="1"/>
        <v>970_42_T4-C-5_vm</v>
      </c>
      <c r="AC233" s="3" t="str">
        <f t="shared" si="0"/>
        <v>970_42_T4-C-5_vm_3</v>
      </c>
      <c r="AE233" s="3" t="s">
        <v>63</v>
      </c>
    </row>
    <row r="234" spans="1:31" ht="12.5">
      <c r="E234" s="3"/>
      <c r="F234" s="3"/>
      <c r="G234" s="3"/>
      <c r="L234" s="3" t="s">
        <v>38</v>
      </c>
      <c r="M234" s="3">
        <v>67</v>
      </c>
      <c r="N234" s="3">
        <v>0</v>
      </c>
      <c r="O234" s="3">
        <v>2</v>
      </c>
      <c r="P234" s="3">
        <v>2</v>
      </c>
      <c r="Q234" s="3">
        <v>2</v>
      </c>
      <c r="AB234" s="3" t="str">
        <f t="shared" si="1"/>
        <v>___</v>
      </c>
      <c r="AC234" s="3" t="str">
        <f t="shared" si="0"/>
        <v>____</v>
      </c>
      <c r="AE234" s="3" t="s">
        <v>63</v>
      </c>
    </row>
    <row r="235" spans="1:31" ht="12.5">
      <c r="E235" s="3"/>
      <c r="F235" s="3"/>
      <c r="G235" s="3"/>
      <c r="L235" s="3" t="s">
        <v>39</v>
      </c>
      <c r="M235" s="3">
        <v>37</v>
      </c>
      <c r="N235" s="3">
        <v>0</v>
      </c>
      <c r="O235" s="3">
        <v>2</v>
      </c>
      <c r="P235" s="3">
        <v>1</v>
      </c>
      <c r="Q235" s="3">
        <v>1</v>
      </c>
      <c r="AB235" s="3" t="str">
        <f t="shared" si="1"/>
        <v>___</v>
      </c>
      <c r="AC235" s="3" t="str">
        <f t="shared" si="0"/>
        <v>____</v>
      </c>
      <c r="AE235" s="3" t="s">
        <v>63</v>
      </c>
    </row>
    <row r="236" spans="1:31" ht="12.5">
      <c r="A236" s="12">
        <v>45482</v>
      </c>
      <c r="B236" s="3">
        <v>970</v>
      </c>
      <c r="C236" s="3">
        <v>42</v>
      </c>
      <c r="D236" s="3" t="s">
        <v>33</v>
      </c>
      <c r="E236" s="3"/>
      <c r="F236" s="3" t="s">
        <v>43</v>
      </c>
      <c r="G236" s="3" t="s">
        <v>35</v>
      </c>
      <c r="H236" s="3">
        <v>1</v>
      </c>
      <c r="I236" s="3">
        <v>12</v>
      </c>
      <c r="J236" s="4">
        <v>45360</v>
      </c>
      <c r="K236" s="3">
        <v>4</v>
      </c>
      <c r="L236" s="3" t="s">
        <v>36</v>
      </c>
      <c r="M236" s="3">
        <v>29</v>
      </c>
      <c r="N236" s="3">
        <v>12</v>
      </c>
      <c r="O236" s="3">
        <v>12</v>
      </c>
      <c r="AB236" s="3" t="str">
        <f t="shared" si="1"/>
        <v>970_42_T4-C-5_vv</v>
      </c>
      <c r="AC236" s="3" t="str">
        <f t="shared" si="0"/>
        <v>970_42_T4-C-5_vv_1</v>
      </c>
      <c r="AE236" s="3" t="s">
        <v>63</v>
      </c>
    </row>
    <row r="237" spans="1:31" ht="12.5">
      <c r="E237" s="3"/>
      <c r="F237" s="3"/>
      <c r="G237" s="3"/>
      <c r="L237" s="3" t="s">
        <v>38</v>
      </c>
      <c r="M237" s="3">
        <v>36</v>
      </c>
      <c r="N237" s="3">
        <v>9</v>
      </c>
      <c r="O237" s="3">
        <v>13</v>
      </c>
      <c r="AB237" s="3" t="str">
        <f t="shared" si="1"/>
        <v>___</v>
      </c>
      <c r="AC237" s="3" t="str">
        <f t="shared" si="0"/>
        <v>____</v>
      </c>
      <c r="AE237" s="3" t="s">
        <v>63</v>
      </c>
    </row>
    <row r="238" spans="1:31" ht="12.5">
      <c r="E238" s="3"/>
      <c r="F238" s="3"/>
      <c r="G238" s="3"/>
      <c r="L238" s="3" t="s">
        <v>39</v>
      </c>
      <c r="M238" s="3">
        <v>22</v>
      </c>
      <c r="N238" s="3">
        <v>5</v>
      </c>
      <c r="O238" s="3">
        <v>7</v>
      </c>
      <c r="AB238" s="3" t="str">
        <f t="shared" si="1"/>
        <v>___</v>
      </c>
      <c r="AC238" s="3" t="str">
        <f t="shared" si="0"/>
        <v>____</v>
      </c>
      <c r="AE238" s="3" t="s">
        <v>63</v>
      </c>
    </row>
    <row r="239" spans="1:31" ht="12.5">
      <c r="A239" s="12">
        <v>45482</v>
      </c>
      <c r="B239" s="3">
        <v>970</v>
      </c>
      <c r="C239" s="3">
        <v>42</v>
      </c>
      <c r="D239" s="3" t="s">
        <v>33</v>
      </c>
      <c r="E239" s="3"/>
      <c r="F239" s="3" t="s">
        <v>43</v>
      </c>
      <c r="G239" s="3" t="s">
        <v>35</v>
      </c>
      <c r="H239" s="3">
        <v>2</v>
      </c>
      <c r="I239" s="3">
        <v>21</v>
      </c>
      <c r="J239" s="3">
        <v>24</v>
      </c>
      <c r="K239" s="3">
        <v>4</v>
      </c>
      <c r="L239" s="3" t="s">
        <v>36</v>
      </c>
      <c r="M239" s="3">
        <v>40</v>
      </c>
      <c r="N239" s="3">
        <v>14</v>
      </c>
      <c r="O239" s="3">
        <v>15</v>
      </c>
      <c r="AB239" s="3" t="str">
        <f t="shared" si="1"/>
        <v>970_42_T4-C-5_vv</v>
      </c>
      <c r="AC239" s="3" t="str">
        <f t="shared" si="0"/>
        <v>970_42_T4-C-5_vv_2</v>
      </c>
      <c r="AE239" s="3" t="s">
        <v>63</v>
      </c>
    </row>
    <row r="240" spans="1:31" ht="12.5">
      <c r="E240" s="3"/>
      <c r="F240" s="3"/>
      <c r="G240" s="3"/>
      <c r="L240" s="3" t="s">
        <v>38</v>
      </c>
      <c r="M240" s="3">
        <v>73</v>
      </c>
      <c r="N240" s="3">
        <v>12</v>
      </c>
      <c r="O240" s="3">
        <v>15</v>
      </c>
      <c r="AB240" s="3" t="str">
        <f t="shared" si="1"/>
        <v>___</v>
      </c>
      <c r="AC240" s="3" t="str">
        <f t="shared" si="0"/>
        <v>____</v>
      </c>
      <c r="AE240" s="3" t="s">
        <v>63</v>
      </c>
    </row>
    <row r="241" spans="1:31" ht="12.5">
      <c r="E241" s="3"/>
      <c r="F241" s="3"/>
      <c r="G241" s="3"/>
      <c r="L241" s="3" t="s">
        <v>39</v>
      </c>
      <c r="M241" s="3">
        <v>65</v>
      </c>
      <c r="N241" s="3">
        <v>11</v>
      </c>
      <c r="O241" s="3">
        <v>15</v>
      </c>
      <c r="AB241" s="3" t="str">
        <f t="shared" si="1"/>
        <v>___</v>
      </c>
      <c r="AC241" s="3" t="str">
        <f t="shared" si="0"/>
        <v>____</v>
      </c>
      <c r="AE241" s="3" t="s">
        <v>63</v>
      </c>
    </row>
    <row r="242" spans="1:31" ht="12.5">
      <c r="A242" s="12">
        <v>45482</v>
      </c>
      <c r="B242" s="3">
        <v>970</v>
      </c>
      <c r="C242" s="3">
        <v>42</v>
      </c>
      <c r="D242" s="3" t="s">
        <v>33</v>
      </c>
      <c r="E242" s="3"/>
      <c r="F242" s="3" t="s">
        <v>43</v>
      </c>
      <c r="G242" s="3" t="s">
        <v>35</v>
      </c>
      <c r="H242" s="3">
        <v>3</v>
      </c>
      <c r="I242" s="4">
        <v>45521</v>
      </c>
      <c r="J242" s="4">
        <v>45368</v>
      </c>
      <c r="K242" s="3">
        <v>3</v>
      </c>
      <c r="L242" s="3" t="s">
        <v>36</v>
      </c>
      <c r="M242" s="3">
        <v>73</v>
      </c>
      <c r="N242" s="3">
        <v>15</v>
      </c>
      <c r="O242" s="3">
        <v>18</v>
      </c>
      <c r="AB242" s="3" t="str">
        <f t="shared" si="1"/>
        <v>970_42_T4-C-5_vv</v>
      </c>
      <c r="AC242" s="3" t="str">
        <f t="shared" si="0"/>
        <v>970_42_T4-C-5_vv_3</v>
      </c>
      <c r="AE242" s="3" t="s">
        <v>63</v>
      </c>
    </row>
    <row r="243" spans="1:31" ht="12.5">
      <c r="E243" s="3"/>
      <c r="F243" s="3"/>
      <c r="G243" s="3"/>
      <c r="L243" s="3" t="s">
        <v>38</v>
      </c>
      <c r="M243" s="3">
        <v>56</v>
      </c>
      <c r="N243" s="3">
        <v>8</v>
      </c>
      <c r="O243" s="3">
        <v>9</v>
      </c>
      <c r="AB243" s="3" t="str">
        <f t="shared" si="1"/>
        <v>___</v>
      </c>
      <c r="AC243" s="3" t="str">
        <f t="shared" si="0"/>
        <v>____</v>
      </c>
      <c r="AE243" s="3" t="s">
        <v>63</v>
      </c>
    </row>
    <row r="244" spans="1:31" ht="12.5">
      <c r="E244" s="3"/>
      <c r="F244" s="3"/>
      <c r="G244" s="3"/>
      <c r="L244" s="3" t="s">
        <v>39</v>
      </c>
      <c r="M244" s="3">
        <v>45</v>
      </c>
      <c r="N244" s="3">
        <v>0</v>
      </c>
      <c r="O244" s="3">
        <v>5</v>
      </c>
      <c r="AB244" s="3" t="str">
        <f t="shared" si="1"/>
        <v>___</v>
      </c>
      <c r="AC244" s="3" t="str">
        <f t="shared" si="0"/>
        <v>____</v>
      </c>
      <c r="AE244" s="3" t="s">
        <v>63</v>
      </c>
    </row>
    <row r="245" spans="1:31" ht="12.5">
      <c r="A245" s="12">
        <v>45488</v>
      </c>
      <c r="B245" s="3" t="s">
        <v>66</v>
      </c>
      <c r="D245" s="3" t="s">
        <v>33</v>
      </c>
      <c r="E245" s="3" t="s">
        <v>42</v>
      </c>
      <c r="F245" s="3"/>
      <c r="G245" s="3" t="s">
        <v>40</v>
      </c>
      <c r="H245" s="3">
        <v>1</v>
      </c>
      <c r="I245" s="4">
        <v>45433</v>
      </c>
      <c r="J245" s="4">
        <v>45405</v>
      </c>
      <c r="K245" s="3">
        <v>6</v>
      </c>
      <c r="L245" s="3" t="s">
        <v>36</v>
      </c>
      <c r="M245" s="3">
        <v>28</v>
      </c>
      <c r="N245" s="3">
        <v>6</v>
      </c>
      <c r="O245" s="3">
        <v>6</v>
      </c>
      <c r="T245" s="3">
        <v>0</v>
      </c>
      <c r="U245" s="3">
        <v>0</v>
      </c>
      <c r="V245" s="3">
        <v>0</v>
      </c>
      <c r="AB245" s="3" t="str">
        <f t="shared" si="1"/>
        <v>KA_F___vm</v>
      </c>
      <c r="AC245" s="3" t="str">
        <f t="shared" si="0"/>
        <v>KA_F___vm_1</v>
      </c>
    </row>
    <row r="246" spans="1:31" ht="12.5">
      <c r="E246" s="3"/>
      <c r="F246" s="3"/>
      <c r="G246" s="3"/>
      <c r="L246" s="3" t="s">
        <v>38</v>
      </c>
      <c r="M246" s="3">
        <v>14</v>
      </c>
      <c r="N246" s="3">
        <v>0</v>
      </c>
      <c r="O246" s="3">
        <v>1</v>
      </c>
      <c r="P246" s="3">
        <v>1</v>
      </c>
      <c r="Q246" s="3">
        <v>1</v>
      </c>
      <c r="AB246" s="3" t="str">
        <f t="shared" si="1"/>
        <v>___</v>
      </c>
      <c r="AC246" s="3" t="str">
        <f t="shared" si="0"/>
        <v>____</v>
      </c>
    </row>
    <row r="247" spans="1:31" ht="12.5">
      <c r="E247" s="3"/>
      <c r="F247" s="3"/>
      <c r="G247" s="3"/>
      <c r="L247" s="3" t="s">
        <v>39</v>
      </c>
      <c r="M247" s="3">
        <v>32</v>
      </c>
      <c r="N247" s="3">
        <v>0</v>
      </c>
      <c r="O247" s="3">
        <v>6</v>
      </c>
      <c r="P247" s="3">
        <v>1</v>
      </c>
      <c r="Q247" s="3">
        <v>1</v>
      </c>
      <c r="AB247" s="3" t="str">
        <f t="shared" si="1"/>
        <v>___</v>
      </c>
      <c r="AC247" s="3" t="str">
        <f t="shared" si="0"/>
        <v>____</v>
      </c>
    </row>
    <row r="248" spans="1:31" ht="12.5">
      <c r="A248" s="12">
        <v>45488</v>
      </c>
      <c r="B248" s="3" t="s">
        <v>66</v>
      </c>
      <c r="D248" s="3" t="s">
        <v>33</v>
      </c>
      <c r="E248" s="3" t="s">
        <v>42</v>
      </c>
      <c r="F248" s="3"/>
      <c r="G248" s="3" t="s">
        <v>40</v>
      </c>
      <c r="H248" s="3">
        <v>2</v>
      </c>
      <c r="I248" s="4">
        <v>45343</v>
      </c>
      <c r="J248" s="4">
        <v>45463</v>
      </c>
      <c r="K248" s="3">
        <v>6</v>
      </c>
      <c r="L248" s="3" t="s">
        <v>36</v>
      </c>
      <c r="M248" s="3">
        <v>55</v>
      </c>
      <c r="N248" s="3">
        <v>7</v>
      </c>
      <c r="O248" s="3">
        <v>7</v>
      </c>
      <c r="AB248" s="3" t="str">
        <f t="shared" si="1"/>
        <v>KA_F___vm</v>
      </c>
      <c r="AC248" s="3" t="str">
        <f t="shared" si="0"/>
        <v>KA_F___vm_2</v>
      </c>
    </row>
    <row r="249" spans="1:31" ht="12.5">
      <c r="E249" s="3"/>
      <c r="G249" s="3"/>
      <c r="L249" s="3" t="s">
        <v>38</v>
      </c>
      <c r="M249" s="3">
        <v>51</v>
      </c>
      <c r="N249" s="3">
        <v>0</v>
      </c>
      <c r="O249" s="3">
        <v>4</v>
      </c>
      <c r="P249" s="3">
        <v>2</v>
      </c>
      <c r="Q249" s="3">
        <v>2</v>
      </c>
      <c r="AB249" s="3" t="str">
        <f t="shared" si="1"/>
        <v>___</v>
      </c>
      <c r="AC249" s="3" t="str">
        <f t="shared" si="0"/>
        <v>____</v>
      </c>
    </row>
    <row r="250" spans="1:31" ht="12.5">
      <c r="E250" s="3"/>
      <c r="F250" s="3"/>
      <c r="G250" s="3"/>
      <c r="L250" s="3" t="s">
        <v>39</v>
      </c>
      <c r="M250" s="3">
        <v>11</v>
      </c>
      <c r="N250" s="3">
        <v>0</v>
      </c>
      <c r="O250" s="3">
        <v>3</v>
      </c>
      <c r="AB250" s="3" t="str">
        <f t="shared" si="1"/>
        <v>___</v>
      </c>
      <c r="AC250" s="3" t="str">
        <f t="shared" si="0"/>
        <v>____</v>
      </c>
    </row>
    <row r="251" spans="1:31" ht="12.5">
      <c r="A251" s="12">
        <v>45488</v>
      </c>
      <c r="B251" s="3" t="s">
        <v>66</v>
      </c>
      <c r="D251" s="3" t="s">
        <v>33</v>
      </c>
      <c r="E251" s="3" t="s">
        <v>42</v>
      </c>
      <c r="F251" s="3"/>
      <c r="G251" s="3" t="s">
        <v>40</v>
      </c>
      <c r="H251" s="3">
        <v>3</v>
      </c>
      <c r="I251" s="4">
        <v>45310</v>
      </c>
      <c r="J251" s="4">
        <v>45436</v>
      </c>
      <c r="K251" s="3">
        <v>9</v>
      </c>
      <c r="L251" s="3" t="s">
        <v>36</v>
      </c>
      <c r="M251" s="3">
        <v>11</v>
      </c>
      <c r="N251" s="3">
        <v>3</v>
      </c>
      <c r="O251" s="3">
        <v>3</v>
      </c>
      <c r="AB251" s="3" t="str">
        <f t="shared" si="1"/>
        <v>KA_F___vm</v>
      </c>
      <c r="AC251" s="3" t="str">
        <f t="shared" si="0"/>
        <v>KA_F___vm_3</v>
      </c>
    </row>
    <row r="252" spans="1:31" ht="12.5">
      <c r="E252" s="3"/>
      <c r="F252" s="3"/>
      <c r="G252" s="3"/>
      <c r="L252" s="3" t="s">
        <v>38</v>
      </c>
      <c r="M252" s="3">
        <v>5</v>
      </c>
      <c r="N252" s="3">
        <v>0</v>
      </c>
      <c r="O252" s="3">
        <v>3</v>
      </c>
      <c r="P252" s="3">
        <v>1</v>
      </c>
      <c r="Q252" s="3">
        <v>1</v>
      </c>
      <c r="AB252" s="3" t="str">
        <f t="shared" si="1"/>
        <v>___</v>
      </c>
      <c r="AC252" s="3" t="str">
        <f t="shared" si="0"/>
        <v>____</v>
      </c>
    </row>
    <row r="253" spans="1:31" ht="12.5">
      <c r="E253" s="3"/>
      <c r="F253" s="3"/>
      <c r="G253" s="3"/>
      <c r="L253" s="3" t="s">
        <v>39</v>
      </c>
      <c r="M253" s="3">
        <v>24</v>
      </c>
      <c r="N253" s="3">
        <v>0</v>
      </c>
      <c r="O253" s="3">
        <v>4</v>
      </c>
      <c r="P253" s="3">
        <v>1</v>
      </c>
      <c r="Q253" s="3">
        <v>1</v>
      </c>
      <c r="AB253" s="3" t="str">
        <f t="shared" si="1"/>
        <v>___</v>
      </c>
      <c r="AC253" s="3" t="str">
        <f t="shared" si="0"/>
        <v>____</v>
      </c>
    </row>
    <row r="254" spans="1:31" ht="12.5">
      <c r="A254" s="12">
        <v>45488</v>
      </c>
      <c r="B254" s="3" t="s">
        <v>66</v>
      </c>
      <c r="D254" s="3" t="s">
        <v>33</v>
      </c>
      <c r="E254" s="3" t="s">
        <v>42</v>
      </c>
      <c r="F254" s="3"/>
      <c r="G254" s="3" t="s">
        <v>35</v>
      </c>
      <c r="H254" s="3">
        <v>1</v>
      </c>
      <c r="I254" s="4">
        <v>45345</v>
      </c>
      <c r="J254" s="4">
        <v>45492</v>
      </c>
      <c r="K254" s="3">
        <v>6</v>
      </c>
      <c r="L254" s="3" t="s">
        <v>36</v>
      </c>
      <c r="M254" s="3">
        <v>32</v>
      </c>
      <c r="N254" s="3">
        <v>11</v>
      </c>
      <c r="O254" s="3">
        <v>11</v>
      </c>
      <c r="AB254" s="3" t="str">
        <f t="shared" si="1"/>
        <v>KA_F___vv</v>
      </c>
      <c r="AC254" s="3" t="str">
        <f t="shared" si="0"/>
        <v>KA_F___vv_1</v>
      </c>
    </row>
    <row r="255" spans="1:31" ht="12.5">
      <c r="E255" s="3"/>
      <c r="F255" s="3"/>
      <c r="G255" s="3"/>
      <c r="L255" s="3" t="s">
        <v>38</v>
      </c>
      <c r="M255" s="3">
        <v>28</v>
      </c>
      <c r="N255" s="3">
        <v>0</v>
      </c>
      <c r="O255" s="3">
        <v>10</v>
      </c>
      <c r="AB255" s="3" t="str">
        <f t="shared" si="1"/>
        <v>___</v>
      </c>
      <c r="AC255" s="3" t="str">
        <f t="shared" si="0"/>
        <v>____</v>
      </c>
    </row>
    <row r="256" spans="1:31" ht="12.5">
      <c r="E256" s="3"/>
      <c r="F256" s="3"/>
      <c r="G256" s="3"/>
      <c r="L256" s="3" t="s">
        <v>39</v>
      </c>
      <c r="M256" s="3">
        <v>35</v>
      </c>
      <c r="N256" s="3">
        <v>0</v>
      </c>
      <c r="O256" s="3">
        <v>10</v>
      </c>
      <c r="AB256" s="3" t="str">
        <f t="shared" si="1"/>
        <v>___</v>
      </c>
      <c r="AC256" s="3" t="str">
        <f t="shared" si="0"/>
        <v>____</v>
      </c>
    </row>
    <row r="257" spans="1:29" ht="12.5">
      <c r="A257" s="12">
        <v>45488</v>
      </c>
      <c r="B257" s="3" t="s">
        <v>66</v>
      </c>
      <c r="D257" s="3" t="s">
        <v>33</v>
      </c>
      <c r="E257" s="3" t="s">
        <v>42</v>
      </c>
      <c r="F257" s="3"/>
      <c r="G257" s="3" t="s">
        <v>35</v>
      </c>
      <c r="H257" s="3">
        <v>2</v>
      </c>
      <c r="I257" s="4">
        <v>45464</v>
      </c>
      <c r="J257" s="4">
        <v>45367</v>
      </c>
      <c r="K257" s="3">
        <v>3</v>
      </c>
      <c r="L257" s="3" t="s">
        <v>36</v>
      </c>
      <c r="M257" s="3">
        <v>63</v>
      </c>
      <c r="N257" s="3">
        <v>14</v>
      </c>
      <c r="O257" s="3">
        <v>15</v>
      </c>
      <c r="AB257" s="3" t="str">
        <f t="shared" si="1"/>
        <v>KA_F___vv</v>
      </c>
      <c r="AC257" s="3" t="str">
        <f t="shared" ref="AC257:AC511" si="2">CONCATENATE(B257,"_",C257,"_",F257,"_",G257,"_",H257)</f>
        <v>KA_F___vv_2</v>
      </c>
    </row>
    <row r="258" spans="1:29" ht="12.5">
      <c r="E258" s="3"/>
      <c r="F258" s="3"/>
      <c r="G258" s="3"/>
      <c r="L258" s="3" t="s">
        <v>38</v>
      </c>
      <c r="M258" s="3">
        <v>45</v>
      </c>
      <c r="N258" s="3">
        <v>6</v>
      </c>
      <c r="O258" s="3">
        <v>16</v>
      </c>
      <c r="AB258" s="3" t="str">
        <f t="shared" ref="AB258:AB512" si="3">CONCATENATE(B258, "_",C258,"_",F258,"_",G258)</f>
        <v>___</v>
      </c>
      <c r="AC258" s="3" t="str">
        <f t="shared" si="2"/>
        <v>____</v>
      </c>
    </row>
    <row r="259" spans="1:29" ht="12.5">
      <c r="E259" s="3"/>
      <c r="F259" s="3"/>
      <c r="G259" s="3"/>
      <c r="L259" s="3" t="s">
        <v>39</v>
      </c>
      <c r="M259" s="3">
        <v>57</v>
      </c>
      <c r="N259" s="3">
        <v>0</v>
      </c>
      <c r="O259" s="3">
        <v>8</v>
      </c>
      <c r="AB259" s="3" t="str">
        <f t="shared" si="3"/>
        <v>___</v>
      </c>
      <c r="AC259" s="3" t="str">
        <f t="shared" si="2"/>
        <v>____</v>
      </c>
    </row>
    <row r="260" spans="1:29" ht="12.5">
      <c r="A260" s="12">
        <v>45488</v>
      </c>
      <c r="B260" s="3" t="s">
        <v>66</v>
      </c>
      <c r="D260" s="3" t="s">
        <v>33</v>
      </c>
      <c r="E260" s="3" t="s">
        <v>42</v>
      </c>
      <c r="F260" s="3"/>
      <c r="G260" s="3" t="s">
        <v>35</v>
      </c>
      <c r="H260" s="3">
        <v>3</v>
      </c>
      <c r="I260" s="4">
        <v>45461</v>
      </c>
      <c r="J260" s="4">
        <v>45460</v>
      </c>
      <c r="K260" s="3">
        <v>4</v>
      </c>
      <c r="L260" s="3" t="s">
        <v>36</v>
      </c>
      <c r="M260" s="3">
        <v>60</v>
      </c>
      <c r="N260" s="3">
        <v>12</v>
      </c>
      <c r="O260" s="3">
        <v>15</v>
      </c>
      <c r="AB260" s="3" t="str">
        <f t="shared" si="3"/>
        <v>KA_F___vv</v>
      </c>
      <c r="AC260" s="3" t="str">
        <f t="shared" si="2"/>
        <v>KA_F___vv_3</v>
      </c>
    </row>
    <row r="261" spans="1:29" ht="12.5">
      <c r="E261" s="3"/>
      <c r="F261" s="3"/>
      <c r="G261" s="3"/>
      <c r="L261" s="3" t="s">
        <v>38</v>
      </c>
      <c r="M261" s="3">
        <v>43</v>
      </c>
      <c r="N261" s="3">
        <v>7</v>
      </c>
      <c r="O261" s="3">
        <v>12</v>
      </c>
      <c r="AB261" s="3" t="str">
        <f t="shared" si="3"/>
        <v>___</v>
      </c>
      <c r="AC261" s="3" t="str">
        <f t="shared" si="2"/>
        <v>____</v>
      </c>
    </row>
    <row r="262" spans="1:29" ht="12.5">
      <c r="E262" s="3"/>
      <c r="F262" s="3"/>
      <c r="G262" s="3"/>
      <c r="L262" s="3" t="s">
        <v>39</v>
      </c>
      <c r="M262" s="3">
        <v>19</v>
      </c>
      <c r="N262" s="3">
        <v>0</v>
      </c>
      <c r="O262" s="3">
        <v>4</v>
      </c>
      <c r="AB262" s="3" t="str">
        <f t="shared" si="3"/>
        <v>___</v>
      </c>
      <c r="AC262" s="3" t="str">
        <f t="shared" si="2"/>
        <v>____</v>
      </c>
    </row>
    <row r="263" spans="1:29" ht="12.5">
      <c r="A263" s="12">
        <v>45488</v>
      </c>
      <c r="B263" s="3" t="s">
        <v>67</v>
      </c>
      <c r="D263" s="3" t="s">
        <v>33</v>
      </c>
      <c r="E263" s="3" t="s">
        <v>34</v>
      </c>
      <c r="F263" s="3"/>
      <c r="G263" s="3" t="s">
        <v>40</v>
      </c>
      <c r="H263" s="3">
        <v>1</v>
      </c>
      <c r="I263" s="4">
        <v>45426</v>
      </c>
      <c r="J263" s="4">
        <v>45401</v>
      </c>
      <c r="K263" s="3">
        <v>8</v>
      </c>
      <c r="L263" s="3" t="s">
        <v>36</v>
      </c>
      <c r="M263" s="3">
        <v>25</v>
      </c>
      <c r="N263" s="3">
        <v>6</v>
      </c>
      <c r="O263" s="3">
        <v>6</v>
      </c>
      <c r="AB263" s="3" t="str">
        <f t="shared" si="3"/>
        <v>KA_O___vm</v>
      </c>
      <c r="AC263" s="3" t="str">
        <f t="shared" si="2"/>
        <v>KA_O___vm_1</v>
      </c>
    </row>
    <row r="264" spans="1:29" ht="12.5">
      <c r="E264" s="3"/>
      <c r="F264" s="3"/>
      <c r="G264" s="3"/>
      <c r="L264" s="3" t="s">
        <v>38</v>
      </c>
      <c r="M264" s="3">
        <v>13</v>
      </c>
      <c r="N264" s="3">
        <v>0</v>
      </c>
      <c r="O264" s="3">
        <v>2</v>
      </c>
      <c r="AB264" s="3" t="str">
        <f t="shared" si="3"/>
        <v>___</v>
      </c>
      <c r="AC264" s="3" t="str">
        <f t="shared" si="2"/>
        <v>____</v>
      </c>
    </row>
    <row r="265" spans="1:29" ht="12.5">
      <c r="E265" s="3"/>
      <c r="F265" s="3"/>
      <c r="G265" s="3"/>
      <c r="L265" s="3" t="s">
        <v>39</v>
      </c>
      <c r="M265" s="3">
        <v>27</v>
      </c>
      <c r="N265" s="3">
        <v>0</v>
      </c>
      <c r="O265" s="3">
        <v>2</v>
      </c>
      <c r="P265" s="3">
        <v>1</v>
      </c>
      <c r="Q265" s="3">
        <v>1</v>
      </c>
      <c r="AB265" s="3" t="str">
        <f t="shared" si="3"/>
        <v>___</v>
      </c>
      <c r="AC265" s="3" t="str">
        <f t="shared" si="2"/>
        <v>____</v>
      </c>
    </row>
    <row r="266" spans="1:29" ht="12.5">
      <c r="A266" s="12">
        <v>45488</v>
      </c>
      <c r="B266" s="3" t="s">
        <v>67</v>
      </c>
      <c r="D266" s="3" t="s">
        <v>33</v>
      </c>
      <c r="E266" s="3" t="s">
        <v>34</v>
      </c>
      <c r="F266" s="3"/>
      <c r="G266" s="3" t="s">
        <v>40</v>
      </c>
      <c r="H266" s="3">
        <v>2</v>
      </c>
      <c r="I266" s="4">
        <v>45548</v>
      </c>
      <c r="J266" s="4">
        <v>45548</v>
      </c>
      <c r="K266" s="3">
        <v>5</v>
      </c>
      <c r="L266" s="3" t="s">
        <v>36</v>
      </c>
      <c r="M266" s="3">
        <v>36</v>
      </c>
      <c r="N266" s="3">
        <v>8</v>
      </c>
      <c r="O266" s="3">
        <v>8</v>
      </c>
      <c r="AB266" s="3" t="str">
        <f t="shared" si="3"/>
        <v>KA_O___vm</v>
      </c>
      <c r="AC266" s="3" t="str">
        <f t="shared" si="2"/>
        <v>KA_O___vm_2</v>
      </c>
    </row>
    <row r="267" spans="1:29" ht="12.5">
      <c r="E267" s="3"/>
      <c r="F267" s="3"/>
      <c r="G267" s="3"/>
      <c r="L267" s="3" t="s">
        <v>38</v>
      </c>
      <c r="M267" s="3">
        <v>37</v>
      </c>
      <c r="N267" s="3">
        <v>1</v>
      </c>
      <c r="O267" s="3">
        <v>2</v>
      </c>
      <c r="P267" s="3">
        <v>2</v>
      </c>
      <c r="Q267" s="3">
        <v>2</v>
      </c>
      <c r="AB267" s="3" t="str">
        <f t="shared" si="3"/>
        <v>___</v>
      </c>
      <c r="AC267" s="3" t="str">
        <f t="shared" si="2"/>
        <v>____</v>
      </c>
    </row>
    <row r="268" spans="1:29" ht="12.5">
      <c r="E268" s="3"/>
      <c r="F268" s="3"/>
      <c r="G268" s="3"/>
      <c r="L268" s="3" t="s">
        <v>39</v>
      </c>
      <c r="M268" s="3">
        <v>30</v>
      </c>
      <c r="N268" s="3">
        <v>0</v>
      </c>
      <c r="O268" s="3">
        <v>2</v>
      </c>
      <c r="P268" s="3">
        <v>4</v>
      </c>
      <c r="Q268" s="3">
        <v>2</v>
      </c>
      <c r="T268" s="3"/>
      <c r="U268" s="3"/>
      <c r="V268" s="3"/>
      <c r="W268" s="3"/>
      <c r="X268" s="3"/>
      <c r="Y268" s="3"/>
      <c r="Z268" s="3" t="s">
        <v>62</v>
      </c>
      <c r="AB268" s="3" t="str">
        <f t="shared" si="3"/>
        <v>___</v>
      </c>
      <c r="AC268" s="3" t="str">
        <f t="shared" si="2"/>
        <v>____</v>
      </c>
    </row>
    <row r="269" spans="1:29" ht="12.5">
      <c r="A269" s="12">
        <v>45488</v>
      </c>
      <c r="B269" s="3" t="s">
        <v>67</v>
      </c>
      <c r="D269" s="3" t="s">
        <v>33</v>
      </c>
      <c r="E269" s="3" t="s">
        <v>34</v>
      </c>
      <c r="F269" s="3"/>
      <c r="G269" s="3" t="s">
        <v>40</v>
      </c>
      <c r="H269" s="3">
        <v>3</v>
      </c>
      <c r="I269" s="4">
        <v>45462</v>
      </c>
      <c r="J269" s="4">
        <v>45340</v>
      </c>
      <c r="K269" s="3">
        <v>5</v>
      </c>
      <c r="L269" s="3" t="s">
        <v>36</v>
      </c>
      <c r="M269" s="3">
        <v>9</v>
      </c>
      <c r="N269" s="3">
        <v>10</v>
      </c>
      <c r="O269" s="3">
        <v>10</v>
      </c>
      <c r="AB269" s="3" t="str">
        <f t="shared" si="3"/>
        <v>KA_O___vm</v>
      </c>
      <c r="AC269" s="3" t="str">
        <f t="shared" si="2"/>
        <v>KA_O___vm_3</v>
      </c>
    </row>
    <row r="270" spans="1:29" ht="12.5">
      <c r="E270" s="3"/>
      <c r="F270" s="3"/>
      <c r="G270" s="3"/>
      <c r="L270" s="3" t="s">
        <v>38</v>
      </c>
      <c r="M270" s="3">
        <v>46</v>
      </c>
      <c r="N270" s="3">
        <v>0</v>
      </c>
      <c r="O270" s="3">
        <v>2</v>
      </c>
      <c r="P270" s="3">
        <v>4</v>
      </c>
      <c r="Q270" s="3">
        <v>4</v>
      </c>
      <c r="AB270" s="3" t="str">
        <f t="shared" si="3"/>
        <v>___</v>
      </c>
      <c r="AC270" s="3" t="str">
        <f t="shared" si="2"/>
        <v>____</v>
      </c>
    </row>
    <row r="271" spans="1:29" ht="12.5">
      <c r="E271" s="3"/>
      <c r="F271" s="3"/>
      <c r="G271" s="3"/>
      <c r="L271" s="3" t="s">
        <v>39</v>
      </c>
      <c r="M271" s="3">
        <v>35</v>
      </c>
      <c r="N271" s="3">
        <v>0</v>
      </c>
      <c r="O271" s="3">
        <v>7</v>
      </c>
      <c r="P271" s="3">
        <v>2</v>
      </c>
      <c r="Q271" s="3">
        <v>2</v>
      </c>
      <c r="AB271" s="3" t="str">
        <f t="shared" si="3"/>
        <v>___</v>
      </c>
      <c r="AC271" s="3" t="str">
        <f t="shared" si="2"/>
        <v>____</v>
      </c>
    </row>
    <row r="272" spans="1:29" ht="12.5">
      <c r="A272" s="12">
        <v>45488</v>
      </c>
      <c r="B272" s="3" t="s">
        <v>67</v>
      </c>
      <c r="D272" s="3" t="s">
        <v>33</v>
      </c>
      <c r="E272" s="3" t="s">
        <v>34</v>
      </c>
      <c r="F272" s="3"/>
      <c r="G272" s="3" t="s">
        <v>35</v>
      </c>
      <c r="H272" s="3">
        <v>1</v>
      </c>
      <c r="I272" s="4">
        <v>45458</v>
      </c>
      <c r="J272" s="4">
        <v>45396</v>
      </c>
      <c r="K272" s="3">
        <v>5</v>
      </c>
      <c r="L272" s="3" t="s">
        <v>36</v>
      </c>
      <c r="M272" s="3">
        <v>56</v>
      </c>
      <c r="N272" s="3">
        <v>16</v>
      </c>
      <c r="O272" s="3">
        <v>16</v>
      </c>
      <c r="AB272" s="3" t="str">
        <f t="shared" si="3"/>
        <v>KA_O___vv</v>
      </c>
      <c r="AC272" s="3" t="str">
        <f t="shared" si="2"/>
        <v>KA_O___vv_1</v>
      </c>
    </row>
    <row r="273" spans="1:32" ht="12.5">
      <c r="E273" s="3"/>
      <c r="F273" s="3"/>
      <c r="G273" s="3"/>
      <c r="L273" s="3" t="s">
        <v>38</v>
      </c>
      <c r="M273" s="3">
        <v>35</v>
      </c>
      <c r="N273" s="3">
        <v>12</v>
      </c>
      <c r="O273" s="3">
        <v>18</v>
      </c>
      <c r="AB273" s="3" t="str">
        <f t="shared" si="3"/>
        <v>___</v>
      </c>
      <c r="AC273" s="3" t="str">
        <f t="shared" si="2"/>
        <v>____</v>
      </c>
    </row>
    <row r="274" spans="1:32" ht="12.5">
      <c r="E274" s="3"/>
      <c r="F274" s="3"/>
      <c r="G274" s="3"/>
      <c r="L274" s="3" t="s">
        <v>39</v>
      </c>
      <c r="M274" s="3">
        <v>23</v>
      </c>
      <c r="N274" s="3">
        <v>5</v>
      </c>
      <c r="O274" s="3">
        <v>16</v>
      </c>
      <c r="AB274" s="3" t="str">
        <f t="shared" si="3"/>
        <v>___</v>
      </c>
      <c r="AC274" s="3" t="str">
        <f t="shared" si="2"/>
        <v>____</v>
      </c>
    </row>
    <row r="275" spans="1:32" ht="12.5">
      <c r="A275" s="12">
        <v>45488</v>
      </c>
      <c r="B275" s="3" t="s">
        <v>67</v>
      </c>
      <c r="D275" s="3" t="s">
        <v>33</v>
      </c>
      <c r="E275" s="3" t="s">
        <v>34</v>
      </c>
      <c r="F275" s="3"/>
      <c r="G275" s="3" t="s">
        <v>35</v>
      </c>
      <c r="H275" s="3">
        <v>2</v>
      </c>
      <c r="I275" s="4">
        <v>45484</v>
      </c>
      <c r="J275" s="4">
        <v>45422</v>
      </c>
      <c r="K275" s="3">
        <v>4</v>
      </c>
      <c r="L275" s="3" t="s">
        <v>36</v>
      </c>
      <c r="M275" s="3">
        <v>35</v>
      </c>
      <c r="N275" s="3">
        <v>13</v>
      </c>
      <c r="O275" s="3">
        <v>13</v>
      </c>
      <c r="AB275" s="3" t="str">
        <f t="shared" si="3"/>
        <v>KA_O___vv</v>
      </c>
      <c r="AC275" s="3" t="str">
        <f t="shared" si="2"/>
        <v>KA_O___vv_2</v>
      </c>
    </row>
    <row r="276" spans="1:32" ht="12.5">
      <c r="E276" s="3"/>
      <c r="F276" s="3"/>
      <c r="G276" s="3"/>
      <c r="L276" s="3" t="s">
        <v>38</v>
      </c>
      <c r="M276" s="3" t="s">
        <v>47</v>
      </c>
      <c r="N276" s="3" t="s">
        <v>47</v>
      </c>
      <c r="O276" s="3" t="s">
        <v>47</v>
      </c>
      <c r="T276" s="3"/>
      <c r="U276" s="3"/>
      <c r="V276" s="3"/>
      <c r="W276" s="3"/>
      <c r="X276" s="3"/>
      <c r="Y276" s="3"/>
      <c r="Z276" s="3" t="s">
        <v>68</v>
      </c>
      <c r="AB276" s="3" t="str">
        <f t="shared" si="3"/>
        <v>___</v>
      </c>
      <c r="AC276" s="3" t="str">
        <f t="shared" si="2"/>
        <v>____</v>
      </c>
    </row>
    <row r="277" spans="1:32" ht="12.5">
      <c r="E277" s="3"/>
      <c r="F277" s="3"/>
      <c r="G277" s="3"/>
      <c r="L277" s="3" t="s">
        <v>39</v>
      </c>
      <c r="M277" s="3">
        <v>35</v>
      </c>
      <c r="N277" s="3">
        <v>11</v>
      </c>
      <c r="O277" s="3">
        <v>17</v>
      </c>
      <c r="AB277" s="3" t="str">
        <f t="shared" si="3"/>
        <v>___</v>
      </c>
      <c r="AC277" s="3" t="str">
        <f t="shared" si="2"/>
        <v>____</v>
      </c>
    </row>
    <row r="278" spans="1:32" ht="12.5">
      <c r="A278" s="12">
        <v>45488</v>
      </c>
      <c r="B278" s="3" t="s">
        <v>67</v>
      </c>
      <c r="D278" s="3" t="s">
        <v>33</v>
      </c>
      <c r="E278" s="3" t="s">
        <v>34</v>
      </c>
      <c r="F278" s="3"/>
      <c r="G278" s="3" t="s">
        <v>35</v>
      </c>
      <c r="H278" s="3">
        <v>3</v>
      </c>
      <c r="I278" s="3">
        <v>11</v>
      </c>
      <c r="J278" s="4">
        <v>45545</v>
      </c>
      <c r="K278" s="3">
        <v>3</v>
      </c>
      <c r="L278" s="3" t="s">
        <v>36</v>
      </c>
      <c r="M278" s="3">
        <v>41</v>
      </c>
      <c r="N278" s="3">
        <v>13</v>
      </c>
      <c r="O278" s="3">
        <v>15</v>
      </c>
      <c r="AB278" s="3" t="str">
        <f t="shared" si="3"/>
        <v>KA_O___vv</v>
      </c>
      <c r="AC278" s="3" t="str">
        <f t="shared" si="2"/>
        <v>KA_O___vv_3</v>
      </c>
    </row>
    <row r="279" spans="1:32" ht="12.5">
      <c r="E279" s="3"/>
      <c r="F279" s="3"/>
      <c r="G279" s="3"/>
      <c r="L279" s="3" t="s">
        <v>38</v>
      </c>
      <c r="M279" s="3">
        <v>43</v>
      </c>
      <c r="N279" s="3">
        <v>5</v>
      </c>
      <c r="O279" s="3">
        <v>13</v>
      </c>
      <c r="AB279" s="3" t="str">
        <f t="shared" si="3"/>
        <v>___</v>
      </c>
      <c r="AC279" s="3" t="str">
        <f t="shared" si="2"/>
        <v>____</v>
      </c>
    </row>
    <row r="280" spans="1:32" ht="12.5">
      <c r="E280" s="3"/>
      <c r="F280" s="3"/>
      <c r="G280" s="3"/>
      <c r="L280" s="3" t="s">
        <v>39</v>
      </c>
      <c r="M280" s="3">
        <v>29</v>
      </c>
      <c r="N280" s="3">
        <v>0</v>
      </c>
      <c r="O280" s="3">
        <v>7</v>
      </c>
      <c r="AB280" s="3" t="str">
        <f t="shared" si="3"/>
        <v>___</v>
      </c>
      <c r="AC280" s="3" t="str">
        <f t="shared" si="2"/>
        <v>____</v>
      </c>
    </row>
    <row r="281" spans="1:32" ht="12.5">
      <c r="A281" s="12">
        <v>45490</v>
      </c>
      <c r="B281" s="10">
        <v>472</v>
      </c>
      <c r="C281" s="10">
        <v>11</v>
      </c>
      <c r="D281" s="3" t="s">
        <v>33</v>
      </c>
      <c r="E281" s="3"/>
      <c r="F281" s="3"/>
      <c r="G281" s="3" t="s">
        <v>40</v>
      </c>
      <c r="H281" s="3">
        <v>1</v>
      </c>
      <c r="I281" s="4">
        <v>45517</v>
      </c>
      <c r="J281" s="4">
        <v>45398</v>
      </c>
      <c r="K281" s="3">
        <v>3</v>
      </c>
      <c r="L281" s="3" t="s">
        <v>36</v>
      </c>
      <c r="M281" s="3">
        <v>54</v>
      </c>
      <c r="N281" s="3">
        <v>8</v>
      </c>
      <c r="O281" s="3">
        <v>8</v>
      </c>
      <c r="R281" s="3">
        <v>0</v>
      </c>
      <c r="S281" s="3"/>
      <c r="T281" s="3">
        <v>3.61E-2</v>
      </c>
      <c r="U281" s="3">
        <v>2.862E-2</v>
      </c>
      <c r="V281" s="3">
        <v>0</v>
      </c>
      <c r="W281" s="3">
        <v>0</v>
      </c>
      <c r="X281" s="3"/>
      <c r="Y281" s="3"/>
      <c r="Z281" s="3" t="s">
        <v>69</v>
      </c>
      <c r="AB281" s="3" t="str">
        <f t="shared" si="3"/>
        <v>472_11__vm</v>
      </c>
      <c r="AC281" s="3" t="str">
        <f t="shared" si="2"/>
        <v>472_11__vm_1</v>
      </c>
      <c r="AE281" s="3" t="s">
        <v>37</v>
      </c>
      <c r="AF281" s="3" t="s">
        <v>37</v>
      </c>
    </row>
    <row r="282" spans="1:32" ht="12.5">
      <c r="E282" s="3"/>
      <c r="F282" s="3"/>
      <c r="G282" s="3"/>
      <c r="L282" s="3" t="s">
        <v>38</v>
      </c>
      <c r="M282" s="3">
        <v>74</v>
      </c>
      <c r="N282" s="3">
        <v>0</v>
      </c>
      <c r="O282" s="3">
        <v>5</v>
      </c>
      <c r="P282" s="3">
        <v>3</v>
      </c>
      <c r="Q282" s="3">
        <v>3</v>
      </c>
      <c r="R282" s="3">
        <v>0</v>
      </c>
      <c r="S282" s="3"/>
      <c r="T282" s="3">
        <v>0</v>
      </c>
      <c r="U282" s="3">
        <v>7.9890000000000003E-2</v>
      </c>
      <c r="V282" s="3">
        <v>0.14704</v>
      </c>
      <c r="W282" s="3">
        <v>0</v>
      </c>
      <c r="X282" s="3"/>
      <c r="AB282" s="3" t="str">
        <f t="shared" si="3"/>
        <v>___</v>
      </c>
      <c r="AC282" s="3" t="str">
        <f t="shared" si="2"/>
        <v>____</v>
      </c>
    </row>
    <row r="283" spans="1:32" ht="12.5">
      <c r="E283" s="3"/>
      <c r="F283" s="3"/>
      <c r="G283" s="3"/>
      <c r="L283" s="3" t="s">
        <v>39</v>
      </c>
      <c r="M283" s="3" t="s">
        <v>47</v>
      </c>
      <c r="N283" s="3" t="s">
        <v>47</v>
      </c>
      <c r="O283" s="3" t="s">
        <v>47</v>
      </c>
      <c r="AB283" s="3" t="str">
        <f t="shared" si="3"/>
        <v>___</v>
      </c>
      <c r="AC283" s="3" t="str">
        <f t="shared" si="2"/>
        <v>____</v>
      </c>
    </row>
    <row r="284" spans="1:32" ht="12.5">
      <c r="A284" s="12">
        <v>45490</v>
      </c>
      <c r="B284" s="3">
        <v>472</v>
      </c>
      <c r="C284" s="3">
        <v>11</v>
      </c>
      <c r="D284" s="3" t="s">
        <v>33</v>
      </c>
      <c r="E284" s="3"/>
      <c r="F284" s="3"/>
      <c r="G284" s="3" t="s">
        <v>40</v>
      </c>
      <c r="H284" s="3">
        <v>2</v>
      </c>
      <c r="I284" s="4">
        <v>45347</v>
      </c>
      <c r="J284" s="4">
        <v>45560</v>
      </c>
      <c r="K284" s="3">
        <v>6</v>
      </c>
      <c r="L284" s="3" t="s">
        <v>36</v>
      </c>
      <c r="M284" s="3">
        <v>59</v>
      </c>
      <c r="N284" s="3">
        <v>7</v>
      </c>
      <c r="O284" s="3">
        <v>7</v>
      </c>
      <c r="R284" s="3">
        <v>1</v>
      </c>
      <c r="S284" s="3"/>
      <c r="T284" s="3">
        <v>4.5690000000000001E-2</v>
      </c>
      <c r="U284" s="3">
        <v>3.1460000000000002E-2</v>
      </c>
      <c r="V284" s="3">
        <v>0</v>
      </c>
      <c r="W284" s="3">
        <v>2.0200000000000001E-3</v>
      </c>
      <c r="X284" s="3"/>
      <c r="AB284" s="3" t="str">
        <f t="shared" si="3"/>
        <v>472_11__vm</v>
      </c>
      <c r="AC284" s="3" t="str">
        <f t="shared" si="2"/>
        <v>472_11__vm_2</v>
      </c>
      <c r="AE284" s="3" t="s">
        <v>37</v>
      </c>
      <c r="AF284" s="3" t="s">
        <v>37</v>
      </c>
    </row>
    <row r="285" spans="1:32" ht="12.5">
      <c r="E285" s="3"/>
      <c r="F285" s="3"/>
      <c r="G285" s="3"/>
      <c r="L285" s="3" t="s">
        <v>38</v>
      </c>
      <c r="M285" s="3">
        <v>95</v>
      </c>
      <c r="N285" s="3">
        <v>0</v>
      </c>
      <c r="O285" s="3">
        <v>2</v>
      </c>
      <c r="P285" s="3">
        <v>5</v>
      </c>
      <c r="Q285" s="3">
        <v>5</v>
      </c>
      <c r="R285" s="3">
        <v>0</v>
      </c>
      <c r="S285" s="3"/>
      <c r="T285" s="3">
        <v>0</v>
      </c>
      <c r="U285" s="3">
        <v>0.14097000000000001</v>
      </c>
      <c r="V285" s="3">
        <v>0</v>
      </c>
      <c r="W285" s="3">
        <v>0</v>
      </c>
      <c r="X285" s="3"/>
      <c r="AB285" s="3" t="str">
        <f t="shared" si="3"/>
        <v>___</v>
      </c>
      <c r="AC285" s="3" t="str">
        <f t="shared" si="2"/>
        <v>____</v>
      </c>
    </row>
    <row r="286" spans="1:32" ht="12.5">
      <c r="E286" s="3"/>
      <c r="F286" s="3"/>
      <c r="G286" s="3"/>
      <c r="L286" s="3" t="s">
        <v>39</v>
      </c>
      <c r="M286" s="3">
        <v>24</v>
      </c>
      <c r="N286" s="3">
        <v>0</v>
      </c>
      <c r="O286" s="3">
        <v>0</v>
      </c>
      <c r="P286" s="3">
        <v>1</v>
      </c>
      <c r="Q286" s="3">
        <v>1</v>
      </c>
      <c r="R286" s="3">
        <v>0</v>
      </c>
      <c r="S286" s="3"/>
      <c r="T286" s="3">
        <v>0</v>
      </c>
      <c r="U286" s="3">
        <v>0.11429</v>
      </c>
      <c r="V286" s="3">
        <v>0.22708</v>
      </c>
      <c r="W286" s="3">
        <v>0</v>
      </c>
      <c r="X286" s="3"/>
      <c r="AB286" s="3" t="str">
        <f t="shared" si="3"/>
        <v>___</v>
      </c>
      <c r="AC286" s="3" t="str">
        <f t="shared" si="2"/>
        <v>____</v>
      </c>
    </row>
    <row r="287" spans="1:32" ht="12.5">
      <c r="A287" s="12">
        <v>45490</v>
      </c>
      <c r="B287" s="3">
        <v>472</v>
      </c>
      <c r="C287" s="3">
        <v>11</v>
      </c>
      <c r="D287" s="3" t="s">
        <v>33</v>
      </c>
      <c r="E287" s="3"/>
      <c r="F287" s="3"/>
      <c r="G287" s="3" t="s">
        <v>40</v>
      </c>
      <c r="H287" s="3">
        <v>3</v>
      </c>
      <c r="I287" s="4">
        <v>45464</v>
      </c>
      <c r="J287" s="4">
        <v>45557</v>
      </c>
      <c r="K287" s="3">
        <v>5</v>
      </c>
      <c r="L287" s="3" t="s">
        <v>36</v>
      </c>
      <c r="M287" s="3">
        <v>70</v>
      </c>
      <c r="N287" s="3">
        <v>9</v>
      </c>
      <c r="O287" s="3">
        <v>9</v>
      </c>
      <c r="R287" s="3">
        <v>1</v>
      </c>
      <c r="S287" s="3"/>
      <c r="T287" s="3">
        <v>5.2429999999999997E-2</v>
      </c>
      <c r="U287" s="11">
        <v>4.48E-2</v>
      </c>
      <c r="V287" s="3">
        <v>0</v>
      </c>
      <c r="W287" s="3">
        <v>4.761E-2</v>
      </c>
      <c r="X287" s="3"/>
      <c r="Y287" s="3"/>
      <c r="Z287" s="3" t="s">
        <v>70</v>
      </c>
      <c r="AB287" s="3" t="str">
        <f t="shared" si="3"/>
        <v>472_11__vm</v>
      </c>
      <c r="AC287" s="3" t="str">
        <f t="shared" si="2"/>
        <v>472_11__vm_3</v>
      </c>
      <c r="AE287" s="3" t="s">
        <v>37</v>
      </c>
      <c r="AF287" s="3" t="s">
        <v>37</v>
      </c>
    </row>
    <row r="288" spans="1:32" ht="12.5">
      <c r="E288" s="3"/>
      <c r="F288" s="3"/>
      <c r="G288" s="3"/>
      <c r="L288" s="3" t="s">
        <v>38</v>
      </c>
      <c r="M288" s="3">
        <v>60</v>
      </c>
      <c r="N288" s="3">
        <v>0</v>
      </c>
      <c r="O288" s="3">
        <v>3</v>
      </c>
      <c r="P288" s="3">
        <v>3</v>
      </c>
      <c r="Q288" s="3">
        <v>2</v>
      </c>
      <c r="R288" s="3">
        <v>0</v>
      </c>
      <c r="S288" s="3"/>
      <c r="T288" s="3">
        <v>0</v>
      </c>
      <c r="U288" s="3">
        <v>6.268E-2</v>
      </c>
      <c r="V288" s="3">
        <v>0.13300999999999999</v>
      </c>
      <c r="W288" s="3">
        <v>0</v>
      </c>
      <c r="X288" s="3"/>
      <c r="Y288" s="3"/>
      <c r="Z288" s="3" t="s">
        <v>60</v>
      </c>
      <c r="AB288" s="3" t="str">
        <f t="shared" si="3"/>
        <v>___</v>
      </c>
      <c r="AC288" s="3" t="str">
        <f t="shared" si="2"/>
        <v>____</v>
      </c>
    </row>
    <row r="289" spans="1:32" ht="12.5">
      <c r="E289" s="3"/>
      <c r="F289" s="3"/>
      <c r="G289" s="3"/>
      <c r="L289" s="3" t="s">
        <v>39</v>
      </c>
      <c r="M289" s="3">
        <v>67</v>
      </c>
      <c r="N289" s="3">
        <v>0</v>
      </c>
      <c r="O289" s="3">
        <v>4</v>
      </c>
      <c r="P289" s="3">
        <v>4</v>
      </c>
      <c r="Q289" s="3">
        <v>4</v>
      </c>
      <c r="R289" s="3">
        <v>0</v>
      </c>
      <c r="S289" s="3"/>
      <c r="T289" s="3">
        <v>0</v>
      </c>
      <c r="U289" s="3">
        <v>0.14207</v>
      </c>
      <c r="V289" s="3">
        <v>0.64400999999999997</v>
      </c>
      <c r="W289" s="3">
        <v>0</v>
      </c>
      <c r="X289" s="3"/>
      <c r="AB289" s="3" t="str">
        <f t="shared" si="3"/>
        <v>___</v>
      </c>
      <c r="AC289" s="3" t="str">
        <f t="shared" si="2"/>
        <v>____</v>
      </c>
    </row>
    <row r="290" spans="1:32" ht="12.5">
      <c r="A290" s="12">
        <v>45490</v>
      </c>
      <c r="B290" s="3">
        <v>472</v>
      </c>
      <c r="C290" s="3">
        <v>11</v>
      </c>
      <c r="D290" s="3" t="s">
        <v>33</v>
      </c>
      <c r="E290" s="3"/>
      <c r="F290" s="3"/>
      <c r="G290" s="3" t="s">
        <v>35</v>
      </c>
      <c r="H290" s="3">
        <v>1</v>
      </c>
      <c r="I290" s="4">
        <v>45517</v>
      </c>
      <c r="J290" s="4">
        <v>45424</v>
      </c>
      <c r="K290" s="3">
        <v>3</v>
      </c>
      <c r="L290" s="3" t="s">
        <v>36</v>
      </c>
      <c r="M290" s="3">
        <v>51</v>
      </c>
      <c r="N290" s="3">
        <v>10</v>
      </c>
      <c r="O290" s="3">
        <v>12</v>
      </c>
      <c r="R290" s="3">
        <v>0</v>
      </c>
      <c r="S290" s="3"/>
      <c r="T290" s="3">
        <v>0.10858</v>
      </c>
      <c r="U290" s="3">
        <v>1.6820000000000002E-2</v>
      </c>
      <c r="V290" s="3">
        <v>0</v>
      </c>
      <c r="W290" s="3">
        <v>0</v>
      </c>
      <c r="X290" s="3"/>
      <c r="AB290" s="3" t="str">
        <f t="shared" si="3"/>
        <v>472_11__vv</v>
      </c>
      <c r="AC290" s="3" t="str">
        <f t="shared" si="2"/>
        <v>472_11__vv_1</v>
      </c>
      <c r="AE290" s="3" t="s">
        <v>37</v>
      </c>
      <c r="AF290" s="3" t="s">
        <v>37</v>
      </c>
    </row>
    <row r="291" spans="1:32" ht="12.5">
      <c r="E291" s="3"/>
      <c r="F291" s="3"/>
      <c r="G291" s="3"/>
      <c r="L291" s="3" t="s">
        <v>38</v>
      </c>
      <c r="M291" s="3">
        <v>43</v>
      </c>
      <c r="N291" s="3">
        <v>6</v>
      </c>
      <c r="O291" s="3">
        <v>9</v>
      </c>
      <c r="R291" s="3">
        <v>0</v>
      </c>
      <c r="S291" s="3"/>
      <c r="T291" s="3">
        <v>7.6700000000000004E-2</v>
      </c>
      <c r="U291" s="3">
        <v>2.162E-2</v>
      </c>
      <c r="V291" s="3">
        <v>0</v>
      </c>
      <c r="W291" s="3">
        <v>0</v>
      </c>
      <c r="X291" s="3"/>
      <c r="AB291" s="3" t="str">
        <f t="shared" si="3"/>
        <v>___</v>
      </c>
      <c r="AC291" s="3" t="str">
        <f t="shared" si="2"/>
        <v>____</v>
      </c>
    </row>
    <row r="292" spans="1:32" ht="12.5">
      <c r="E292" s="3"/>
      <c r="F292" s="3"/>
      <c r="G292" s="3"/>
      <c r="L292" s="3" t="s">
        <v>39</v>
      </c>
      <c r="M292" s="3">
        <v>32</v>
      </c>
      <c r="N292" s="3">
        <v>0</v>
      </c>
      <c r="O292" s="3">
        <v>6</v>
      </c>
      <c r="R292" s="3">
        <v>0</v>
      </c>
      <c r="S292" s="3"/>
      <c r="T292" s="3">
        <v>0</v>
      </c>
      <c r="U292" s="3">
        <v>1.635E-2</v>
      </c>
      <c r="V292" s="3">
        <v>0</v>
      </c>
      <c r="W292" s="3">
        <v>0</v>
      </c>
      <c r="X292" s="3"/>
      <c r="AB292" s="3" t="str">
        <f t="shared" si="3"/>
        <v>___</v>
      </c>
      <c r="AC292" s="3" t="str">
        <f t="shared" si="2"/>
        <v>____</v>
      </c>
    </row>
    <row r="293" spans="1:32" ht="12.5">
      <c r="A293" s="12">
        <v>45490</v>
      </c>
      <c r="B293" s="3">
        <v>472</v>
      </c>
      <c r="C293" s="3">
        <v>11</v>
      </c>
      <c r="D293" s="3" t="s">
        <v>33</v>
      </c>
      <c r="E293" s="3"/>
      <c r="F293" s="3"/>
      <c r="G293" s="3" t="s">
        <v>35</v>
      </c>
      <c r="H293" s="3">
        <v>2</v>
      </c>
      <c r="I293" s="4">
        <v>45400</v>
      </c>
      <c r="J293" s="4">
        <v>45519</v>
      </c>
      <c r="K293" s="3">
        <v>3</v>
      </c>
      <c r="L293" s="3" t="s">
        <v>36</v>
      </c>
      <c r="M293" s="3">
        <v>59</v>
      </c>
      <c r="N293" s="3">
        <v>13</v>
      </c>
      <c r="O293" s="3">
        <v>15</v>
      </c>
      <c r="R293" s="3">
        <v>0</v>
      </c>
      <c r="S293" s="3"/>
      <c r="T293" s="3">
        <v>0.17735000000000001</v>
      </c>
      <c r="U293" s="3">
        <v>2.5510000000000001E-2</v>
      </c>
      <c r="V293" s="3">
        <v>0</v>
      </c>
      <c r="W293" s="3">
        <v>0</v>
      </c>
      <c r="X293" s="3"/>
      <c r="AB293" s="3" t="str">
        <f t="shared" si="3"/>
        <v>472_11__vv</v>
      </c>
      <c r="AC293" s="3" t="str">
        <f t="shared" si="2"/>
        <v>472_11__vv_2</v>
      </c>
      <c r="AE293" s="3" t="s">
        <v>37</v>
      </c>
      <c r="AF293" s="3" t="s">
        <v>37</v>
      </c>
    </row>
    <row r="294" spans="1:32" ht="12.5">
      <c r="E294" s="3"/>
      <c r="F294" s="3"/>
      <c r="G294" s="3"/>
      <c r="L294" s="3" t="s">
        <v>38</v>
      </c>
      <c r="M294" s="3">
        <v>44</v>
      </c>
      <c r="N294" s="3">
        <v>11</v>
      </c>
      <c r="O294" s="3">
        <v>12</v>
      </c>
      <c r="R294" s="3">
        <v>0</v>
      </c>
      <c r="S294" s="3"/>
      <c r="T294" s="3">
        <v>0.23032</v>
      </c>
      <c r="U294" s="3">
        <v>3.4750000000000003E-2</v>
      </c>
      <c r="V294" s="3">
        <v>0</v>
      </c>
      <c r="W294" s="3">
        <v>0</v>
      </c>
      <c r="X294" s="3"/>
      <c r="AB294" s="3" t="str">
        <f t="shared" si="3"/>
        <v>___</v>
      </c>
      <c r="AC294" s="3" t="str">
        <f t="shared" si="2"/>
        <v>____</v>
      </c>
    </row>
    <row r="295" spans="1:32" ht="12.5">
      <c r="E295" s="3"/>
      <c r="F295" s="3"/>
      <c r="G295" s="3"/>
      <c r="L295" s="3" t="s">
        <v>39</v>
      </c>
      <c r="M295" s="3">
        <v>60</v>
      </c>
      <c r="N295" s="3">
        <v>6</v>
      </c>
      <c r="O295" s="3">
        <v>11</v>
      </c>
      <c r="R295" s="3">
        <v>0</v>
      </c>
      <c r="S295" s="3"/>
      <c r="T295" s="3">
        <v>0.28820000000000001</v>
      </c>
      <c r="U295" s="3">
        <v>5.3719999999999997E-2</v>
      </c>
      <c r="V295" s="3">
        <v>0</v>
      </c>
      <c r="W295" s="3">
        <v>0</v>
      </c>
      <c r="X295" s="3"/>
      <c r="AB295" s="3" t="str">
        <f t="shared" si="3"/>
        <v>___</v>
      </c>
      <c r="AC295" s="3" t="str">
        <f t="shared" si="2"/>
        <v>____</v>
      </c>
    </row>
    <row r="296" spans="1:32" ht="12.5">
      <c r="A296" s="12">
        <v>45490</v>
      </c>
      <c r="B296" s="3">
        <v>472</v>
      </c>
      <c r="C296" s="3">
        <v>11</v>
      </c>
      <c r="D296" s="3" t="s">
        <v>33</v>
      </c>
      <c r="E296" s="3"/>
      <c r="F296" s="3"/>
      <c r="G296" s="3" t="s">
        <v>35</v>
      </c>
      <c r="H296" s="3">
        <v>3</v>
      </c>
      <c r="I296" s="4">
        <v>45368</v>
      </c>
      <c r="J296" s="4">
        <v>45370</v>
      </c>
      <c r="K296" s="3">
        <v>5</v>
      </c>
      <c r="L296" s="3" t="s">
        <v>36</v>
      </c>
      <c r="M296" s="3">
        <v>60</v>
      </c>
      <c r="N296" s="3">
        <v>13</v>
      </c>
      <c r="O296" s="3">
        <v>15</v>
      </c>
      <c r="R296" s="3">
        <v>0</v>
      </c>
      <c r="S296" s="3"/>
      <c r="T296" s="3">
        <v>0.16816</v>
      </c>
      <c r="U296" s="3">
        <v>2.8000000000000001E-2</v>
      </c>
      <c r="V296" s="3">
        <v>0</v>
      </c>
      <c r="W296" s="3">
        <v>0</v>
      </c>
      <c r="X296" s="3"/>
      <c r="AB296" s="3" t="str">
        <f t="shared" si="3"/>
        <v>472_11__vv</v>
      </c>
      <c r="AC296" s="3" t="str">
        <f t="shared" si="2"/>
        <v>472_11__vv_3</v>
      </c>
      <c r="AE296" s="3" t="s">
        <v>37</v>
      </c>
      <c r="AF296" s="3" t="s">
        <v>37</v>
      </c>
    </row>
    <row r="297" spans="1:32" ht="12.5">
      <c r="E297" s="3"/>
      <c r="F297" s="3"/>
      <c r="G297" s="3"/>
      <c r="L297" s="3" t="s">
        <v>38</v>
      </c>
      <c r="M297" s="3">
        <v>45</v>
      </c>
      <c r="N297" s="3">
        <v>9</v>
      </c>
      <c r="O297" s="3">
        <v>11</v>
      </c>
      <c r="R297" s="3">
        <v>0</v>
      </c>
      <c r="S297" s="3"/>
      <c r="T297" s="3">
        <v>9.8750000000000004E-2</v>
      </c>
      <c r="U297" s="3">
        <v>2.7140000000000001E-2</v>
      </c>
      <c r="V297" s="3">
        <v>0</v>
      </c>
      <c r="W297" s="3">
        <v>0</v>
      </c>
      <c r="X297" s="3"/>
      <c r="AB297" s="3" t="str">
        <f t="shared" si="3"/>
        <v>___</v>
      </c>
      <c r="AC297" s="3" t="str">
        <f t="shared" si="2"/>
        <v>____</v>
      </c>
    </row>
    <row r="298" spans="1:32" ht="12.5">
      <c r="E298" s="3"/>
      <c r="F298" s="3"/>
      <c r="G298" s="3"/>
      <c r="L298" s="3" t="s">
        <v>39</v>
      </c>
      <c r="M298" s="3">
        <v>45</v>
      </c>
      <c r="N298" s="3">
        <v>0</v>
      </c>
      <c r="O298" s="3">
        <v>7</v>
      </c>
      <c r="R298" s="3">
        <v>0</v>
      </c>
      <c r="S298" s="3"/>
      <c r="T298" s="3">
        <v>0</v>
      </c>
      <c r="U298" s="3">
        <v>2.9139999999999999E-2</v>
      </c>
      <c r="V298" s="3">
        <v>0</v>
      </c>
      <c r="W298" s="3">
        <v>0</v>
      </c>
      <c r="X298" s="3"/>
      <c r="AB298" s="3" t="str">
        <f t="shared" si="3"/>
        <v>___</v>
      </c>
      <c r="AC298" s="3" t="str">
        <f t="shared" si="2"/>
        <v>____</v>
      </c>
    </row>
    <row r="299" spans="1:32" ht="12.5">
      <c r="A299" s="12">
        <v>45490</v>
      </c>
      <c r="B299" s="10">
        <v>472</v>
      </c>
      <c r="C299" s="10">
        <v>31</v>
      </c>
      <c r="D299" s="3" t="s">
        <v>33</v>
      </c>
      <c r="E299" s="3"/>
      <c r="F299" s="3"/>
      <c r="G299" s="3" t="s">
        <v>40</v>
      </c>
      <c r="H299" s="3">
        <v>1</v>
      </c>
      <c r="I299" s="4">
        <v>45484</v>
      </c>
      <c r="J299" s="4">
        <v>45550</v>
      </c>
      <c r="K299" s="3">
        <v>5</v>
      </c>
      <c r="L299" s="3" t="s">
        <v>36</v>
      </c>
      <c r="M299" s="3">
        <v>10</v>
      </c>
      <c r="N299" s="3">
        <v>4</v>
      </c>
      <c r="O299" s="3">
        <v>4</v>
      </c>
      <c r="R299" s="3">
        <v>1</v>
      </c>
      <c r="S299" s="3"/>
      <c r="T299" s="3">
        <v>1.09E-2</v>
      </c>
      <c r="U299" s="3">
        <v>1.8500000000000001E-3</v>
      </c>
      <c r="V299" s="3">
        <v>0</v>
      </c>
      <c r="W299" s="3">
        <v>2.1760000000000002E-2</v>
      </c>
      <c r="X299" s="3"/>
      <c r="AB299" s="3" t="str">
        <f t="shared" si="3"/>
        <v>472_31__vm</v>
      </c>
      <c r="AC299" s="3" t="str">
        <f t="shared" si="2"/>
        <v>472_31__vm_1</v>
      </c>
      <c r="AE299" s="3" t="s">
        <v>37</v>
      </c>
      <c r="AF299" s="3" t="s">
        <v>37</v>
      </c>
    </row>
    <row r="300" spans="1:32" ht="12.5">
      <c r="E300" s="3"/>
      <c r="F300" s="3"/>
      <c r="G300" s="3"/>
      <c r="L300" s="3" t="s">
        <v>38</v>
      </c>
      <c r="M300" s="3">
        <v>20</v>
      </c>
      <c r="N300" s="3">
        <v>0</v>
      </c>
      <c r="O300" s="3">
        <v>4</v>
      </c>
      <c r="P300" s="3">
        <v>1</v>
      </c>
      <c r="Q300" s="3">
        <v>1</v>
      </c>
      <c r="R300" s="3">
        <v>0</v>
      </c>
      <c r="S300" s="3"/>
      <c r="T300" s="3">
        <v>0</v>
      </c>
      <c r="U300" s="3">
        <v>7.7600000000000004E-3</v>
      </c>
      <c r="V300" s="3">
        <v>7.1599999999999997E-3</v>
      </c>
      <c r="W300" s="3">
        <v>0</v>
      </c>
      <c r="X300" s="3"/>
      <c r="AB300" s="3" t="str">
        <f t="shared" si="3"/>
        <v>___</v>
      </c>
      <c r="AC300" s="3" t="str">
        <f t="shared" si="2"/>
        <v>____</v>
      </c>
    </row>
    <row r="301" spans="1:32" ht="12.5">
      <c r="E301" s="3"/>
      <c r="F301" s="3"/>
      <c r="G301" s="3"/>
      <c r="L301" s="3" t="s">
        <v>39</v>
      </c>
      <c r="M301" s="3">
        <v>33</v>
      </c>
      <c r="N301" s="3">
        <v>0</v>
      </c>
      <c r="O301" s="3">
        <v>3</v>
      </c>
      <c r="P301" s="3">
        <v>3</v>
      </c>
      <c r="Q301" s="3">
        <v>2</v>
      </c>
      <c r="R301" s="3">
        <v>0</v>
      </c>
      <c r="S301" s="3"/>
      <c r="T301" s="3">
        <v>0</v>
      </c>
      <c r="U301" s="3">
        <v>2.0029999999999999E-2</v>
      </c>
      <c r="V301" s="3">
        <v>4.5109999999999997E-2</v>
      </c>
      <c r="W301" s="3">
        <v>0</v>
      </c>
      <c r="X301" s="3"/>
      <c r="Y301" s="3"/>
      <c r="Z301" s="3" t="s">
        <v>60</v>
      </c>
      <c r="AB301" s="3" t="str">
        <f t="shared" si="3"/>
        <v>___</v>
      </c>
      <c r="AC301" s="3" t="str">
        <f t="shared" si="2"/>
        <v>____</v>
      </c>
    </row>
    <row r="302" spans="1:32" ht="12.5">
      <c r="A302" s="12">
        <v>45490</v>
      </c>
      <c r="B302" s="3">
        <v>472</v>
      </c>
      <c r="C302" s="3">
        <v>31</v>
      </c>
      <c r="D302" s="3" t="s">
        <v>33</v>
      </c>
      <c r="E302" s="3"/>
      <c r="F302" s="3"/>
      <c r="G302" s="3" t="s">
        <v>40</v>
      </c>
      <c r="H302" s="3">
        <v>2</v>
      </c>
      <c r="I302" s="4">
        <v>45301</v>
      </c>
      <c r="J302" s="4">
        <v>45359</v>
      </c>
      <c r="K302" s="3">
        <v>2</v>
      </c>
      <c r="L302" s="3" t="s">
        <v>36</v>
      </c>
      <c r="M302" s="3">
        <v>31</v>
      </c>
      <c r="N302" s="3">
        <v>9</v>
      </c>
      <c r="O302" s="3">
        <v>9</v>
      </c>
      <c r="R302" s="3">
        <v>0</v>
      </c>
      <c r="S302" s="3"/>
      <c r="T302" s="3">
        <v>2.537E-2</v>
      </c>
      <c r="U302" s="3">
        <v>1.2120000000000001E-2</v>
      </c>
      <c r="V302" s="3">
        <v>0</v>
      </c>
      <c r="W302" s="3">
        <v>0</v>
      </c>
      <c r="X302" s="3"/>
      <c r="Y302" s="3"/>
      <c r="Z302" s="3" t="s">
        <v>56</v>
      </c>
      <c r="AB302" s="3" t="str">
        <f t="shared" si="3"/>
        <v>472_31__vm</v>
      </c>
      <c r="AC302" s="3" t="str">
        <f t="shared" si="2"/>
        <v>472_31__vm_2</v>
      </c>
      <c r="AE302" s="3" t="s">
        <v>37</v>
      </c>
      <c r="AF302" s="3" t="s">
        <v>37</v>
      </c>
    </row>
    <row r="303" spans="1:32" ht="12.5">
      <c r="E303" s="3"/>
      <c r="F303" s="3"/>
      <c r="G303" s="3"/>
      <c r="L303" s="3" t="s">
        <v>38</v>
      </c>
      <c r="M303" s="3">
        <v>54</v>
      </c>
      <c r="N303" s="3">
        <v>0</v>
      </c>
      <c r="O303" s="3">
        <v>8</v>
      </c>
      <c r="P303" s="3">
        <v>4</v>
      </c>
      <c r="Q303" s="3">
        <v>4</v>
      </c>
      <c r="R303" s="3">
        <v>0</v>
      </c>
      <c r="S303" s="3"/>
      <c r="T303" s="3">
        <v>0</v>
      </c>
      <c r="U303" s="3">
        <v>5.144E-2</v>
      </c>
      <c r="V303" s="3">
        <v>7.7530000000000002E-2</v>
      </c>
      <c r="W303" s="3">
        <v>0</v>
      </c>
      <c r="X303" s="3"/>
      <c r="AB303" s="3" t="str">
        <f t="shared" si="3"/>
        <v>___</v>
      </c>
      <c r="AC303" s="3" t="str">
        <f t="shared" si="2"/>
        <v>____</v>
      </c>
    </row>
    <row r="304" spans="1:32" ht="12.5">
      <c r="E304" s="3"/>
      <c r="F304" s="3"/>
      <c r="G304" s="3"/>
      <c r="L304" s="3" t="s">
        <v>39</v>
      </c>
      <c r="M304" s="3" t="s">
        <v>47</v>
      </c>
      <c r="N304" s="3" t="s">
        <v>47</v>
      </c>
      <c r="O304" s="3" t="s">
        <v>47</v>
      </c>
      <c r="AB304" s="3" t="str">
        <f t="shared" si="3"/>
        <v>___</v>
      </c>
      <c r="AC304" s="3" t="str">
        <f t="shared" si="2"/>
        <v>____</v>
      </c>
    </row>
    <row r="305" spans="1:32" ht="12.5">
      <c r="A305" s="12">
        <v>45490</v>
      </c>
      <c r="B305" s="3">
        <v>472</v>
      </c>
      <c r="C305" s="3">
        <v>31</v>
      </c>
      <c r="D305" s="3" t="s">
        <v>33</v>
      </c>
      <c r="E305" s="3"/>
      <c r="F305" s="3"/>
      <c r="G305" s="3" t="s">
        <v>40</v>
      </c>
      <c r="H305" s="3">
        <v>3</v>
      </c>
      <c r="I305" s="4">
        <v>45424</v>
      </c>
      <c r="J305" s="3">
        <v>12</v>
      </c>
      <c r="K305" s="3">
        <v>5</v>
      </c>
      <c r="L305" s="3" t="s">
        <v>36</v>
      </c>
      <c r="M305" s="3">
        <v>14</v>
      </c>
      <c r="N305" s="3">
        <v>5</v>
      </c>
      <c r="O305" s="3">
        <v>5</v>
      </c>
      <c r="R305" s="3">
        <v>0</v>
      </c>
      <c r="S305" s="3"/>
      <c r="T305" s="3">
        <v>1.427E-2</v>
      </c>
      <c r="U305" s="3">
        <v>3.81E-3</v>
      </c>
      <c r="V305" s="3">
        <v>0</v>
      </c>
      <c r="W305" s="3">
        <v>0</v>
      </c>
      <c r="X305" s="3"/>
      <c r="AB305" s="3" t="str">
        <f t="shared" si="3"/>
        <v>472_31__vm</v>
      </c>
      <c r="AC305" s="3" t="str">
        <f t="shared" si="2"/>
        <v>472_31__vm_3</v>
      </c>
      <c r="AE305" s="3" t="s">
        <v>37</v>
      </c>
      <c r="AF305" s="3" t="s">
        <v>37</v>
      </c>
    </row>
    <row r="306" spans="1:32" ht="12.5">
      <c r="E306" s="3"/>
      <c r="F306" s="3"/>
      <c r="G306" s="3"/>
      <c r="L306" s="3" t="s">
        <v>38</v>
      </c>
      <c r="M306" s="3">
        <v>19</v>
      </c>
      <c r="N306" s="3">
        <v>0</v>
      </c>
      <c r="O306" s="3">
        <v>2</v>
      </c>
      <c r="P306" s="3">
        <v>2</v>
      </c>
      <c r="Q306" s="3">
        <v>2</v>
      </c>
      <c r="R306" s="3">
        <v>0</v>
      </c>
      <c r="S306" s="3"/>
      <c r="T306" s="3">
        <v>0</v>
      </c>
      <c r="U306" s="3">
        <v>6.4900000000000001E-3</v>
      </c>
      <c r="V306" s="3">
        <v>1.154E-2</v>
      </c>
      <c r="W306" s="3">
        <v>0</v>
      </c>
      <c r="X306" s="3"/>
      <c r="AB306" s="3" t="str">
        <f t="shared" si="3"/>
        <v>___</v>
      </c>
      <c r="AC306" s="3" t="str">
        <f t="shared" si="2"/>
        <v>____</v>
      </c>
    </row>
    <row r="307" spans="1:32" ht="12.5">
      <c r="E307" s="3"/>
      <c r="F307" s="3"/>
      <c r="G307" s="3"/>
      <c r="L307" s="3" t="s">
        <v>39</v>
      </c>
      <c r="M307" s="3">
        <v>36</v>
      </c>
      <c r="N307" s="3">
        <v>0</v>
      </c>
      <c r="O307" s="3">
        <v>3</v>
      </c>
      <c r="P307" s="3">
        <v>4</v>
      </c>
      <c r="Q307" s="3">
        <v>4</v>
      </c>
      <c r="R307" s="3">
        <v>0</v>
      </c>
      <c r="S307" s="3"/>
      <c r="T307" s="3">
        <v>0</v>
      </c>
      <c r="U307" s="3">
        <v>2.5850000000000001E-2</v>
      </c>
      <c r="V307" s="3">
        <v>5.0770000000000003E-2</v>
      </c>
      <c r="W307" s="3">
        <v>0</v>
      </c>
      <c r="X307" s="3"/>
      <c r="AB307" s="3" t="str">
        <f t="shared" si="3"/>
        <v>___</v>
      </c>
      <c r="AC307" s="3" t="str">
        <f t="shared" si="2"/>
        <v>____</v>
      </c>
    </row>
    <row r="308" spans="1:32" ht="12.5">
      <c r="A308" s="12">
        <v>45490</v>
      </c>
      <c r="B308" s="3">
        <v>472</v>
      </c>
      <c r="C308" s="3">
        <v>31</v>
      </c>
      <c r="D308" s="3" t="s">
        <v>33</v>
      </c>
      <c r="E308" s="3"/>
      <c r="F308" s="3"/>
      <c r="G308" s="3" t="s">
        <v>35</v>
      </c>
      <c r="H308" s="3">
        <v>1</v>
      </c>
      <c r="I308" s="4">
        <v>45451</v>
      </c>
      <c r="J308" s="4">
        <v>45359</v>
      </c>
      <c r="K308" s="3">
        <v>3</v>
      </c>
      <c r="L308" s="3" t="s">
        <v>36</v>
      </c>
      <c r="M308" s="3">
        <v>37</v>
      </c>
      <c r="N308" s="3">
        <v>13</v>
      </c>
      <c r="O308" s="3">
        <v>14</v>
      </c>
      <c r="R308" s="3">
        <v>0</v>
      </c>
      <c r="S308" s="3"/>
      <c r="T308" s="3">
        <v>0.16597000000000001</v>
      </c>
      <c r="U308" s="3">
        <v>1.4120000000000001E-2</v>
      </c>
      <c r="V308" s="3">
        <v>0</v>
      </c>
      <c r="W308" s="3">
        <v>0</v>
      </c>
      <c r="X308" s="3"/>
      <c r="AB308" s="3" t="str">
        <f t="shared" si="3"/>
        <v>472_31__vv</v>
      </c>
      <c r="AC308" s="3" t="str">
        <f t="shared" si="2"/>
        <v>472_31__vv_1</v>
      </c>
      <c r="AE308" s="3" t="s">
        <v>37</v>
      </c>
      <c r="AF308" s="3" t="s">
        <v>37</v>
      </c>
    </row>
    <row r="309" spans="1:32" ht="12.5">
      <c r="E309" s="3"/>
      <c r="F309" s="3"/>
      <c r="G309" s="3"/>
      <c r="L309" s="3" t="s">
        <v>38</v>
      </c>
      <c r="M309" s="3">
        <v>23</v>
      </c>
      <c r="N309" s="3">
        <v>7</v>
      </c>
      <c r="O309" s="3">
        <v>12</v>
      </c>
      <c r="R309" s="3">
        <v>0</v>
      </c>
      <c r="S309" s="3"/>
      <c r="T309" s="3">
        <v>5.629E-2</v>
      </c>
      <c r="U309" s="3">
        <v>1.4E-2</v>
      </c>
      <c r="V309" s="3">
        <v>0</v>
      </c>
      <c r="W309" s="3">
        <v>0</v>
      </c>
      <c r="X309" s="3"/>
      <c r="AB309" s="3" t="str">
        <f t="shared" si="3"/>
        <v>___</v>
      </c>
      <c r="AC309" s="3" t="str">
        <f t="shared" si="2"/>
        <v>____</v>
      </c>
    </row>
    <row r="310" spans="1:32" ht="12.5">
      <c r="E310" s="3"/>
      <c r="F310" s="3"/>
      <c r="G310" s="3"/>
      <c r="L310" s="3" t="s">
        <v>39</v>
      </c>
      <c r="M310" s="3">
        <v>21</v>
      </c>
      <c r="N310" s="3">
        <v>0</v>
      </c>
      <c r="O310" s="3">
        <v>5</v>
      </c>
      <c r="P310" s="3">
        <v>2</v>
      </c>
      <c r="Q310" s="3">
        <v>2</v>
      </c>
      <c r="R310" s="3">
        <v>0</v>
      </c>
      <c r="S310" s="3"/>
      <c r="T310" s="3">
        <v>0</v>
      </c>
      <c r="U310" s="3">
        <v>2.9010000000000001E-2</v>
      </c>
      <c r="V310" s="3">
        <v>0.26386999999999999</v>
      </c>
      <c r="W310" s="3">
        <v>0</v>
      </c>
      <c r="X310" s="3"/>
      <c r="AB310" s="3" t="str">
        <f t="shared" si="3"/>
        <v>___</v>
      </c>
      <c r="AC310" s="3" t="str">
        <f t="shared" si="2"/>
        <v>____</v>
      </c>
    </row>
    <row r="311" spans="1:32" ht="12.5">
      <c r="A311" s="12">
        <v>45490</v>
      </c>
      <c r="B311" s="3">
        <v>472</v>
      </c>
      <c r="C311" s="3">
        <v>31</v>
      </c>
      <c r="D311" s="3" t="s">
        <v>33</v>
      </c>
      <c r="E311" s="3"/>
      <c r="F311" s="3"/>
      <c r="G311" s="3" t="s">
        <v>35</v>
      </c>
      <c r="H311" s="3">
        <v>2</v>
      </c>
      <c r="I311" s="4">
        <v>45299</v>
      </c>
      <c r="J311" s="4">
        <v>45299</v>
      </c>
      <c r="K311" s="3">
        <v>5</v>
      </c>
      <c r="L311" s="3" t="s">
        <v>36</v>
      </c>
      <c r="M311" s="3">
        <v>27</v>
      </c>
      <c r="N311" s="3">
        <v>10</v>
      </c>
      <c r="O311" s="3">
        <v>12</v>
      </c>
      <c r="R311" s="3">
        <v>0</v>
      </c>
      <c r="S311" s="3"/>
      <c r="T311" s="3">
        <v>8.3989999999999995E-2</v>
      </c>
      <c r="U311" s="3">
        <v>6.96E-3</v>
      </c>
      <c r="V311" s="3">
        <v>0</v>
      </c>
      <c r="W311" s="3">
        <v>0</v>
      </c>
      <c r="X311" s="3"/>
      <c r="AB311" s="3" t="str">
        <f t="shared" si="3"/>
        <v>472_31__vv</v>
      </c>
      <c r="AC311" s="3" t="str">
        <f t="shared" si="2"/>
        <v>472_31__vv_2</v>
      </c>
      <c r="AE311" s="3" t="s">
        <v>37</v>
      </c>
      <c r="AF311" s="3" t="s">
        <v>37</v>
      </c>
    </row>
    <row r="312" spans="1:32" ht="12.5">
      <c r="E312" s="3"/>
      <c r="F312" s="3"/>
      <c r="G312" s="3"/>
      <c r="L312" s="3" t="s">
        <v>38</v>
      </c>
      <c r="M312" s="3">
        <v>14</v>
      </c>
      <c r="N312" s="3">
        <v>7</v>
      </c>
      <c r="O312" s="3">
        <v>9</v>
      </c>
      <c r="R312" s="3">
        <v>0</v>
      </c>
      <c r="S312" s="3"/>
      <c r="T312" s="3">
        <v>4.9399999999999999E-2</v>
      </c>
      <c r="U312" s="3">
        <v>5.0000000000000001E-3</v>
      </c>
      <c r="V312" s="3">
        <v>0</v>
      </c>
      <c r="W312" s="3">
        <v>0</v>
      </c>
      <c r="X312" s="3"/>
      <c r="AB312" s="3" t="str">
        <f t="shared" si="3"/>
        <v>___</v>
      </c>
      <c r="AC312" s="3" t="str">
        <f t="shared" si="2"/>
        <v>____</v>
      </c>
    </row>
    <row r="313" spans="1:32" ht="12.5">
      <c r="E313" s="3"/>
      <c r="F313" s="3"/>
      <c r="G313" s="3"/>
      <c r="L313" s="3" t="s">
        <v>39</v>
      </c>
      <c r="M313" s="3">
        <v>13</v>
      </c>
      <c r="N313" s="3">
        <v>7</v>
      </c>
      <c r="O313" s="3">
        <v>8</v>
      </c>
      <c r="R313" s="3">
        <v>0</v>
      </c>
      <c r="S313" s="3"/>
      <c r="T313" s="3">
        <v>4.7719999999999999E-2</v>
      </c>
      <c r="U313" s="3">
        <v>4.96E-3</v>
      </c>
      <c r="V313" s="3">
        <v>0</v>
      </c>
      <c r="W313" s="3">
        <v>0</v>
      </c>
      <c r="X313" s="3"/>
      <c r="AB313" s="3" t="str">
        <f t="shared" si="3"/>
        <v>___</v>
      </c>
      <c r="AC313" s="3" t="str">
        <f t="shared" si="2"/>
        <v>____</v>
      </c>
    </row>
    <row r="314" spans="1:32" ht="12.5">
      <c r="A314" s="12">
        <v>45490</v>
      </c>
      <c r="B314" s="3">
        <v>472</v>
      </c>
      <c r="C314" s="3">
        <v>31</v>
      </c>
      <c r="D314" s="3" t="s">
        <v>33</v>
      </c>
      <c r="E314" s="3"/>
      <c r="F314" s="3"/>
      <c r="G314" s="3" t="s">
        <v>35</v>
      </c>
      <c r="H314" s="3">
        <v>3</v>
      </c>
      <c r="I314" s="4">
        <v>45328</v>
      </c>
      <c r="J314" s="3">
        <v>7</v>
      </c>
      <c r="K314" s="3">
        <v>3</v>
      </c>
      <c r="L314" s="3" t="s">
        <v>36</v>
      </c>
      <c r="M314" s="3">
        <v>30</v>
      </c>
      <c r="N314" s="3">
        <v>9</v>
      </c>
      <c r="O314" s="3">
        <v>11</v>
      </c>
      <c r="R314" s="3">
        <v>0</v>
      </c>
      <c r="S314" s="3"/>
      <c r="T314" s="3">
        <v>4.4889999999999999E-2</v>
      </c>
      <c r="U314" s="3">
        <v>5.6800000000000002E-3</v>
      </c>
      <c r="V314" s="3">
        <v>0</v>
      </c>
      <c r="W314" s="3">
        <v>0</v>
      </c>
      <c r="X314" s="3"/>
      <c r="AB314" s="3" t="str">
        <f t="shared" si="3"/>
        <v>472_31__vv</v>
      </c>
      <c r="AC314" s="3" t="str">
        <f t="shared" si="2"/>
        <v>472_31__vv_3</v>
      </c>
      <c r="AE314" s="3" t="s">
        <v>37</v>
      </c>
      <c r="AF314" s="3" t="s">
        <v>37</v>
      </c>
    </row>
    <row r="315" spans="1:32" ht="12.5">
      <c r="E315" s="3"/>
      <c r="F315" s="3"/>
      <c r="G315" s="3"/>
      <c r="L315" s="3" t="s">
        <v>38</v>
      </c>
      <c r="M315" s="3">
        <v>33</v>
      </c>
      <c r="N315" s="3">
        <v>2</v>
      </c>
      <c r="O315" s="3">
        <v>8</v>
      </c>
      <c r="R315" s="3">
        <v>0</v>
      </c>
      <c r="S315" s="3"/>
      <c r="T315" s="3">
        <v>8.6599999999999993E-3</v>
      </c>
      <c r="U315" s="3">
        <v>8.5400000000000007E-3</v>
      </c>
      <c r="V315" s="3">
        <v>0</v>
      </c>
      <c r="W315" s="3">
        <v>0</v>
      </c>
      <c r="X315" s="3"/>
      <c r="AB315" s="3" t="str">
        <f t="shared" si="3"/>
        <v>___</v>
      </c>
      <c r="AC315" s="3" t="str">
        <f t="shared" si="2"/>
        <v>____</v>
      </c>
    </row>
    <row r="316" spans="1:32" ht="12.5">
      <c r="E316" s="3"/>
      <c r="F316" s="3"/>
      <c r="G316" s="3"/>
      <c r="L316" s="3" t="s">
        <v>39</v>
      </c>
      <c r="M316" s="3">
        <v>9</v>
      </c>
      <c r="N316" s="3">
        <v>0</v>
      </c>
      <c r="O316" s="3">
        <v>3</v>
      </c>
      <c r="R316" s="3">
        <v>0</v>
      </c>
      <c r="S316" s="3"/>
      <c r="T316" s="3">
        <v>0</v>
      </c>
      <c r="U316" s="3">
        <v>2.2399999999999998E-3</v>
      </c>
      <c r="V316" s="3">
        <v>0</v>
      </c>
      <c r="W316" s="3">
        <v>0</v>
      </c>
      <c r="X316" s="3"/>
      <c r="AB316" s="3" t="str">
        <f t="shared" si="3"/>
        <v>___</v>
      </c>
      <c r="AC316" s="3" t="str">
        <f t="shared" si="2"/>
        <v>____</v>
      </c>
    </row>
    <row r="317" spans="1:32" ht="12.5">
      <c r="A317" s="12">
        <v>45490</v>
      </c>
      <c r="B317" s="10">
        <v>472</v>
      </c>
      <c r="C317" s="10">
        <v>33</v>
      </c>
      <c r="D317" s="3" t="s">
        <v>33</v>
      </c>
      <c r="E317" s="3"/>
      <c r="F317" s="3"/>
      <c r="G317" s="3" t="s">
        <v>40</v>
      </c>
      <c r="H317" s="3">
        <v>1</v>
      </c>
      <c r="I317" s="4">
        <v>45428</v>
      </c>
      <c r="J317" s="4">
        <v>45309</v>
      </c>
      <c r="K317" s="3">
        <v>4</v>
      </c>
      <c r="L317" s="3" t="s">
        <v>36</v>
      </c>
      <c r="M317" s="3">
        <v>75</v>
      </c>
      <c r="N317" s="3">
        <v>8</v>
      </c>
      <c r="O317" s="3">
        <v>8</v>
      </c>
      <c r="R317" s="3">
        <v>0</v>
      </c>
      <c r="S317" s="3"/>
      <c r="T317" s="8">
        <v>4.9099999999999998E-2</v>
      </c>
      <c r="U317" s="3">
        <v>4.2090000000000002E-2</v>
      </c>
      <c r="V317" s="3">
        <v>0</v>
      </c>
      <c r="W317" s="3">
        <v>0</v>
      </c>
      <c r="X317" s="3"/>
      <c r="Y317" s="3"/>
      <c r="Z317" s="3" t="s">
        <v>71</v>
      </c>
      <c r="AB317" s="3" t="str">
        <f t="shared" si="3"/>
        <v>472_33__vm</v>
      </c>
      <c r="AC317" s="3" t="str">
        <f t="shared" si="2"/>
        <v>472_33__vm_1</v>
      </c>
      <c r="AE317" s="3" t="s">
        <v>37</v>
      </c>
      <c r="AF317" s="3" t="s">
        <v>37</v>
      </c>
    </row>
    <row r="318" spans="1:32" ht="12.5">
      <c r="E318" s="3"/>
      <c r="F318" s="3"/>
      <c r="G318" s="3"/>
      <c r="L318" s="3" t="s">
        <v>38</v>
      </c>
      <c r="M318" s="3">
        <v>62</v>
      </c>
      <c r="N318" s="3">
        <v>0</v>
      </c>
      <c r="O318" s="3">
        <v>2</v>
      </c>
      <c r="P318" s="3">
        <v>3</v>
      </c>
      <c r="Q318" s="3">
        <v>3</v>
      </c>
      <c r="R318" s="3">
        <v>0</v>
      </c>
      <c r="S318" s="3"/>
      <c r="T318" s="8">
        <v>0</v>
      </c>
      <c r="U318" s="3">
        <v>7.8350000000000003E-2</v>
      </c>
      <c r="V318" s="3">
        <v>0.17934</v>
      </c>
      <c r="W318" s="3">
        <v>0</v>
      </c>
      <c r="X318" s="3"/>
      <c r="AB318" s="3" t="str">
        <f t="shared" si="3"/>
        <v>___</v>
      </c>
      <c r="AC318" s="3" t="str">
        <f t="shared" si="2"/>
        <v>____</v>
      </c>
    </row>
    <row r="319" spans="1:32" ht="12.5">
      <c r="E319" s="3"/>
      <c r="F319" s="3"/>
      <c r="G319" s="3"/>
      <c r="L319" s="3" t="s">
        <v>39</v>
      </c>
      <c r="M319" s="3">
        <v>23</v>
      </c>
      <c r="N319" s="3">
        <v>0</v>
      </c>
      <c r="O319" s="3">
        <v>3</v>
      </c>
      <c r="R319" s="3">
        <v>0</v>
      </c>
      <c r="S319" s="3"/>
      <c r="T319" s="8">
        <v>0</v>
      </c>
      <c r="U319" s="3">
        <v>2.5579999999999999E-2</v>
      </c>
      <c r="V319" s="3">
        <v>0</v>
      </c>
      <c r="W319" s="3">
        <v>0</v>
      </c>
      <c r="X319" s="3"/>
      <c r="AB319" s="3" t="str">
        <f t="shared" si="3"/>
        <v>___</v>
      </c>
      <c r="AC319" s="3" t="str">
        <f t="shared" si="2"/>
        <v>____</v>
      </c>
    </row>
    <row r="320" spans="1:32" ht="12.5">
      <c r="A320" s="12">
        <v>45490</v>
      </c>
      <c r="B320" s="3">
        <v>472</v>
      </c>
      <c r="C320" s="3">
        <v>33</v>
      </c>
      <c r="D320" s="3" t="s">
        <v>33</v>
      </c>
      <c r="E320" s="3"/>
      <c r="F320" s="3"/>
      <c r="G320" s="3" t="s">
        <v>40</v>
      </c>
      <c r="H320" s="3">
        <v>2</v>
      </c>
      <c r="I320" s="4">
        <v>45491</v>
      </c>
      <c r="J320" s="3">
        <v>24</v>
      </c>
      <c r="K320" s="3">
        <v>5</v>
      </c>
      <c r="L320" s="3" t="s">
        <v>36</v>
      </c>
      <c r="M320" s="3">
        <v>36</v>
      </c>
      <c r="N320" s="3">
        <v>6</v>
      </c>
      <c r="O320" s="3">
        <v>6</v>
      </c>
      <c r="R320" s="3">
        <v>0</v>
      </c>
      <c r="S320" s="3"/>
      <c r="T320" s="3">
        <v>2.699E-2</v>
      </c>
      <c r="U320" s="3">
        <v>1.319E-2</v>
      </c>
      <c r="V320" s="3">
        <v>0</v>
      </c>
      <c r="W320" s="3">
        <v>0</v>
      </c>
      <c r="X320" s="3"/>
      <c r="Y320" s="3"/>
      <c r="Z320" s="3" t="s">
        <v>72</v>
      </c>
      <c r="AB320" s="3" t="str">
        <f t="shared" si="3"/>
        <v>472_33__vm</v>
      </c>
      <c r="AC320" s="3" t="str">
        <f t="shared" si="2"/>
        <v>472_33__vm_2</v>
      </c>
      <c r="AE320" s="3" t="s">
        <v>37</v>
      </c>
      <c r="AF320" s="3" t="s">
        <v>37</v>
      </c>
    </row>
    <row r="321" spans="1:32" ht="12.5">
      <c r="E321" s="3"/>
      <c r="F321" s="3"/>
      <c r="G321" s="3"/>
      <c r="L321" s="3" t="s">
        <v>38</v>
      </c>
      <c r="M321" s="3">
        <v>82</v>
      </c>
      <c r="N321" s="3">
        <v>0</v>
      </c>
      <c r="O321" s="3">
        <v>3</v>
      </c>
      <c r="P321" s="3">
        <v>5</v>
      </c>
      <c r="Q321" s="3">
        <v>5</v>
      </c>
      <c r="R321" s="3">
        <v>0</v>
      </c>
      <c r="S321" s="3"/>
      <c r="T321" s="8">
        <v>0</v>
      </c>
      <c r="U321" s="3">
        <v>7.7619999999999995E-2</v>
      </c>
      <c r="V321" s="3">
        <v>0.12214</v>
      </c>
      <c r="W321" s="3">
        <v>0</v>
      </c>
      <c r="X321" s="3"/>
      <c r="AB321" s="3" t="str">
        <f t="shared" si="3"/>
        <v>___</v>
      </c>
      <c r="AC321" s="3" t="str">
        <f t="shared" si="2"/>
        <v>____</v>
      </c>
    </row>
    <row r="322" spans="1:32" ht="12.5">
      <c r="E322" s="3"/>
      <c r="F322" s="3"/>
      <c r="G322" s="3"/>
      <c r="L322" s="3" t="s">
        <v>39</v>
      </c>
      <c r="M322" s="3">
        <v>34</v>
      </c>
      <c r="N322" s="3">
        <v>0</v>
      </c>
      <c r="O322" s="3">
        <v>3</v>
      </c>
      <c r="P322" s="3">
        <v>1</v>
      </c>
      <c r="Q322" s="3">
        <v>1</v>
      </c>
      <c r="R322" s="3">
        <v>0</v>
      </c>
      <c r="S322" s="3"/>
      <c r="T322" s="8">
        <v>0</v>
      </c>
      <c r="U322" s="3">
        <v>4.1680000000000002E-2</v>
      </c>
      <c r="V322" s="3">
        <v>0.15140000000000001</v>
      </c>
      <c r="W322" s="3">
        <v>0</v>
      </c>
      <c r="X322" s="3"/>
      <c r="AB322" s="3" t="str">
        <f t="shared" si="3"/>
        <v>___</v>
      </c>
      <c r="AC322" s="3" t="str">
        <f t="shared" si="2"/>
        <v>____</v>
      </c>
    </row>
    <row r="323" spans="1:32" ht="12.5">
      <c r="A323" s="12">
        <v>45490</v>
      </c>
      <c r="B323" s="3">
        <v>472</v>
      </c>
      <c r="C323" s="3">
        <v>33</v>
      </c>
      <c r="D323" s="3" t="s">
        <v>33</v>
      </c>
      <c r="E323" s="3"/>
      <c r="F323" s="3"/>
      <c r="G323" s="3" t="s">
        <v>40</v>
      </c>
      <c r="H323" s="3">
        <v>3</v>
      </c>
      <c r="I323" s="4">
        <v>45516</v>
      </c>
      <c r="J323" s="4">
        <v>45528</v>
      </c>
      <c r="K323" s="3">
        <v>7</v>
      </c>
      <c r="L323" s="3" t="s">
        <v>36</v>
      </c>
      <c r="M323" s="3">
        <v>8</v>
      </c>
      <c r="N323" s="3">
        <v>5</v>
      </c>
      <c r="O323" s="3">
        <v>5</v>
      </c>
      <c r="R323" s="3">
        <v>0</v>
      </c>
      <c r="S323" s="3"/>
      <c r="T323" s="3">
        <v>6.9300000000000004E-3</v>
      </c>
      <c r="U323" s="3">
        <v>1.17E-3</v>
      </c>
      <c r="V323" s="3">
        <v>0</v>
      </c>
      <c r="W323" s="3">
        <v>0</v>
      </c>
      <c r="X323" s="3"/>
      <c r="AB323" s="3" t="str">
        <f t="shared" si="3"/>
        <v>472_33__vm</v>
      </c>
      <c r="AC323" s="3" t="str">
        <f t="shared" si="2"/>
        <v>472_33__vm_3</v>
      </c>
      <c r="AE323" s="3" t="s">
        <v>37</v>
      </c>
      <c r="AF323" s="3" t="s">
        <v>37</v>
      </c>
    </row>
    <row r="324" spans="1:32" ht="12.5">
      <c r="E324" s="3"/>
      <c r="F324" s="3"/>
      <c r="G324" s="3"/>
      <c r="L324" s="3" t="s">
        <v>38</v>
      </c>
      <c r="M324" s="3">
        <v>10</v>
      </c>
      <c r="N324" s="3">
        <v>0</v>
      </c>
      <c r="O324" s="3">
        <v>3</v>
      </c>
      <c r="R324" s="3">
        <v>0</v>
      </c>
      <c r="S324" s="3"/>
      <c r="T324" s="8">
        <v>0</v>
      </c>
      <c r="U324" s="3">
        <v>2.0999999999999999E-3</v>
      </c>
      <c r="V324" s="3">
        <v>0</v>
      </c>
      <c r="W324" s="3">
        <v>0</v>
      </c>
      <c r="X324" s="3"/>
      <c r="AB324" s="3" t="str">
        <f t="shared" si="3"/>
        <v>___</v>
      </c>
      <c r="AC324" s="3" t="str">
        <f t="shared" si="2"/>
        <v>____</v>
      </c>
    </row>
    <row r="325" spans="1:32" ht="12.5">
      <c r="E325" s="3"/>
      <c r="F325" s="3"/>
      <c r="G325" s="3"/>
      <c r="L325" s="3" t="s">
        <v>39</v>
      </c>
      <c r="M325" s="3">
        <v>12</v>
      </c>
      <c r="N325" s="3">
        <v>0</v>
      </c>
      <c r="O325" s="3">
        <v>2</v>
      </c>
      <c r="P325" s="3">
        <v>1</v>
      </c>
      <c r="Q325" s="3">
        <v>0</v>
      </c>
      <c r="R325" s="3">
        <v>0</v>
      </c>
      <c r="S325" s="3"/>
      <c r="T325" s="8">
        <v>0</v>
      </c>
      <c r="U325" s="3">
        <v>3.8800000000000002E-3</v>
      </c>
      <c r="V325" s="3">
        <v>0</v>
      </c>
      <c r="W325" s="3">
        <v>0</v>
      </c>
      <c r="X325" s="3"/>
      <c r="Y325" s="3"/>
      <c r="Z325" s="3" t="s">
        <v>60</v>
      </c>
      <c r="AB325" s="3" t="str">
        <f t="shared" si="3"/>
        <v>___</v>
      </c>
      <c r="AC325" s="3" t="str">
        <f t="shared" si="2"/>
        <v>____</v>
      </c>
    </row>
    <row r="326" spans="1:32" ht="12.5">
      <c r="A326" s="12">
        <v>45490</v>
      </c>
      <c r="B326" s="3">
        <v>472</v>
      </c>
      <c r="C326" s="3">
        <v>33</v>
      </c>
      <c r="D326" s="3" t="s">
        <v>33</v>
      </c>
      <c r="E326" s="3"/>
      <c r="F326" s="3"/>
      <c r="G326" s="3" t="s">
        <v>35</v>
      </c>
      <c r="H326" s="3">
        <v>1</v>
      </c>
      <c r="I326" s="4">
        <v>45521</v>
      </c>
      <c r="J326" s="4">
        <v>45338</v>
      </c>
      <c r="K326" s="3">
        <v>4</v>
      </c>
      <c r="L326" s="3" t="s">
        <v>36</v>
      </c>
      <c r="M326" s="3">
        <v>28</v>
      </c>
      <c r="N326" s="3">
        <v>11</v>
      </c>
      <c r="O326" s="3">
        <v>11</v>
      </c>
      <c r="R326" s="3">
        <v>0</v>
      </c>
      <c r="S326" s="3"/>
      <c r="T326" s="3">
        <v>8.2949999999999996E-2</v>
      </c>
      <c r="U326" s="3">
        <v>5.9899999999999997E-3</v>
      </c>
      <c r="V326" s="3">
        <v>0</v>
      </c>
      <c r="W326" s="3">
        <v>0</v>
      </c>
      <c r="X326" s="3"/>
      <c r="AB326" s="3" t="str">
        <f t="shared" si="3"/>
        <v>472_33__vv</v>
      </c>
      <c r="AC326" s="3" t="str">
        <f t="shared" si="2"/>
        <v>472_33__vv_1</v>
      </c>
      <c r="AE326" s="3" t="s">
        <v>37</v>
      </c>
      <c r="AF326" s="3" t="s">
        <v>37</v>
      </c>
    </row>
    <row r="327" spans="1:32" ht="12.5">
      <c r="E327" s="3"/>
      <c r="F327" s="3"/>
      <c r="G327" s="3"/>
      <c r="L327" s="3" t="s">
        <v>38</v>
      </c>
      <c r="M327" s="3">
        <v>24</v>
      </c>
      <c r="N327" s="3">
        <v>7</v>
      </c>
      <c r="O327" s="3">
        <v>8</v>
      </c>
      <c r="R327" s="3">
        <v>0</v>
      </c>
      <c r="S327" s="3"/>
      <c r="T327" s="3">
        <v>8.2309999999999994E-2</v>
      </c>
      <c r="U327" s="3">
        <v>9.8799999999999999E-3</v>
      </c>
      <c r="V327" s="3">
        <v>0</v>
      </c>
      <c r="W327" s="3">
        <v>0</v>
      </c>
      <c r="X327" s="3"/>
      <c r="AB327" s="3" t="str">
        <f t="shared" si="3"/>
        <v>___</v>
      </c>
      <c r="AC327" s="3" t="str">
        <f t="shared" si="2"/>
        <v>____</v>
      </c>
    </row>
    <row r="328" spans="1:32" ht="12.5">
      <c r="E328" s="3"/>
      <c r="F328" s="3"/>
      <c r="G328" s="3"/>
      <c r="L328" s="3" t="s">
        <v>39</v>
      </c>
      <c r="M328" s="3">
        <v>36</v>
      </c>
      <c r="N328" s="3">
        <v>7</v>
      </c>
      <c r="O328" s="3">
        <v>11</v>
      </c>
      <c r="R328" s="3">
        <v>0</v>
      </c>
      <c r="S328" s="3"/>
      <c r="T328" s="3">
        <v>4.632E-2</v>
      </c>
      <c r="U328" s="3">
        <v>0.16120000000000001</v>
      </c>
      <c r="V328" s="3">
        <v>0</v>
      </c>
      <c r="W328" s="3">
        <v>0</v>
      </c>
      <c r="X328" s="3"/>
      <c r="AB328" s="3" t="str">
        <f t="shared" si="3"/>
        <v>___</v>
      </c>
      <c r="AC328" s="3" t="str">
        <f t="shared" si="2"/>
        <v>____</v>
      </c>
    </row>
    <row r="329" spans="1:32" ht="12.5">
      <c r="A329" s="12">
        <v>45490</v>
      </c>
      <c r="B329" s="3">
        <v>472</v>
      </c>
      <c r="C329" s="3">
        <v>33</v>
      </c>
      <c r="D329" s="3" t="s">
        <v>33</v>
      </c>
      <c r="E329" s="3"/>
      <c r="F329" s="3"/>
      <c r="G329" s="3" t="s">
        <v>35</v>
      </c>
      <c r="H329" s="3">
        <v>2</v>
      </c>
      <c r="I329" s="3">
        <v>11</v>
      </c>
      <c r="J329" s="3">
        <v>14</v>
      </c>
      <c r="K329" s="3">
        <v>6</v>
      </c>
      <c r="L329" s="3" t="s">
        <v>36</v>
      </c>
      <c r="M329" s="3">
        <v>27</v>
      </c>
      <c r="N329" s="3">
        <v>11</v>
      </c>
      <c r="O329" s="3">
        <v>12</v>
      </c>
      <c r="R329" s="3">
        <v>0</v>
      </c>
      <c r="S329" s="3"/>
      <c r="T329" s="3">
        <v>8.2580000000000001E-2</v>
      </c>
      <c r="U329" s="3">
        <v>7.5900000000000004E-3</v>
      </c>
      <c r="V329" s="3">
        <v>0</v>
      </c>
      <c r="W329" s="3">
        <v>0</v>
      </c>
      <c r="X329" s="3"/>
      <c r="AB329" s="3" t="str">
        <f t="shared" si="3"/>
        <v>472_33__vv</v>
      </c>
      <c r="AC329" s="3" t="str">
        <f t="shared" si="2"/>
        <v>472_33__vv_2</v>
      </c>
      <c r="AE329" s="3" t="s">
        <v>37</v>
      </c>
      <c r="AF329" s="3" t="s">
        <v>37</v>
      </c>
    </row>
    <row r="330" spans="1:32" ht="12.5">
      <c r="E330" s="3"/>
      <c r="F330" s="3"/>
      <c r="G330" s="3"/>
      <c r="L330" s="3" t="s">
        <v>38</v>
      </c>
      <c r="M330" s="3">
        <v>26</v>
      </c>
      <c r="N330" s="3">
        <v>11</v>
      </c>
      <c r="O330" s="3">
        <v>12</v>
      </c>
      <c r="R330" s="3">
        <v>0</v>
      </c>
      <c r="S330" s="3"/>
      <c r="T330" s="3">
        <v>0.11124000000000001</v>
      </c>
      <c r="U330" s="3">
        <v>1.1599999999999999E-2</v>
      </c>
      <c r="V330" s="3">
        <v>0</v>
      </c>
      <c r="W330" s="3">
        <v>0</v>
      </c>
      <c r="X330" s="3"/>
      <c r="AB330" s="3" t="str">
        <f t="shared" si="3"/>
        <v>___</v>
      </c>
      <c r="AC330" s="3" t="str">
        <f t="shared" si="2"/>
        <v>____</v>
      </c>
    </row>
    <row r="331" spans="1:32" ht="12.5">
      <c r="E331" s="3"/>
      <c r="F331" s="3"/>
      <c r="G331" s="3"/>
      <c r="L331" s="3" t="s">
        <v>39</v>
      </c>
      <c r="M331" s="3">
        <v>27</v>
      </c>
      <c r="N331" s="3">
        <v>4</v>
      </c>
      <c r="O331" s="3">
        <v>9</v>
      </c>
      <c r="R331" s="3">
        <v>0</v>
      </c>
      <c r="S331" s="3"/>
      <c r="T331" s="3">
        <v>5.6189999999999997E-2</v>
      </c>
      <c r="U331" s="3">
        <v>1.5939999999999999E-2</v>
      </c>
      <c r="V331" s="3">
        <v>0</v>
      </c>
      <c r="W331" s="3">
        <v>0</v>
      </c>
      <c r="X331" s="3"/>
      <c r="AB331" s="3" t="str">
        <f t="shared" si="3"/>
        <v>___</v>
      </c>
      <c r="AC331" s="3" t="str">
        <f t="shared" si="2"/>
        <v>____</v>
      </c>
    </row>
    <row r="332" spans="1:32" ht="12.5">
      <c r="A332" s="12">
        <v>45490</v>
      </c>
      <c r="B332" s="3">
        <v>472</v>
      </c>
      <c r="C332" s="3">
        <v>33</v>
      </c>
      <c r="D332" s="3" t="s">
        <v>33</v>
      </c>
      <c r="E332" s="3"/>
      <c r="F332" s="3"/>
      <c r="G332" s="3" t="s">
        <v>35</v>
      </c>
      <c r="H332" s="3">
        <v>3</v>
      </c>
      <c r="I332" s="4">
        <v>45516</v>
      </c>
      <c r="J332" s="4">
        <v>45425</v>
      </c>
      <c r="K332" s="3">
        <v>4</v>
      </c>
      <c r="L332" s="3" t="s">
        <v>36</v>
      </c>
      <c r="M332" s="3">
        <v>52</v>
      </c>
      <c r="N332" s="3">
        <v>11</v>
      </c>
      <c r="O332" s="3">
        <v>13</v>
      </c>
      <c r="R332" s="3">
        <v>0</v>
      </c>
      <c r="S332" s="3"/>
      <c r="T332" s="3">
        <v>0.10756</v>
      </c>
      <c r="U332" s="3">
        <v>1.8360000000000001E-2</v>
      </c>
      <c r="V332" s="3">
        <v>0</v>
      </c>
      <c r="W332" s="3">
        <v>0</v>
      </c>
      <c r="X332" s="3"/>
      <c r="AB332" s="3" t="str">
        <f t="shared" si="3"/>
        <v>472_33__vv</v>
      </c>
      <c r="AC332" s="3" t="str">
        <f t="shared" si="2"/>
        <v>472_33__vv_3</v>
      </c>
      <c r="AE332" s="3" t="s">
        <v>37</v>
      </c>
      <c r="AF332" s="3" t="s">
        <v>37</v>
      </c>
    </row>
    <row r="333" spans="1:32" ht="12.5">
      <c r="E333" s="3"/>
      <c r="F333" s="3"/>
      <c r="G333" s="3"/>
      <c r="L333" s="3" t="s">
        <v>38</v>
      </c>
      <c r="M333" s="3">
        <v>32</v>
      </c>
      <c r="N333" s="3">
        <v>7</v>
      </c>
      <c r="O333" s="3">
        <v>11</v>
      </c>
      <c r="R333" s="3">
        <v>0</v>
      </c>
      <c r="S333" s="3"/>
      <c r="T333" s="3">
        <v>6.157E-2</v>
      </c>
      <c r="U333" s="3">
        <v>1.7399999999999999E-2</v>
      </c>
      <c r="V333" s="3">
        <v>0</v>
      </c>
      <c r="W333" s="3">
        <v>0</v>
      </c>
      <c r="X333" s="3"/>
      <c r="AB333" s="3" t="str">
        <f t="shared" si="3"/>
        <v>___</v>
      </c>
      <c r="AC333" s="3" t="str">
        <f t="shared" si="2"/>
        <v>____</v>
      </c>
    </row>
    <row r="334" spans="1:32" ht="12.5">
      <c r="E334" s="3"/>
      <c r="F334" s="3"/>
      <c r="G334" s="3"/>
      <c r="L334" s="3" t="s">
        <v>39</v>
      </c>
      <c r="M334" s="3">
        <v>10</v>
      </c>
      <c r="N334" s="3">
        <v>0</v>
      </c>
      <c r="O334" s="3">
        <v>3</v>
      </c>
      <c r="R334" s="3">
        <v>0</v>
      </c>
      <c r="S334" s="3"/>
      <c r="T334" s="8">
        <v>0</v>
      </c>
      <c r="U334" s="3">
        <v>5.3099999999999996E-3</v>
      </c>
      <c r="V334" s="3">
        <v>0</v>
      </c>
      <c r="W334" s="3">
        <v>0</v>
      </c>
      <c r="X334" s="3"/>
      <c r="AB334" s="3" t="str">
        <f t="shared" si="3"/>
        <v>___</v>
      </c>
      <c r="AC334" s="3" t="str">
        <f t="shared" si="2"/>
        <v>____</v>
      </c>
    </row>
    <row r="335" spans="1:32" ht="12.5">
      <c r="A335" s="12">
        <v>45489</v>
      </c>
      <c r="B335" s="10">
        <v>517</v>
      </c>
      <c r="C335" s="10">
        <v>53</v>
      </c>
      <c r="D335" s="3" t="s">
        <v>33</v>
      </c>
      <c r="E335" s="3"/>
      <c r="F335" s="3"/>
      <c r="G335" s="3" t="s">
        <v>40</v>
      </c>
      <c r="H335" s="3">
        <v>1</v>
      </c>
      <c r="I335" s="4">
        <v>45476</v>
      </c>
      <c r="J335" s="3">
        <v>5</v>
      </c>
      <c r="K335" s="3">
        <v>6</v>
      </c>
      <c r="L335" s="3" t="s">
        <v>36</v>
      </c>
      <c r="M335" s="3">
        <v>11</v>
      </c>
      <c r="N335" s="3">
        <v>5</v>
      </c>
      <c r="O335" s="3">
        <v>5</v>
      </c>
      <c r="R335" s="3">
        <v>0</v>
      </c>
      <c r="S335" s="3"/>
      <c r="T335" s="3">
        <v>9.8499999999999994E-3</v>
      </c>
      <c r="U335" s="3">
        <v>1.9400000000000001E-3</v>
      </c>
      <c r="V335" s="3">
        <v>0</v>
      </c>
      <c r="W335" s="3">
        <v>0</v>
      </c>
      <c r="X335" s="3"/>
      <c r="AB335" s="3" t="str">
        <f t="shared" si="3"/>
        <v>517_53__vm</v>
      </c>
      <c r="AC335" s="3" t="str">
        <f t="shared" si="2"/>
        <v>517_53__vm_1</v>
      </c>
      <c r="AE335" s="3" t="s">
        <v>37</v>
      </c>
      <c r="AF335" s="3" t="s">
        <v>37</v>
      </c>
    </row>
    <row r="336" spans="1:32" ht="12.5">
      <c r="E336" s="3"/>
      <c r="F336" s="3"/>
      <c r="G336" s="3"/>
      <c r="L336" s="3" t="s">
        <v>38</v>
      </c>
      <c r="M336" s="3">
        <v>13</v>
      </c>
      <c r="N336" s="3">
        <v>0</v>
      </c>
      <c r="O336" s="3">
        <v>2</v>
      </c>
      <c r="P336" s="3">
        <v>2</v>
      </c>
      <c r="Q336" s="3">
        <v>2</v>
      </c>
      <c r="R336" s="3">
        <v>0</v>
      </c>
      <c r="S336" s="3"/>
      <c r="T336" s="3">
        <v>0</v>
      </c>
      <c r="U336" s="3">
        <v>3.3700000000000002E-3</v>
      </c>
      <c r="V336" s="3">
        <v>7.2899999999999996E-3</v>
      </c>
      <c r="W336" s="3">
        <v>0</v>
      </c>
      <c r="X336" s="3"/>
      <c r="AB336" s="3" t="str">
        <f t="shared" si="3"/>
        <v>___</v>
      </c>
      <c r="AC336" s="3" t="str">
        <f t="shared" si="2"/>
        <v>____</v>
      </c>
    </row>
    <row r="337" spans="1:32" ht="12.5">
      <c r="E337" s="3"/>
      <c r="F337" s="3"/>
      <c r="G337" s="3"/>
      <c r="L337" s="3" t="s">
        <v>39</v>
      </c>
      <c r="M337" s="3">
        <v>20</v>
      </c>
      <c r="N337" s="3">
        <v>0</v>
      </c>
      <c r="O337" s="3">
        <v>4</v>
      </c>
      <c r="P337" s="3">
        <v>2</v>
      </c>
      <c r="Q337" s="3">
        <v>2</v>
      </c>
      <c r="R337" s="3">
        <v>0</v>
      </c>
      <c r="S337" s="3"/>
      <c r="T337" s="3">
        <v>0</v>
      </c>
      <c r="U337" s="3">
        <v>6.94E-3</v>
      </c>
      <c r="V337" s="3">
        <v>1.1520000000000001E-2</v>
      </c>
      <c r="W337" s="3">
        <v>0</v>
      </c>
      <c r="X337" s="3"/>
      <c r="AB337" s="3" t="str">
        <f t="shared" si="3"/>
        <v>___</v>
      </c>
      <c r="AC337" s="3" t="str">
        <f t="shared" si="2"/>
        <v>____</v>
      </c>
    </row>
    <row r="338" spans="1:32" ht="12.5">
      <c r="A338" s="12">
        <v>45489</v>
      </c>
      <c r="B338" s="3">
        <v>517</v>
      </c>
      <c r="C338" s="3">
        <v>53</v>
      </c>
      <c r="D338" s="3" t="s">
        <v>33</v>
      </c>
      <c r="E338" s="3"/>
      <c r="F338" s="3"/>
      <c r="G338" s="3" t="s">
        <v>40</v>
      </c>
      <c r="H338" s="3">
        <v>2</v>
      </c>
      <c r="I338" s="4">
        <v>45549</v>
      </c>
      <c r="J338" s="4">
        <v>45426</v>
      </c>
      <c r="K338" s="3">
        <v>5</v>
      </c>
      <c r="L338" s="3" t="s">
        <v>36</v>
      </c>
      <c r="M338" s="3">
        <v>55</v>
      </c>
      <c r="N338" s="3">
        <v>9</v>
      </c>
      <c r="O338" s="3">
        <v>9</v>
      </c>
      <c r="R338" s="3">
        <v>0</v>
      </c>
      <c r="S338" s="3"/>
      <c r="T338" s="3">
        <v>2.145E-2</v>
      </c>
      <c r="U338" s="3">
        <v>0.1002</v>
      </c>
      <c r="V338" s="3">
        <v>0</v>
      </c>
      <c r="W338" s="3">
        <v>0</v>
      </c>
      <c r="X338" s="3"/>
      <c r="AB338" s="3" t="str">
        <f t="shared" si="3"/>
        <v>517_53__vm</v>
      </c>
      <c r="AC338" s="3" t="str">
        <f t="shared" si="2"/>
        <v>517_53__vm_2</v>
      </c>
      <c r="AE338" s="3" t="s">
        <v>37</v>
      </c>
      <c r="AF338" s="3" t="s">
        <v>37</v>
      </c>
    </row>
    <row r="339" spans="1:32" ht="12.5">
      <c r="E339" s="3"/>
      <c r="F339" s="3"/>
      <c r="G339" s="3"/>
      <c r="L339" s="3" t="s">
        <v>38</v>
      </c>
      <c r="M339" s="3">
        <v>40</v>
      </c>
      <c r="N339" s="3">
        <v>0</v>
      </c>
      <c r="O339" s="3">
        <v>1</v>
      </c>
      <c r="P339" s="3">
        <v>2</v>
      </c>
      <c r="Q339" s="3">
        <v>2</v>
      </c>
      <c r="R339" s="3">
        <v>0</v>
      </c>
      <c r="S339" s="3"/>
      <c r="T339" s="3">
        <v>0</v>
      </c>
      <c r="U339" s="3">
        <v>1.804E-2</v>
      </c>
      <c r="V339" s="3">
        <v>1.6830000000000001E-2</v>
      </c>
      <c r="W339" s="3">
        <v>0</v>
      </c>
      <c r="X339" s="3"/>
      <c r="AB339" s="3" t="str">
        <f t="shared" si="3"/>
        <v>___</v>
      </c>
      <c r="AC339" s="3" t="str">
        <f t="shared" si="2"/>
        <v>____</v>
      </c>
    </row>
    <row r="340" spans="1:32" ht="12.5">
      <c r="E340" s="3"/>
      <c r="F340" s="3"/>
      <c r="G340" s="3"/>
      <c r="L340" s="3" t="s">
        <v>39</v>
      </c>
      <c r="M340" s="3">
        <v>10</v>
      </c>
      <c r="N340" s="3">
        <v>0</v>
      </c>
      <c r="O340" s="3">
        <v>2</v>
      </c>
      <c r="R340" s="3">
        <v>0</v>
      </c>
      <c r="S340" s="3"/>
      <c r="T340" s="3">
        <v>0</v>
      </c>
      <c r="U340" s="3">
        <v>1.4710000000000001E-2</v>
      </c>
      <c r="V340" s="3">
        <v>7.911E-2</v>
      </c>
      <c r="W340" s="3">
        <v>0</v>
      </c>
      <c r="X340" s="3"/>
      <c r="AB340" s="3" t="str">
        <f t="shared" si="3"/>
        <v>___</v>
      </c>
      <c r="AC340" s="3" t="str">
        <f t="shared" si="2"/>
        <v>____</v>
      </c>
    </row>
    <row r="341" spans="1:32" ht="12.5">
      <c r="A341" s="12">
        <v>45489</v>
      </c>
      <c r="B341" s="3">
        <v>517</v>
      </c>
      <c r="C341" s="3">
        <v>53</v>
      </c>
      <c r="D341" s="3" t="s">
        <v>33</v>
      </c>
      <c r="E341" s="3"/>
      <c r="F341" s="3"/>
      <c r="G341" s="3" t="s">
        <v>40</v>
      </c>
      <c r="H341" s="3">
        <v>3</v>
      </c>
      <c r="I341" s="4">
        <v>45419</v>
      </c>
      <c r="J341" s="3">
        <v>11</v>
      </c>
      <c r="K341" s="3">
        <v>8</v>
      </c>
      <c r="L341" s="3" t="s">
        <v>36</v>
      </c>
      <c r="M341" s="3">
        <v>7</v>
      </c>
      <c r="N341" s="3">
        <v>4</v>
      </c>
      <c r="O341" s="3">
        <v>4</v>
      </c>
      <c r="R341" s="3">
        <v>0</v>
      </c>
      <c r="S341" s="3"/>
      <c r="T341" s="3">
        <v>4.2300000000000003E-3</v>
      </c>
      <c r="U341" s="3">
        <v>1.34E-3</v>
      </c>
      <c r="V341" s="3">
        <v>0</v>
      </c>
      <c r="W341" s="3">
        <v>0</v>
      </c>
      <c r="X341" s="3"/>
      <c r="AB341" s="3" t="str">
        <f t="shared" si="3"/>
        <v>517_53__vm</v>
      </c>
      <c r="AC341" s="3" t="str">
        <f t="shared" si="2"/>
        <v>517_53__vm_3</v>
      </c>
      <c r="AE341" s="3" t="s">
        <v>37</v>
      </c>
      <c r="AF341" s="3" t="s">
        <v>37</v>
      </c>
    </row>
    <row r="342" spans="1:32" ht="12.5">
      <c r="E342" s="3"/>
      <c r="F342" s="3"/>
      <c r="G342" s="3"/>
      <c r="L342" s="3" t="s">
        <v>38</v>
      </c>
      <c r="M342" s="3">
        <v>12</v>
      </c>
      <c r="N342" s="3">
        <v>0</v>
      </c>
      <c r="O342" s="3">
        <v>3</v>
      </c>
      <c r="P342" s="3">
        <v>1</v>
      </c>
      <c r="Q342" s="3">
        <v>1</v>
      </c>
      <c r="R342" s="3">
        <v>0</v>
      </c>
      <c r="S342" s="3"/>
      <c r="T342" s="3">
        <v>0</v>
      </c>
      <c r="U342" s="3">
        <v>1.4499999999999999E-3</v>
      </c>
      <c r="V342" s="3">
        <v>0</v>
      </c>
      <c r="W342" s="3">
        <v>0</v>
      </c>
      <c r="X342" s="3"/>
      <c r="AB342" s="3" t="str">
        <f t="shared" si="3"/>
        <v>___</v>
      </c>
      <c r="AC342" s="3" t="str">
        <f t="shared" si="2"/>
        <v>____</v>
      </c>
    </row>
    <row r="343" spans="1:32" ht="12.5">
      <c r="E343" s="3"/>
      <c r="F343" s="3"/>
      <c r="G343" s="3"/>
      <c r="L343" s="3" t="s">
        <v>39</v>
      </c>
      <c r="M343" s="3">
        <v>20</v>
      </c>
      <c r="N343" s="3">
        <v>0</v>
      </c>
      <c r="O343" s="3">
        <v>3</v>
      </c>
      <c r="P343" s="3">
        <v>1</v>
      </c>
      <c r="Q343" s="3">
        <v>1</v>
      </c>
      <c r="R343" s="3">
        <v>0</v>
      </c>
      <c r="S343" s="3"/>
      <c r="T343" s="3">
        <v>0</v>
      </c>
      <c r="U343" s="3">
        <v>6.8199999999999997E-3</v>
      </c>
      <c r="V343" s="3">
        <v>4.5300000000000002E-3</v>
      </c>
      <c r="W343" s="3">
        <v>0</v>
      </c>
      <c r="X343" s="3"/>
      <c r="AB343" s="3" t="str">
        <f t="shared" si="3"/>
        <v>___</v>
      </c>
      <c r="AC343" s="3" t="str">
        <f t="shared" si="2"/>
        <v>____</v>
      </c>
    </row>
    <row r="344" spans="1:32" ht="12.5">
      <c r="A344" s="12">
        <v>45489</v>
      </c>
      <c r="B344" s="3">
        <v>517</v>
      </c>
      <c r="C344" s="3">
        <v>53</v>
      </c>
      <c r="D344" s="3" t="s">
        <v>33</v>
      </c>
      <c r="E344" s="3"/>
      <c r="F344" s="3"/>
      <c r="G344" s="3" t="s">
        <v>35</v>
      </c>
      <c r="H344" s="3">
        <v>1</v>
      </c>
      <c r="I344" s="4">
        <v>45538</v>
      </c>
      <c r="J344" s="4">
        <v>45357</v>
      </c>
      <c r="K344" s="3">
        <v>6</v>
      </c>
      <c r="L344" s="3" t="s">
        <v>36</v>
      </c>
      <c r="M344" s="3">
        <v>14</v>
      </c>
      <c r="N344" s="3">
        <v>10</v>
      </c>
      <c r="O344" s="3">
        <v>10</v>
      </c>
      <c r="R344" s="3">
        <v>0</v>
      </c>
      <c r="S344" s="3"/>
      <c r="T344" s="3">
        <v>2.358E-2</v>
      </c>
      <c r="U344" s="3">
        <v>3.2399999999999998E-3</v>
      </c>
      <c r="V344" s="3">
        <v>0</v>
      </c>
      <c r="W344" s="3">
        <v>0</v>
      </c>
      <c r="X344" s="3"/>
      <c r="AB344" s="3" t="str">
        <f t="shared" si="3"/>
        <v>517_53__vv</v>
      </c>
      <c r="AC344" s="3" t="str">
        <f t="shared" si="2"/>
        <v>517_53__vv_1</v>
      </c>
      <c r="AE344" s="3" t="s">
        <v>37</v>
      </c>
      <c r="AF344" s="3" t="s">
        <v>37</v>
      </c>
    </row>
    <row r="345" spans="1:32" ht="12.5">
      <c r="E345" s="3"/>
      <c r="F345" s="3"/>
      <c r="G345" s="3"/>
      <c r="L345" s="3" t="s">
        <v>38</v>
      </c>
      <c r="M345" s="3">
        <v>10</v>
      </c>
      <c r="N345" s="3">
        <v>7</v>
      </c>
      <c r="O345" s="3">
        <v>8</v>
      </c>
      <c r="R345" s="3">
        <v>0</v>
      </c>
      <c r="S345" s="3"/>
      <c r="T345" s="3">
        <v>2.349E-2</v>
      </c>
      <c r="U345" s="3">
        <v>2.9499999999999999E-3</v>
      </c>
      <c r="V345" s="3">
        <v>0</v>
      </c>
      <c r="W345" s="3">
        <v>0</v>
      </c>
      <c r="X345" s="3"/>
      <c r="AB345" s="3" t="str">
        <f t="shared" si="3"/>
        <v>___</v>
      </c>
      <c r="AC345" s="3" t="str">
        <f t="shared" si="2"/>
        <v>____</v>
      </c>
    </row>
    <row r="346" spans="1:32" ht="12.5">
      <c r="E346" s="3"/>
      <c r="F346" s="3"/>
      <c r="G346" s="3"/>
      <c r="L346" s="3" t="s">
        <v>39</v>
      </c>
      <c r="M346" s="3">
        <v>11</v>
      </c>
      <c r="N346" s="3">
        <v>3</v>
      </c>
      <c r="O346" s="3">
        <v>5</v>
      </c>
      <c r="R346" s="3">
        <v>0</v>
      </c>
      <c r="S346" s="3"/>
      <c r="T346" s="3">
        <v>6.11E-3</v>
      </c>
      <c r="U346" s="3">
        <v>2.97E-3</v>
      </c>
      <c r="V346" s="3">
        <v>0</v>
      </c>
      <c r="W346" s="3">
        <v>0</v>
      </c>
      <c r="X346" s="3"/>
      <c r="AB346" s="3" t="str">
        <f t="shared" si="3"/>
        <v>___</v>
      </c>
      <c r="AC346" s="3" t="str">
        <f t="shared" si="2"/>
        <v>____</v>
      </c>
    </row>
    <row r="347" spans="1:32" ht="12.5">
      <c r="A347" s="12">
        <v>45489</v>
      </c>
      <c r="B347" s="3">
        <v>517</v>
      </c>
      <c r="C347" s="3">
        <v>53</v>
      </c>
      <c r="D347" s="3" t="s">
        <v>33</v>
      </c>
      <c r="E347" s="3"/>
      <c r="F347" s="3"/>
      <c r="G347" s="3" t="s">
        <v>35</v>
      </c>
      <c r="H347" s="3">
        <v>2</v>
      </c>
      <c r="I347" s="4">
        <v>45475</v>
      </c>
      <c r="J347" s="4">
        <v>45506</v>
      </c>
      <c r="K347" s="3">
        <v>3</v>
      </c>
      <c r="L347" s="3" t="s">
        <v>36</v>
      </c>
      <c r="M347" s="3">
        <v>15</v>
      </c>
      <c r="N347" s="3">
        <v>8</v>
      </c>
      <c r="O347" s="3">
        <v>12</v>
      </c>
      <c r="R347" s="3">
        <v>0</v>
      </c>
      <c r="S347" s="3"/>
      <c r="T347" s="3">
        <v>4.4179999999999997E-2</v>
      </c>
      <c r="U347" s="3">
        <v>3.8800000000000002E-3</v>
      </c>
      <c r="V347" s="3">
        <v>0</v>
      </c>
      <c r="W347" s="3">
        <v>0</v>
      </c>
      <c r="X347" s="3"/>
      <c r="AB347" s="3" t="str">
        <f t="shared" si="3"/>
        <v>517_53__vv</v>
      </c>
      <c r="AC347" s="3" t="str">
        <f t="shared" si="2"/>
        <v>517_53__vv_2</v>
      </c>
      <c r="AE347" s="3" t="s">
        <v>37</v>
      </c>
      <c r="AF347" s="3" t="s">
        <v>37</v>
      </c>
    </row>
    <row r="348" spans="1:32" ht="12.5">
      <c r="E348" s="3"/>
      <c r="F348" s="3"/>
      <c r="G348" s="3"/>
      <c r="L348" s="3" t="s">
        <v>38</v>
      </c>
      <c r="M348" s="3">
        <v>7</v>
      </c>
      <c r="N348" s="3">
        <v>2</v>
      </c>
      <c r="O348" s="3">
        <v>7</v>
      </c>
      <c r="P348" s="3">
        <v>1</v>
      </c>
      <c r="Q348" s="3">
        <v>1</v>
      </c>
      <c r="R348" s="3">
        <v>0</v>
      </c>
      <c r="S348" s="3"/>
      <c r="T348" s="3">
        <v>5.4670000000000003E-2</v>
      </c>
      <c r="U348" s="3">
        <v>7.0200000000000002E-3</v>
      </c>
      <c r="V348" s="3">
        <v>0</v>
      </c>
      <c r="W348" s="3">
        <v>0</v>
      </c>
      <c r="X348" s="3"/>
      <c r="AB348" s="3" t="str">
        <f t="shared" si="3"/>
        <v>___</v>
      </c>
      <c r="AC348" s="3" t="str">
        <f t="shared" si="2"/>
        <v>____</v>
      </c>
    </row>
    <row r="349" spans="1:32" ht="12.5">
      <c r="E349" s="3"/>
      <c r="F349" s="3"/>
      <c r="G349" s="3"/>
      <c r="L349" s="3" t="s">
        <v>39</v>
      </c>
      <c r="M349" s="3">
        <v>12</v>
      </c>
      <c r="N349" s="3">
        <v>0</v>
      </c>
      <c r="O349" s="3">
        <v>4</v>
      </c>
      <c r="R349" s="3">
        <v>0</v>
      </c>
      <c r="S349" s="3"/>
      <c r="T349" s="3">
        <v>1.8489999999999999E-2</v>
      </c>
      <c r="U349" s="3">
        <v>1.831E-2</v>
      </c>
      <c r="V349" s="3">
        <v>0</v>
      </c>
      <c r="W349" s="3">
        <v>0</v>
      </c>
      <c r="X349" s="3"/>
      <c r="AB349" s="3" t="str">
        <f t="shared" si="3"/>
        <v>___</v>
      </c>
      <c r="AC349" s="3" t="str">
        <f t="shared" si="2"/>
        <v>____</v>
      </c>
    </row>
    <row r="350" spans="1:32" ht="12.5">
      <c r="A350" s="12">
        <v>45489</v>
      </c>
      <c r="B350" s="3">
        <v>517</v>
      </c>
      <c r="C350" s="3">
        <v>53</v>
      </c>
      <c r="D350" s="3" t="s">
        <v>33</v>
      </c>
      <c r="E350" s="3"/>
      <c r="F350" s="3"/>
      <c r="G350" s="3" t="s">
        <v>35</v>
      </c>
      <c r="H350" s="3">
        <v>3</v>
      </c>
      <c r="I350" s="4">
        <v>45297</v>
      </c>
      <c r="J350" s="4">
        <v>45417</v>
      </c>
      <c r="K350" s="3">
        <v>3</v>
      </c>
      <c r="L350" s="3" t="s">
        <v>36</v>
      </c>
      <c r="M350" s="3">
        <v>15</v>
      </c>
      <c r="N350" s="3">
        <v>7</v>
      </c>
      <c r="O350" s="3">
        <v>8</v>
      </c>
      <c r="R350" s="3">
        <v>0</v>
      </c>
      <c r="S350" s="3"/>
      <c r="T350" s="3">
        <v>3.8449999999999998E-2</v>
      </c>
      <c r="U350" s="3">
        <v>4.45E-3</v>
      </c>
      <c r="V350" s="3">
        <v>0</v>
      </c>
      <c r="W350" s="3">
        <v>0</v>
      </c>
      <c r="X350" s="3"/>
      <c r="AB350" s="3" t="str">
        <f t="shared" si="3"/>
        <v>517_53__vv</v>
      </c>
      <c r="AC350" s="3" t="str">
        <f t="shared" si="2"/>
        <v>517_53__vv_3</v>
      </c>
      <c r="AE350" s="3" t="s">
        <v>37</v>
      </c>
      <c r="AF350" s="3" t="s">
        <v>37</v>
      </c>
    </row>
    <row r="351" spans="1:32" ht="12.5">
      <c r="E351" s="3"/>
      <c r="F351" s="3"/>
      <c r="G351" s="3"/>
      <c r="L351" s="3" t="s">
        <v>38</v>
      </c>
      <c r="M351" s="3">
        <v>27</v>
      </c>
      <c r="N351" s="3">
        <v>7</v>
      </c>
      <c r="O351" s="3">
        <v>12</v>
      </c>
      <c r="R351" s="3">
        <v>0</v>
      </c>
      <c r="S351" s="3"/>
      <c r="T351" s="3">
        <v>3.6479999999999999E-2</v>
      </c>
      <c r="U351" s="3">
        <v>1.1939999999999999E-2</v>
      </c>
      <c r="V351" s="3">
        <v>0</v>
      </c>
      <c r="W351" s="3">
        <v>0</v>
      </c>
      <c r="X351" s="3"/>
      <c r="AB351" s="3" t="str">
        <f t="shared" si="3"/>
        <v>___</v>
      </c>
      <c r="AC351" s="3" t="str">
        <f t="shared" si="2"/>
        <v>____</v>
      </c>
    </row>
    <row r="352" spans="1:32" ht="12.5">
      <c r="E352" s="3"/>
      <c r="F352" s="3"/>
      <c r="G352" s="3"/>
      <c r="L352" s="3" t="s">
        <v>39</v>
      </c>
      <c r="M352" s="3">
        <v>12</v>
      </c>
      <c r="N352" s="3">
        <v>0</v>
      </c>
      <c r="O352" s="3">
        <v>3</v>
      </c>
      <c r="R352" s="3">
        <v>0</v>
      </c>
      <c r="S352" s="3"/>
      <c r="T352" s="3">
        <v>0</v>
      </c>
      <c r="U352" s="3">
        <v>1.25E-3</v>
      </c>
      <c r="V352" s="3">
        <v>0</v>
      </c>
      <c r="W352" s="3">
        <v>0</v>
      </c>
      <c r="X352" s="3"/>
      <c r="AB352" s="3" t="str">
        <f t="shared" si="3"/>
        <v>___</v>
      </c>
      <c r="AC352" s="3" t="str">
        <f t="shared" si="2"/>
        <v>____</v>
      </c>
    </row>
    <row r="353" spans="1:32" ht="12.5">
      <c r="A353" s="12">
        <v>45489</v>
      </c>
      <c r="B353" s="10">
        <v>517</v>
      </c>
      <c r="C353" s="10">
        <v>46</v>
      </c>
      <c r="D353" s="3" t="s">
        <v>33</v>
      </c>
      <c r="E353" s="3"/>
      <c r="G353" s="3" t="s">
        <v>40</v>
      </c>
      <c r="H353" s="3">
        <v>1</v>
      </c>
      <c r="I353" s="3">
        <v>8</v>
      </c>
      <c r="J353" s="3">
        <v>11</v>
      </c>
      <c r="K353" s="3">
        <v>5</v>
      </c>
      <c r="L353" s="3" t="s">
        <v>36</v>
      </c>
      <c r="M353" s="3">
        <v>6</v>
      </c>
      <c r="N353" s="3">
        <v>4</v>
      </c>
      <c r="O353" s="3">
        <v>4</v>
      </c>
      <c r="R353" s="3">
        <v>1</v>
      </c>
      <c r="S353" s="3"/>
      <c r="T353" s="3">
        <v>5.3299999999999997E-3</v>
      </c>
      <c r="U353" s="3">
        <v>5.4000000000000001E-4</v>
      </c>
      <c r="V353" s="3">
        <v>0</v>
      </c>
      <c r="W353" s="3">
        <v>2.2699999999999999E-3</v>
      </c>
      <c r="X353" s="3"/>
      <c r="AB353" s="3" t="str">
        <f t="shared" si="3"/>
        <v>517_46__vm</v>
      </c>
      <c r="AC353" s="3" t="str">
        <f t="shared" si="2"/>
        <v>517_46__vm_1</v>
      </c>
      <c r="AE353" s="3" t="s">
        <v>37</v>
      </c>
      <c r="AF353" s="3" t="s">
        <v>37</v>
      </c>
    </row>
    <row r="354" spans="1:32" ht="12.5">
      <c r="B354" s="3"/>
      <c r="C354" s="3"/>
      <c r="D354" s="3"/>
      <c r="E354" s="3"/>
      <c r="G354" s="3"/>
      <c r="H354" s="3"/>
      <c r="I354" s="4"/>
      <c r="J354" s="4"/>
      <c r="K354" s="3"/>
      <c r="L354" s="3" t="s">
        <v>38</v>
      </c>
      <c r="M354" s="3">
        <v>34</v>
      </c>
      <c r="N354" s="3">
        <v>0</v>
      </c>
      <c r="O354" s="3">
        <v>1</v>
      </c>
      <c r="P354" s="3">
        <v>4</v>
      </c>
      <c r="Q354" s="3">
        <v>4</v>
      </c>
      <c r="R354" s="3">
        <v>1</v>
      </c>
      <c r="S354" s="3"/>
      <c r="T354" s="3">
        <v>0</v>
      </c>
      <c r="U354" s="3">
        <v>2.1170000000000001E-2</v>
      </c>
      <c r="V354" s="3">
        <v>8.3899999999999999E-3</v>
      </c>
      <c r="W354" s="3">
        <v>2.1399999999999999E-2</v>
      </c>
      <c r="X354" s="3"/>
      <c r="AB354" s="3" t="str">
        <f t="shared" si="3"/>
        <v>___</v>
      </c>
      <c r="AC354" s="3" t="str">
        <f t="shared" si="2"/>
        <v>____</v>
      </c>
    </row>
    <row r="355" spans="1:32" ht="12.5">
      <c r="B355" s="3"/>
      <c r="C355" s="3"/>
      <c r="D355" s="3"/>
      <c r="E355" s="3"/>
      <c r="G355" s="3"/>
      <c r="H355" s="3"/>
      <c r="I355" s="4"/>
      <c r="J355" s="4"/>
      <c r="K355" s="3"/>
      <c r="L355" s="3" t="s">
        <v>39</v>
      </c>
      <c r="M355" s="3">
        <v>12</v>
      </c>
      <c r="N355" s="3">
        <v>0</v>
      </c>
      <c r="O355" s="3">
        <v>4</v>
      </c>
      <c r="R355" s="3">
        <v>0</v>
      </c>
      <c r="S355" s="3"/>
      <c r="T355" s="3">
        <v>0</v>
      </c>
      <c r="U355" s="3">
        <v>4.19E-2</v>
      </c>
      <c r="V355" s="3">
        <v>0</v>
      </c>
      <c r="W355" s="3">
        <v>0</v>
      </c>
      <c r="X355" s="3"/>
      <c r="AB355" s="3" t="str">
        <f t="shared" si="3"/>
        <v>___</v>
      </c>
      <c r="AC355" s="3" t="str">
        <f t="shared" si="2"/>
        <v>____</v>
      </c>
    </row>
    <row r="356" spans="1:32" ht="12.5">
      <c r="A356" s="12">
        <v>45489</v>
      </c>
      <c r="B356" s="3">
        <v>517</v>
      </c>
      <c r="C356" s="3">
        <v>46</v>
      </c>
      <c r="D356" s="3" t="s">
        <v>33</v>
      </c>
      <c r="E356" s="3"/>
      <c r="G356" s="3" t="s">
        <v>40</v>
      </c>
      <c r="H356" s="3">
        <v>2</v>
      </c>
      <c r="I356" s="4">
        <v>45297</v>
      </c>
      <c r="J356" s="3">
        <v>7</v>
      </c>
      <c r="K356" s="3">
        <v>3</v>
      </c>
      <c r="L356" s="3" t="s">
        <v>36</v>
      </c>
      <c r="M356" s="3">
        <v>29</v>
      </c>
      <c r="N356" s="3">
        <v>7</v>
      </c>
      <c r="O356" s="3">
        <v>7</v>
      </c>
      <c r="R356" s="3">
        <v>0</v>
      </c>
      <c r="S356" s="3"/>
      <c r="T356" s="3">
        <v>4.895E-2</v>
      </c>
      <c r="U356" s="3">
        <v>3.4439999999999998E-2</v>
      </c>
      <c r="V356" s="3">
        <v>0</v>
      </c>
      <c r="W356" s="3">
        <v>0</v>
      </c>
      <c r="X356" s="3"/>
      <c r="AB356" s="3" t="str">
        <f t="shared" si="3"/>
        <v>517_46__vm</v>
      </c>
      <c r="AC356" s="3" t="str">
        <f t="shared" si="2"/>
        <v>517_46__vm_2</v>
      </c>
      <c r="AE356" s="3" t="s">
        <v>37</v>
      </c>
      <c r="AF356" s="3" t="s">
        <v>37</v>
      </c>
    </row>
    <row r="357" spans="1:32" ht="12.5">
      <c r="B357" s="3"/>
      <c r="C357" s="3"/>
      <c r="D357" s="3"/>
      <c r="E357" s="3"/>
      <c r="G357" s="3"/>
      <c r="H357" s="3"/>
      <c r="I357" s="4"/>
      <c r="J357" s="4"/>
      <c r="K357" s="3"/>
      <c r="L357" s="3" t="s">
        <v>38</v>
      </c>
      <c r="M357" s="3">
        <v>35</v>
      </c>
      <c r="N357" s="3">
        <v>0</v>
      </c>
      <c r="O357" s="3">
        <v>4</v>
      </c>
      <c r="P357" s="3">
        <v>2</v>
      </c>
      <c r="Q357" s="3">
        <v>2</v>
      </c>
      <c r="R357" s="3">
        <v>0</v>
      </c>
      <c r="S357" s="3"/>
      <c r="T357" s="3">
        <v>0</v>
      </c>
      <c r="U357" s="3">
        <v>4.7750000000000001E-2</v>
      </c>
      <c r="V357" s="3">
        <v>4.342E-2</v>
      </c>
      <c r="W357" s="3">
        <v>0</v>
      </c>
      <c r="X357" s="3"/>
      <c r="AB357" s="3" t="str">
        <f t="shared" si="3"/>
        <v>___</v>
      </c>
      <c r="AC357" s="3" t="str">
        <f t="shared" si="2"/>
        <v>____</v>
      </c>
    </row>
    <row r="358" spans="1:32" ht="12.5">
      <c r="B358" s="3"/>
      <c r="C358" s="3"/>
      <c r="D358" s="3"/>
      <c r="E358" s="3"/>
      <c r="G358" s="3"/>
      <c r="H358" s="3"/>
      <c r="I358" s="4"/>
      <c r="J358" s="4"/>
      <c r="K358" s="3"/>
      <c r="L358" s="3" t="s">
        <v>39</v>
      </c>
      <c r="M358" s="3">
        <v>16</v>
      </c>
      <c r="N358" s="3">
        <v>0</v>
      </c>
      <c r="O358" s="3">
        <v>1</v>
      </c>
      <c r="P358" s="3">
        <v>4</v>
      </c>
      <c r="Q358" s="3">
        <v>4</v>
      </c>
      <c r="R358" s="3">
        <v>0</v>
      </c>
      <c r="S358" s="3"/>
      <c r="T358" s="3">
        <v>0</v>
      </c>
      <c r="U358" s="3">
        <v>1.217E-2</v>
      </c>
      <c r="V358" s="3">
        <v>0</v>
      </c>
      <c r="W358" s="3">
        <v>0</v>
      </c>
      <c r="X358" s="3"/>
      <c r="AB358" s="3" t="str">
        <f t="shared" si="3"/>
        <v>___</v>
      </c>
      <c r="AC358" s="3" t="str">
        <f t="shared" si="2"/>
        <v>____</v>
      </c>
    </row>
    <row r="359" spans="1:32" ht="12.5">
      <c r="A359" s="12">
        <v>45489</v>
      </c>
      <c r="B359" s="3">
        <v>517</v>
      </c>
      <c r="C359" s="3">
        <v>46</v>
      </c>
      <c r="D359" s="3" t="s">
        <v>33</v>
      </c>
      <c r="E359" s="3"/>
      <c r="G359" s="3" t="s">
        <v>40</v>
      </c>
      <c r="H359" s="3">
        <v>3</v>
      </c>
      <c r="I359" s="4">
        <v>45297</v>
      </c>
      <c r="J359" s="3">
        <v>8</v>
      </c>
      <c r="K359" s="3">
        <v>5</v>
      </c>
      <c r="L359" s="3" t="s">
        <v>36</v>
      </c>
      <c r="M359" s="3">
        <v>9</v>
      </c>
      <c r="N359" s="3">
        <v>4</v>
      </c>
      <c r="O359" s="3">
        <v>4</v>
      </c>
      <c r="R359" s="3">
        <v>0</v>
      </c>
      <c r="S359" s="3"/>
      <c r="T359" s="3">
        <v>5.8500000000000002E-3</v>
      </c>
      <c r="U359" s="3">
        <v>1.0399999999999999E-3</v>
      </c>
      <c r="V359" s="3">
        <v>0</v>
      </c>
      <c r="W359" s="3">
        <v>0</v>
      </c>
      <c r="X359" s="3"/>
      <c r="AB359" s="3" t="str">
        <f t="shared" si="3"/>
        <v>517_46__vm</v>
      </c>
      <c r="AC359" s="3" t="str">
        <f t="shared" si="2"/>
        <v>517_46__vm_3</v>
      </c>
      <c r="AE359" s="3" t="s">
        <v>37</v>
      </c>
      <c r="AF359" s="3" t="s">
        <v>37</v>
      </c>
    </row>
    <row r="360" spans="1:32" ht="12.5">
      <c r="B360" s="3"/>
      <c r="C360" s="3"/>
      <c r="D360" s="3"/>
      <c r="E360" s="3"/>
      <c r="G360" s="3"/>
      <c r="H360" s="3"/>
      <c r="I360" s="4"/>
      <c r="J360" s="4"/>
      <c r="K360" s="3"/>
      <c r="L360" s="3" t="s">
        <v>38</v>
      </c>
      <c r="M360" s="3">
        <v>6</v>
      </c>
      <c r="N360" s="3">
        <v>0</v>
      </c>
      <c r="O360" s="3">
        <v>2</v>
      </c>
      <c r="R360" s="3">
        <v>0</v>
      </c>
      <c r="S360" s="3"/>
      <c r="T360" s="3">
        <v>0</v>
      </c>
      <c r="U360" s="3">
        <v>3.5100000000000001E-3</v>
      </c>
      <c r="V360" s="3">
        <v>6.0400000000000002E-3</v>
      </c>
      <c r="W360" s="3">
        <v>0</v>
      </c>
      <c r="X360" s="3"/>
      <c r="AB360" s="3" t="str">
        <f t="shared" si="3"/>
        <v>___</v>
      </c>
      <c r="AC360" s="3" t="str">
        <f t="shared" si="2"/>
        <v>____</v>
      </c>
    </row>
    <row r="361" spans="1:32" ht="12.5">
      <c r="B361" s="3"/>
      <c r="C361" s="3"/>
      <c r="D361" s="3"/>
      <c r="E361" s="3"/>
      <c r="G361" s="3"/>
      <c r="H361" s="3"/>
      <c r="I361" s="4"/>
      <c r="J361" s="4"/>
      <c r="K361" s="3"/>
      <c r="L361" s="3" t="s">
        <v>39</v>
      </c>
      <c r="M361" s="3">
        <v>17</v>
      </c>
      <c r="N361" s="3">
        <v>0</v>
      </c>
      <c r="O361" s="3">
        <v>2</v>
      </c>
      <c r="P361" s="3">
        <v>3</v>
      </c>
      <c r="Q361" s="3">
        <v>2</v>
      </c>
      <c r="R361" s="3">
        <v>0</v>
      </c>
      <c r="S361" s="3"/>
      <c r="T361" s="3">
        <v>0</v>
      </c>
      <c r="U361" s="3">
        <v>8.2199999999999999E-3</v>
      </c>
      <c r="V361" s="3">
        <v>8.2400000000000008E-3</v>
      </c>
      <c r="W361" s="3">
        <v>0</v>
      </c>
      <c r="X361" s="3"/>
      <c r="Y361" s="3"/>
      <c r="Z361" s="3" t="s">
        <v>60</v>
      </c>
      <c r="AB361" s="3" t="str">
        <f t="shared" si="3"/>
        <v>___</v>
      </c>
      <c r="AC361" s="3" t="str">
        <f t="shared" si="2"/>
        <v>____</v>
      </c>
    </row>
    <row r="362" spans="1:32" ht="12.5">
      <c r="A362" s="12">
        <v>45489</v>
      </c>
      <c r="B362" s="3">
        <v>517</v>
      </c>
      <c r="C362" s="3">
        <v>46</v>
      </c>
      <c r="D362" s="3" t="s">
        <v>33</v>
      </c>
      <c r="E362" s="3"/>
      <c r="G362" s="3" t="s">
        <v>35</v>
      </c>
      <c r="H362" s="3">
        <v>1</v>
      </c>
      <c r="I362" s="4">
        <v>45297</v>
      </c>
      <c r="J362" s="4">
        <v>45327</v>
      </c>
      <c r="K362" s="3">
        <v>2</v>
      </c>
      <c r="L362" s="3" t="s">
        <v>36</v>
      </c>
      <c r="M362" s="3">
        <v>11</v>
      </c>
      <c r="N362" s="3">
        <v>7</v>
      </c>
      <c r="O362" s="3">
        <v>8</v>
      </c>
      <c r="R362" s="3">
        <v>0</v>
      </c>
      <c r="S362" s="3"/>
      <c r="T362" s="3">
        <v>3.3399999999999999E-2</v>
      </c>
      <c r="U362" s="3">
        <v>2.3E-3</v>
      </c>
      <c r="V362" s="3">
        <v>0</v>
      </c>
      <c r="W362" s="3">
        <v>0</v>
      </c>
      <c r="X362" s="3"/>
      <c r="Y362" s="3"/>
      <c r="Z362" s="3" t="s">
        <v>56</v>
      </c>
      <c r="AB362" s="3" t="str">
        <f t="shared" si="3"/>
        <v>517_46__vv</v>
      </c>
      <c r="AC362" s="3" t="str">
        <f t="shared" si="2"/>
        <v>517_46__vv_1</v>
      </c>
      <c r="AE362" s="3" t="s">
        <v>37</v>
      </c>
      <c r="AF362" s="3" t="s">
        <v>37</v>
      </c>
    </row>
    <row r="363" spans="1:32" ht="12.5">
      <c r="B363" s="3"/>
      <c r="C363" s="3"/>
      <c r="D363" s="3"/>
      <c r="E363" s="3"/>
      <c r="G363" s="3"/>
      <c r="H363" s="3"/>
      <c r="I363" s="4"/>
      <c r="J363" s="4"/>
      <c r="K363" s="3"/>
      <c r="L363" s="3" t="s">
        <v>38</v>
      </c>
      <c r="M363" s="3">
        <v>42</v>
      </c>
      <c r="N363" s="3">
        <v>4</v>
      </c>
      <c r="O363" s="3">
        <v>9</v>
      </c>
      <c r="P363" s="3">
        <v>1</v>
      </c>
      <c r="Q363" s="3">
        <v>1</v>
      </c>
      <c r="R363" s="3">
        <v>0</v>
      </c>
      <c r="S363" s="3"/>
      <c r="T363" s="3">
        <v>1.329E-2</v>
      </c>
      <c r="U363" s="3">
        <v>1.423E-2</v>
      </c>
      <c r="V363" s="3">
        <v>1.307E-2</v>
      </c>
      <c r="W363" s="3">
        <v>0</v>
      </c>
      <c r="X363" s="3"/>
      <c r="AB363" s="3" t="str">
        <f t="shared" si="3"/>
        <v>___</v>
      </c>
      <c r="AC363" s="3" t="str">
        <f t="shared" si="2"/>
        <v>____</v>
      </c>
    </row>
    <row r="364" spans="1:32" ht="12.5">
      <c r="B364" s="3"/>
      <c r="C364" s="3"/>
      <c r="D364" s="3"/>
      <c r="E364" s="3"/>
      <c r="G364" s="3"/>
      <c r="H364" s="3"/>
      <c r="I364" s="4"/>
      <c r="J364" s="4"/>
      <c r="K364" s="3"/>
      <c r="L364" s="3" t="s">
        <v>39</v>
      </c>
      <c r="M364" s="3" t="s">
        <v>47</v>
      </c>
      <c r="N364" s="3" t="s">
        <v>47</v>
      </c>
      <c r="O364" s="3" t="s">
        <v>47</v>
      </c>
      <c r="R364" s="3" t="s">
        <v>47</v>
      </c>
      <c r="S364" s="3"/>
      <c r="T364" s="3" t="s">
        <v>47</v>
      </c>
      <c r="U364" s="3" t="s">
        <v>47</v>
      </c>
      <c r="V364" s="3" t="s">
        <v>47</v>
      </c>
      <c r="W364" s="3" t="s">
        <v>47</v>
      </c>
      <c r="X364" s="3"/>
      <c r="AB364" s="3" t="str">
        <f t="shared" si="3"/>
        <v>___</v>
      </c>
      <c r="AC364" s="3" t="str">
        <f t="shared" si="2"/>
        <v>____</v>
      </c>
    </row>
    <row r="365" spans="1:32" ht="12.5">
      <c r="A365" s="12">
        <v>45489</v>
      </c>
      <c r="B365" s="3">
        <v>517</v>
      </c>
      <c r="C365" s="3">
        <v>46</v>
      </c>
      <c r="D365" s="3" t="s">
        <v>33</v>
      </c>
      <c r="E365" s="3"/>
      <c r="G365" s="3" t="s">
        <v>35</v>
      </c>
      <c r="H365" s="3">
        <v>2</v>
      </c>
      <c r="I365" s="4">
        <v>45508</v>
      </c>
      <c r="J365" s="4">
        <v>45300</v>
      </c>
      <c r="K365" s="3">
        <v>3</v>
      </c>
      <c r="L365" s="3" t="s">
        <v>36</v>
      </c>
      <c r="M365" s="3">
        <v>15</v>
      </c>
      <c r="N365" s="3">
        <v>10</v>
      </c>
      <c r="O365" s="3">
        <v>11</v>
      </c>
      <c r="R365" s="3">
        <v>0</v>
      </c>
      <c r="S365" s="3"/>
      <c r="T365" s="3">
        <v>3.8179999999999999E-2</v>
      </c>
      <c r="U365" s="3">
        <v>2.8600000000000001E-3</v>
      </c>
      <c r="V365" s="3">
        <v>0</v>
      </c>
      <c r="W365" s="3">
        <v>0</v>
      </c>
      <c r="X365" s="3"/>
      <c r="AB365" s="3" t="str">
        <f t="shared" si="3"/>
        <v>517_46__vv</v>
      </c>
      <c r="AC365" s="3" t="str">
        <f t="shared" si="2"/>
        <v>517_46__vv_2</v>
      </c>
      <c r="AE365" s="3" t="s">
        <v>37</v>
      </c>
      <c r="AF365" s="3" t="s">
        <v>37</v>
      </c>
    </row>
    <row r="366" spans="1:32" ht="12.5">
      <c r="B366" s="3"/>
      <c r="C366" s="3"/>
      <c r="D366" s="3"/>
      <c r="E366" s="3"/>
      <c r="G366" s="3"/>
      <c r="H366" s="3"/>
      <c r="I366" s="4"/>
      <c r="J366" s="4"/>
      <c r="K366" s="3"/>
      <c r="L366" s="3" t="s">
        <v>38</v>
      </c>
      <c r="M366" s="3">
        <v>20</v>
      </c>
      <c r="N366" s="3">
        <v>11</v>
      </c>
      <c r="O366" s="3">
        <v>11</v>
      </c>
      <c r="R366" s="3">
        <v>0</v>
      </c>
      <c r="S366" s="3"/>
      <c r="T366" s="3">
        <v>8.7100000000000007E-3</v>
      </c>
      <c r="U366" s="3">
        <v>2.5600000000000002E-3</v>
      </c>
      <c r="V366" s="3">
        <v>1.227E-2</v>
      </c>
      <c r="W366" s="3">
        <v>0</v>
      </c>
      <c r="X366" s="3"/>
      <c r="AB366" s="3" t="str">
        <f t="shared" si="3"/>
        <v>___</v>
      </c>
      <c r="AC366" s="3" t="str">
        <f t="shared" si="2"/>
        <v>____</v>
      </c>
    </row>
    <row r="367" spans="1:32" ht="12.5">
      <c r="B367" s="3"/>
      <c r="C367" s="3"/>
      <c r="D367" s="3"/>
      <c r="E367" s="3"/>
      <c r="G367" s="3"/>
      <c r="H367" s="3"/>
      <c r="I367" s="4"/>
      <c r="J367" s="4"/>
      <c r="K367" s="3"/>
      <c r="L367" s="3" t="s">
        <v>39</v>
      </c>
      <c r="M367" s="3">
        <v>52</v>
      </c>
      <c r="N367" s="3">
        <v>4</v>
      </c>
      <c r="O367" s="3">
        <v>8</v>
      </c>
      <c r="R367" s="3">
        <v>0</v>
      </c>
      <c r="S367" s="3"/>
      <c r="T367" s="3">
        <v>0</v>
      </c>
      <c r="U367" s="3">
        <v>2.5699999999999998E-3</v>
      </c>
      <c r="V367" s="3">
        <v>0</v>
      </c>
      <c r="W367" s="3">
        <v>0</v>
      </c>
      <c r="X367" s="3"/>
      <c r="AB367" s="3" t="str">
        <f t="shared" si="3"/>
        <v>___</v>
      </c>
      <c r="AC367" s="3" t="str">
        <f t="shared" si="2"/>
        <v>____</v>
      </c>
    </row>
    <row r="368" spans="1:32" ht="12.5">
      <c r="A368" s="12">
        <v>45489</v>
      </c>
      <c r="B368" s="3">
        <v>517</v>
      </c>
      <c r="C368" s="3">
        <v>46</v>
      </c>
      <c r="D368" s="3" t="s">
        <v>33</v>
      </c>
      <c r="E368" s="3"/>
      <c r="G368" s="3" t="s">
        <v>35</v>
      </c>
      <c r="H368" s="3">
        <v>3</v>
      </c>
      <c r="I368" s="4">
        <v>45508</v>
      </c>
      <c r="J368" s="4">
        <v>45478</v>
      </c>
      <c r="K368" s="3">
        <v>4</v>
      </c>
      <c r="L368" s="3" t="s">
        <v>36</v>
      </c>
      <c r="M368" s="3">
        <v>19</v>
      </c>
      <c r="N368" s="3">
        <v>8</v>
      </c>
      <c r="O368" s="3">
        <v>10</v>
      </c>
      <c r="R368" s="3">
        <v>0</v>
      </c>
      <c r="S368" s="3"/>
      <c r="T368" s="3">
        <v>1.908E-2</v>
      </c>
      <c r="U368" s="3">
        <v>2.0799999999999998E-3</v>
      </c>
      <c r="V368" s="3">
        <v>0</v>
      </c>
      <c r="W368" s="3">
        <v>0</v>
      </c>
      <c r="X368" s="3"/>
      <c r="AB368" s="3" t="str">
        <f t="shared" si="3"/>
        <v>517_46__vv</v>
      </c>
      <c r="AC368" s="3" t="str">
        <f t="shared" si="2"/>
        <v>517_46__vv_3</v>
      </c>
      <c r="AE368" s="3" t="s">
        <v>37</v>
      </c>
      <c r="AF368" s="3" t="s">
        <v>37</v>
      </c>
    </row>
    <row r="369" spans="1:32" ht="12.5">
      <c r="B369" s="3"/>
      <c r="C369" s="3"/>
      <c r="D369" s="3"/>
      <c r="E369" s="3"/>
      <c r="G369" s="3"/>
      <c r="H369" s="3"/>
      <c r="I369" s="4"/>
      <c r="J369" s="4"/>
      <c r="K369" s="3"/>
      <c r="L369" s="3" t="s">
        <v>38</v>
      </c>
      <c r="M369" s="3">
        <v>32</v>
      </c>
      <c r="N369" s="3">
        <v>5</v>
      </c>
      <c r="O369" s="3">
        <v>10</v>
      </c>
      <c r="R369" s="3">
        <v>0</v>
      </c>
      <c r="S369" s="3"/>
      <c r="T369" s="3">
        <v>3.2779999999999997E-2</v>
      </c>
      <c r="U369" s="3">
        <v>6.45E-3</v>
      </c>
      <c r="V369" s="3">
        <v>0</v>
      </c>
      <c r="W369" s="3">
        <v>0</v>
      </c>
      <c r="X369" s="3"/>
      <c r="AB369" s="3" t="str">
        <f t="shared" si="3"/>
        <v>___</v>
      </c>
      <c r="AC369" s="3" t="str">
        <f t="shared" si="2"/>
        <v>____</v>
      </c>
    </row>
    <row r="370" spans="1:32" ht="12.5">
      <c r="B370" s="3"/>
      <c r="C370" s="3"/>
      <c r="D370" s="3"/>
      <c r="E370" s="3"/>
      <c r="G370" s="3"/>
      <c r="H370" s="3"/>
      <c r="I370" s="4"/>
      <c r="J370" s="4"/>
      <c r="K370" s="3"/>
      <c r="L370" s="3" t="s">
        <v>39</v>
      </c>
      <c r="M370" s="3">
        <v>5</v>
      </c>
      <c r="N370" s="3">
        <v>0</v>
      </c>
      <c r="O370" s="3">
        <v>2</v>
      </c>
      <c r="R370" s="3">
        <v>0</v>
      </c>
      <c r="S370" s="3"/>
      <c r="T370" s="3">
        <v>0</v>
      </c>
      <c r="U370" s="3">
        <v>2.4099999999999998E-3</v>
      </c>
      <c r="V370" s="3">
        <v>0</v>
      </c>
      <c r="W370" s="3">
        <v>0</v>
      </c>
      <c r="X370" s="3"/>
      <c r="AB370" s="3" t="str">
        <f t="shared" si="3"/>
        <v>___</v>
      </c>
      <c r="AC370" s="3" t="str">
        <f t="shared" si="2"/>
        <v>____</v>
      </c>
    </row>
    <row r="371" spans="1:32" ht="12.5">
      <c r="A371" s="12">
        <v>45490</v>
      </c>
      <c r="B371" s="6">
        <v>1485</v>
      </c>
      <c r="C371" s="6">
        <v>55</v>
      </c>
      <c r="D371" s="3" t="s">
        <v>33</v>
      </c>
      <c r="E371" s="3"/>
      <c r="F371" s="3"/>
      <c r="G371" s="3" t="s">
        <v>40</v>
      </c>
      <c r="H371" s="3">
        <v>1</v>
      </c>
      <c r="I371" s="4">
        <v>45358</v>
      </c>
      <c r="J371" s="4">
        <v>45330</v>
      </c>
      <c r="K371" s="3">
        <v>4</v>
      </c>
      <c r="L371" s="3" t="s">
        <v>36</v>
      </c>
      <c r="M371" s="3">
        <v>16</v>
      </c>
      <c r="N371" s="3">
        <v>5</v>
      </c>
      <c r="O371" s="3">
        <v>5</v>
      </c>
      <c r="R371" s="3">
        <v>1</v>
      </c>
      <c r="S371" s="3"/>
      <c r="T371" s="3">
        <v>1.486E-2</v>
      </c>
      <c r="U371" s="3">
        <v>4.45E-3</v>
      </c>
      <c r="V371" s="3">
        <v>0</v>
      </c>
      <c r="W371" s="3">
        <v>7.7400000000000004E-3</v>
      </c>
      <c r="X371" s="3"/>
      <c r="AB371" s="3" t="str">
        <f t="shared" si="3"/>
        <v>1485_55__vm</v>
      </c>
      <c r="AC371" s="3" t="str">
        <f t="shared" si="2"/>
        <v>1485_55__vm_1</v>
      </c>
      <c r="AE371" s="3" t="s">
        <v>37</v>
      </c>
      <c r="AF371" s="3" t="s">
        <v>37</v>
      </c>
    </row>
    <row r="372" spans="1:32" ht="12.5">
      <c r="E372" s="3"/>
      <c r="F372" s="3"/>
      <c r="G372" s="3"/>
      <c r="L372" s="3" t="s">
        <v>38</v>
      </c>
      <c r="M372" s="3">
        <v>30</v>
      </c>
      <c r="N372" s="3">
        <v>0</v>
      </c>
      <c r="O372" s="3">
        <v>2</v>
      </c>
      <c r="P372" s="3">
        <v>3</v>
      </c>
      <c r="Q372" s="3">
        <v>3</v>
      </c>
      <c r="R372" s="3">
        <v>0</v>
      </c>
      <c r="S372" s="3"/>
      <c r="T372" s="3">
        <v>0</v>
      </c>
      <c r="U372" s="3">
        <v>1.737E-2</v>
      </c>
      <c r="V372" s="3">
        <v>3.594E-2</v>
      </c>
      <c r="W372" s="3">
        <v>0</v>
      </c>
      <c r="X372" s="3"/>
      <c r="AB372" s="3" t="str">
        <f t="shared" si="3"/>
        <v>___</v>
      </c>
      <c r="AC372" s="3" t="str">
        <f t="shared" si="2"/>
        <v>____</v>
      </c>
    </row>
    <row r="373" spans="1:32" ht="12.5">
      <c r="E373" s="3"/>
      <c r="F373" s="3"/>
      <c r="G373" s="3"/>
      <c r="L373" s="3" t="s">
        <v>39</v>
      </c>
      <c r="M373" s="3">
        <v>33</v>
      </c>
      <c r="N373" s="3">
        <v>0</v>
      </c>
      <c r="O373" s="3">
        <v>5</v>
      </c>
      <c r="P373" s="3">
        <v>2</v>
      </c>
      <c r="Q373" s="3">
        <v>1</v>
      </c>
      <c r="R373" s="3">
        <v>0</v>
      </c>
      <c r="S373" s="3"/>
      <c r="T373" s="3">
        <v>0</v>
      </c>
      <c r="U373" s="3">
        <v>2.3619999999999999E-2</v>
      </c>
      <c r="V373" s="3">
        <v>0</v>
      </c>
      <c r="W373" s="3">
        <v>0</v>
      </c>
      <c r="X373" s="3"/>
      <c r="Y373" s="3"/>
      <c r="Z373" s="3" t="s">
        <v>60</v>
      </c>
      <c r="AB373" s="3" t="str">
        <f t="shared" si="3"/>
        <v>___</v>
      </c>
      <c r="AC373" s="3" t="str">
        <f t="shared" si="2"/>
        <v>____</v>
      </c>
    </row>
    <row r="374" spans="1:32" ht="12.5">
      <c r="A374" s="12">
        <v>45490</v>
      </c>
      <c r="B374" s="3">
        <v>1485</v>
      </c>
      <c r="C374" s="3">
        <v>55</v>
      </c>
      <c r="D374" s="3" t="s">
        <v>33</v>
      </c>
      <c r="E374" s="3"/>
      <c r="F374" s="3"/>
      <c r="G374" s="3" t="s">
        <v>40</v>
      </c>
      <c r="H374" s="3">
        <v>2</v>
      </c>
      <c r="I374" s="4">
        <v>45478</v>
      </c>
      <c r="J374" s="4">
        <v>45481</v>
      </c>
      <c r="K374" s="3">
        <v>4</v>
      </c>
      <c r="L374" s="3" t="s">
        <v>36</v>
      </c>
      <c r="M374" s="3">
        <v>25</v>
      </c>
      <c r="N374" s="3">
        <v>7</v>
      </c>
      <c r="O374" s="3">
        <v>7</v>
      </c>
      <c r="R374" s="3">
        <v>0</v>
      </c>
      <c r="S374" s="3"/>
      <c r="T374" s="3">
        <v>2.3179999999999999E-2</v>
      </c>
      <c r="U374" s="3">
        <v>7.6E-3</v>
      </c>
      <c r="V374" s="3">
        <v>0</v>
      </c>
      <c r="W374" s="3">
        <v>0</v>
      </c>
      <c r="X374" s="3"/>
      <c r="AB374" s="3" t="str">
        <f t="shared" si="3"/>
        <v>1485_55__vm</v>
      </c>
      <c r="AC374" s="3" t="str">
        <f t="shared" si="2"/>
        <v>1485_55__vm_2</v>
      </c>
      <c r="AE374" s="3" t="s">
        <v>37</v>
      </c>
      <c r="AF374" s="3" t="s">
        <v>37</v>
      </c>
    </row>
    <row r="375" spans="1:32" ht="12.5">
      <c r="E375" s="3"/>
      <c r="F375" s="3"/>
      <c r="G375" s="3"/>
      <c r="L375" s="3" t="s">
        <v>38</v>
      </c>
      <c r="M375" s="3">
        <v>27</v>
      </c>
      <c r="N375" s="3">
        <v>0</v>
      </c>
      <c r="O375" s="3">
        <v>2</v>
      </c>
      <c r="P375" s="3">
        <v>2</v>
      </c>
      <c r="Q375" s="3">
        <v>2</v>
      </c>
      <c r="R375" s="3">
        <v>0</v>
      </c>
      <c r="S375" s="3"/>
      <c r="T375" s="3">
        <v>0</v>
      </c>
      <c r="U375" s="3">
        <v>7.7600000000000004E-3</v>
      </c>
      <c r="V375" s="3">
        <v>1.7819999999999999E-2</v>
      </c>
      <c r="W375" s="3">
        <v>0</v>
      </c>
      <c r="X375" s="3"/>
      <c r="AB375" s="3" t="str">
        <f t="shared" si="3"/>
        <v>___</v>
      </c>
      <c r="AC375" s="3" t="str">
        <f t="shared" si="2"/>
        <v>____</v>
      </c>
    </row>
    <row r="376" spans="1:32" ht="12.5">
      <c r="E376" s="3"/>
      <c r="F376" s="3"/>
      <c r="G376" s="3"/>
      <c r="L376" s="3" t="s">
        <v>39</v>
      </c>
      <c r="M376" s="3">
        <v>14</v>
      </c>
      <c r="N376" s="3">
        <v>0</v>
      </c>
      <c r="O376" s="3">
        <v>2</v>
      </c>
      <c r="P376" s="3">
        <v>1</v>
      </c>
      <c r="Q376" s="3">
        <v>1</v>
      </c>
      <c r="R376" s="3">
        <v>0</v>
      </c>
      <c r="S376" s="3"/>
      <c r="T376" s="3">
        <v>0</v>
      </c>
      <c r="U376" s="3">
        <v>8.4399999999999996E-3</v>
      </c>
      <c r="V376" s="3">
        <v>4.7649999999999998E-2</v>
      </c>
      <c r="W376" s="3">
        <v>0</v>
      </c>
      <c r="X376" s="3"/>
      <c r="AB376" s="3" t="str">
        <f t="shared" si="3"/>
        <v>___</v>
      </c>
      <c r="AC376" s="3" t="str">
        <f t="shared" si="2"/>
        <v>____</v>
      </c>
    </row>
    <row r="377" spans="1:32" ht="12.5">
      <c r="A377" s="12">
        <v>45490</v>
      </c>
      <c r="B377" s="3">
        <v>1485</v>
      </c>
      <c r="C377" s="3">
        <v>55</v>
      </c>
      <c r="D377" s="3" t="s">
        <v>33</v>
      </c>
      <c r="E377" s="3"/>
      <c r="F377" s="3"/>
      <c r="G377" s="3" t="s">
        <v>40</v>
      </c>
      <c r="H377" s="3">
        <v>3</v>
      </c>
      <c r="I377" s="3">
        <v>8</v>
      </c>
      <c r="J377" s="4">
        <v>45543</v>
      </c>
      <c r="K377" s="3">
        <v>4</v>
      </c>
      <c r="L377" s="3" t="s">
        <v>36</v>
      </c>
      <c r="M377" s="3">
        <v>31</v>
      </c>
      <c r="N377" s="3">
        <v>6</v>
      </c>
      <c r="O377" s="3">
        <v>6</v>
      </c>
      <c r="R377" s="3">
        <v>0</v>
      </c>
      <c r="S377" s="3"/>
      <c r="T377" s="3">
        <v>2.2839999999999999E-2</v>
      </c>
      <c r="U377" s="3">
        <v>1.077E-2</v>
      </c>
      <c r="V377" s="3">
        <v>0</v>
      </c>
      <c r="W377" s="3">
        <v>0</v>
      </c>
      <c r="X377" s="3"/>
      <c r="AB377" s="3" t="str">
        <f t="shared" si="3"/>
        <v>1485_55__vm</v>
      </c>
      <c r="AC377" s="3" t="str">
        <f t="shared" si="2"/>
        <v>1485_55__vm_3</v>
      </c>
      <c r="AE377" s="3" t="s">
        <v>37</v>
      </c>
      <c r="AF377" s="3" t="s">
        <v>37</v>
      </c>
    </row>
    <row r="378" spans="1:32" ht="12.5">
      <c r="E378" s="3"/>
      <c r="F378" s="3"/>
      <c r="G378" s="3"/>
      <c r="L378" s="3" t="s">
        <v>38</v>
      </c>
      <c r="M378" s="3">
        <v>32</v>
      </c>
      <c r="N378" s="3">
        <v>0</v>
      </c>
      <c r="O378" s="3">
        <v>5</v>
      </c>
      <c r="P378" s="3">
        <v>2</v>
      </c>
      <c r="Q378" s="3">
        <v>2</v>
      </c>
      <c r="R378" s="3">
        <v>0</v>
      </c>
      <c r="S378" s="3"/>
      <c r="T378" s="3">
        <v>0</v>
      </c>
      <c r="U378" s="3">
        <v>2.0330000000000001E-2</v>
      </c>
      <c r="V378" s="3">
        <v>2.8170000000000001E-2</v>
      </c>
      <c r="W378" s="3">
        <v>0</v>
      </c>
      <c r="X378" s="3"/>
      <c r="AB378" s="3" t="str">
        <f t="shared" si="3"/>
        <v>___</v>
      </c>
      <c r="AC378" s="3" t="str">
        <f t="shared" si="2"/>
        <v>____</v>
      </c>
    </row>
    <row r="379" spans="1:32" ht="12.5">
      <c r="E379" s="3"/>
      <c r="F379" s="3"/>
      <c r="G379" s="3"/>
      <c r="L379" s="3" t="s">
        <v>39</v>
      </c>
      <c r="M379" s="3">
        <v>17</v>
      </c>
      <c r="N379" s="3">
        <v>0</v>
      </c>
      <c r="O379" s="3">
        <v>4</v>
      </c>
      <c r="P379" s="3">
        <v>1</v>
      </c>
      <c r="Q379" s="3">
        <v>1</v>
      </c>
      <c r="R379" s="3">
        <v>0</v>
      </c>
      <c r="S379" s="3"/>
      <c r="T379" s="3">
        <v>0</v>
      </c>
      <c r="U379" s="3">
        <v>1.205E-2</v>
      </c>
      <c r="V379" s="3">
        <v>2.1700000000000001E-3</v>
      </c>
      <c r="W379" s="3">
        <v>0</v>
      </c>
      <c r="X379" s="3"/>
      <c r="AB379" s="3" t="str">
        <f t="shared" si="3"/>
        <v>___</v>
      </c>
      <c r="AC379" s="3" t="str">
        <f t="shared" si="2"/>
        <v>____</v>
      </c>
    </row>
    <row r="380" spans="1:32" ht="12.5">
      <c r="A380" s="12">
        <v>45490</v>
      </c>
      <c r="B380" s="3">
        <v>1485</v>
      </c>
      <c r="C380" s="3">
        <v>55</v>
      </c>
      <c r="D380" s="3" t="s">
        <v>33</v>
      </c>
      <c r="E380" s="3"/>
      <c r="F380" s="3"/>
      <c r="G380" s="3" t="s">
        <v>35</v>
      </c>
      <c r="H380" s="3">
        <v>1</v>
      </c>
      <c r="I380" s="4">
        <v>45477</v>
      </c>
      <c r="J380" s="4">
        <v>45326</v>
      </c>
      <c r="K380" s="3">
        <v>3</v>
      </c>
      <c r="L380" s="3" t="s">
        <v>36</v>
      </c>
      <c r="M380" s="3">
        <v>12</v>
      </c>
      <c r="N380" s="3">
        <v>9</v>
      </c>
      <c r="O380" s="3">
        <v>9</v>
      </c>
      <c r="R380" s="3">
        <v>0</v>
      </c>
      <c r="S380" s="3"/>
      <c r="T380" s="3">
        <v>4.3159999999999997E-2</v>
      </c>
      <c r="U380" s="3">
        <v>3.0400000000000002E-3</v>
      </c>
      <c r="V380" s="3">
        <v>0</v>
      </c>
      <c r="W380" s="3">
        <v>0</v>
      </c>
      <c r="X380" s="3"/>
      <c r="AB380" s="3" t="str">
        <f t="shared" si="3"/>
        <v>1485_55__vv</v>
      </c>
      <c r="AC380" s="3" t="str">
        <f t="shared" si="2"/>
        <v>1485_55__vv_1</v>
      </c>
      <c r="AE380" s="3" t="s">
        <v>37</v>
      </c>
      <c r="AF380" s="3" t="s">
        <v>37</v>
      </c>
    </row>
    <row r="381" spans="1:32" ht="12.5">
      <c r="E381" s="3"/>
      <c r="F381" s="3"/>
      <c r="G381" s="3"/>
      <c r="L381" s="3" t="s">
        <v>38</v>
      </c>
      <c r="M381" s="3">
        <v>15</v>
      </c>
      <c r="N381" s="3">
        <v>5</v>
      </c>
      <c r="O381" s="3">
        <v>7</v>
      </c>
      <c r="R381" s="3">
        <v>0</v>
      </c>
      <c r="S381" s="3"/>
      <c r="T381" s="3">
        <v>3.653E-2</v>
      </c>
      <c r="U381" s="3">
        <v>5.1799999999999997E-3</v>
      </c>
      <c r="V381" s="3">
        <v>0</v>
      </c>
      <c r="W381" s="3">
        <v>0</v>
      </c>
      <c r="X381" s="3"/>
      <c r="AB381" s="3" t="str">
        <f t="shared" si="3"/>
        <v>___</v>
      </c>
      <c r="AC381" s="3" t="str">
        <f t="shared" si="2"/>
        <v>____</v>
      </c>
    </row>
    <row r="382" spans="1:32" ht="12.5">
      <c r="E382" s="3"/>
      <c r="F382" s="3"/>
      <c r="G382" s="3"/>
      <c r="L382" s="3" t="s">
        <v>39</v>
      </c>
      <c r="M382" s="3">
        <v>12</v>
      </c>
      <c r="N382" s="3">
        <v>2</v>
      </c>
      <c r="O382" s="3">
        <v>7</v>
      </c>
      <c r="R382" s="3">
        <v>0</v>
      </c>
      <c r="S382" s="3"/>
      <c r="T382" s="3">
        <v>1.3089999999999999E-2</v>
      </c>
      <c r="U382" s="3">
        <v>6.4400000000000004E-3</v>
      </c>
      <c r="V382" s="3">
        <v>0</v>
      </c>
      <c r="W382" s="3">
        <v>0</v>
      </c>
      <c r="X382" s="3"/>
      <c r="AB382" s="3" t="str">
        <f t="shared" si="3"/>
        <v>___</v>
      </c>
      <c r="AC382" s="3" t="str">
        <f t="shared" si="2"/>
        <v>____</v>
      </c>
    </row>
    <row r="383" spans="1:32" ht="12.5">
      <c r="A383" s="12">
        <v>45490</v>
      </c>
      <c r="B383" s="3">
        <v>1485</v>
      </c>
      <c r="C383" s="3">
        <v>55</v>
      </c>
      <c r="D383" s="3" t="s">
        <v>33</v>
      </c>
      <c r="E383" s="3"/>
      <c r="F383" s="3"/>
      <c r="G383" s="3" t="s">
        <v>35</v>
      </c>
      <c r="H383" s="3">
        <v>2</v>
      </c>
      <c r="I383" s="4">
        <v>45446</v>
      </c>
      <c r="J383" s="4">
        <v>45448</v>
      </c>
      <c r="K383" s="3">
        <v>4</v>
      </c>
      <c r="L383" s="3" t="s">
        <v>36</v>
      </c>
      <c r="M383" s="3">
        <v>13</v>
      </c>
      <c r="N383" s="3">
        <v>9</v>
      </c>
      <c r="O383" s="3">
        <v>9</v>
      </c>
      <c r="R383" s="3">
        <v>0</v>
      </c>
      <c r="S383" s="3"/>
      <c r="T383" s="3">
        <v>4.2639999999999997E-2</v>
      </c>
      <c r="U383" s="3">
        <v>2.8999999999999998E-3</v>
      </c>
      <c r="V383" s="3">
        <v>0</v>
      </c>
      <c r="W383" s="3">
        <v>0</v>
      </c>
      <c r="X383" s="3"/>
      <c r="AB383" s="3" t="str">
        <f t="shared" si="3"/>
        <v>1485_55__vv</v>
      </c>
      <c r="AC383" s="3" t="str">
        <f t="shared" si="2"/>
        <v>1485_55__vv_2</v>
      </c>
      <c r="AE383" s="3" t="s">
        <v>37</v>
      </c>
      <c r="AF383" s="3" t="s">
        <v>37</v>
      </c>
    </row>
    <row r="384" spans="1:32" ht="12.5">
      <c r="E384" s="3"/>
      <c r="F384" s="3"/>
      <c r="G384" s="3"/>
      <c r="L384" s="3" t="s">
        <v>38</v>
      </c>
      <c r="M384" s="3">
        <v>18</v>
      </c>
      <c r="N384" s="3">
        <v>7</v>
      </c>
      <c r="O384" s="3">
        <v>8</v>
      </c>
      <c r="R384" s="3">
        <v>0</v>
      </c>
      <c r="S384" s="3"/>
      <c r="T384" s="3">
        <v>4.7120000000000002E-2</v>
      </c>
      <c r="U384" s="3">
        <v>5.9800000000000001E-3</v>
      </c>
      <c r="V384" s="3">
        <v>0</v>
      </c>
      <c r="W384" s="3">
        <v>0</v>
      </c>
      <c r="X384" s="3"/>
      <c r="AB384" s="3" t="str">
        <f t="shared" si="3"/>
        <v>___</v>
      </c>
      <c r="AC384" s="3" t="str">
        <f t="shared" si="2"/>
        <v>____</v>
      </c>
    </row>
    <row r="385" spans="1:32" ht="12.5">
      <c r="E385" s="3"/>
      <c r="F385" s="3"/>
      <c r="G385" s="3"/>
      <c r="L385" s="3" t="s">
        <v>39</v>
      </c>
      <c r="M385" s="3">
        <v>10</v>
      </c>
      <c r="N385" s="3">
        <v>3</v>
      </c>
      <c r="O385" s="3">
        <v>5</v>
      </c>
      <c r="R385" s="3">
        <v>0</v>
      </c>
      <c r="S385" s="3"/>
      <c r="T385" s="3">
        <v>1.315E-2</v>
      </c>
      <c r="U385" s="3">
        <v>3.9399999999999999E-3</v>
      </c>
      <c r="V385" s="3">
        <v>0</v>
      </c>
      <c r="W385" s="3">
        <v>0</v>
      </c>
      <c r="X385" s="3"/>
      <c r="AB385" s="3" t="str">
        <f t="shared" si="3"/>
        <v>___</v>
      </c>
      <c r="AC385" s="3" t="str">
        <f t="shared" si="2"/>
        <v>____</v>
      </c>
    </row>
    <row r="386" spans="1:32" ht="12.5">
      <c r="A386" s="12">
        <v>45490</v>
      </c>
      <c r="B386" s="3">
        <v>1485</v>
      </c>
      <c r="C386" s="3">
        <v>55</v>
      </c>
      <c r="D386" s="3" t="s">
        <v>33</v>
      </c>
      <c r="E386" s="3"/>
      <c r="F386" s="3"/>
      <c r="G386" s="3" t="s">
        <v>35</v>
      </c>
      <c r="H386" s="3">
        <v>3</v>
      </c>
      <c r="I386" s="4">
        <v>45475</v>
      </c>
      <c r="J386" s="4">
        <v>45476</v>
      </c>
      <c r="K386" s="3">
        <v>4</v>
      </c>
      <c r="L386" s="3" t="s">
        <v>36</v>
      </c>
      <c r="M386" s="3">
        <v>7</v>
      </c>
      <c r="N386" s="3">
        <v>7</v>
      </c>
      <c r="O386" s="3">
        <v>7</v>
      </c>
      <c r="R386" s="3">
        <v>0</v>
      </c>
      <c r="S386" s="3"/>
      <c r="T386" s="3">
        <v>1.2789999999999999E-2</v>
      </c>
      <c r="U386" s="3">
        <v>8.8000000000000003E-4</v>
      </c>
      <c r="V386" s="3">
        <v>0</v>
      </c>
      <c r="W386" s="3">
        <v>0</v>
      </c>
      <c r="X386" s="3"/>
      <c r="AB386" s="3" t="str">
        <f t="shared" si="3"/>
        <v>1485_55__vv</v>
      </c>
      <c r="AC386" s="3" t="str">
        <f t="shared" si="2"/>
        <v>1485_55__vv_3</v>
      </c>
      <c r="AE386" s="3" t="s">
        <v>37</v>
      </c>
      <c r="AF386" s="3" t="s">
        <v>37</v>
      </c>
    </row>
    <row r="387" spans="1:32" ht="12.5">
      <c r="E387" s="3"/>
      <c r="F387" s="3"/>
      <c r="G387" s="3"/>
      <c r="L387" s="3" t="s">
        <v>38</v>
      </c>
      <c r="M387" s="3">
        <v>6</v>
      </c>
      <c r="N387" s="3">
        <v>8</v>
      </c>
      <c r="O387" s="3">
        <v>8</v>
      </c>
      <c r="R387" s="3">
        <v>0</v>
      </c>
      <c r="S387" s="3"/>
      <c r="T387" s="3">
        <v>2.4740000000000002E-2</v>
      </c>
      <c r="U387" s="3">
        <v>1.4499999999999999E-3</v>
      </c>
      <c r="V387" s="3">
        <v>0</v>
      </c>
      <c r="W387" s="3">
        <v>0</v>
      </c>
      <c r="X387" s="3"/>
      <c r="AB387" s="3" t="str">
        <f t="shared" si="3"/>
        <v>___</v>
      </c>
      <c r="AC387" s="3" t="str">
        <f t="shared" si="2"/>
        <v>____</v>
      </c>
    </row>
    <row r="388" spans="1:32" ht="12.5">
      <c r="E388" s="3"/>
      <c r="F388" s="3"/>
      <c r="G388" s="3"/>
      <c r="L388" s="3" t="s">
        <v>39</v>
      </c>
      <c r="M388" s="3">
        <v>11</v>
      </c>
      <c r="N388" s="3">
        <v>8</v>
      </c>
      <c r="O388" s="3">
        <v>10</v>
      </c>
      <c r="R388" s="3">
        <v>0</v>
      </c>
      <c r="S388" s="3"/>
      <c r="T388" s="3">
        <v>2.8289999999999999E-2</v>
      </c>
      <c r="U388" s="3">
        <v>2.1299999999999999E-3</v>
      </c>
      <c r="V388" s="3">
        <v>0</v>
      </c>
      <c r="W388" s="3">
        <v>0</v>
      </c>
      <c r="X388" s="3"/>
      <c r="AB388" s="3" t="str">
        <f t="shared" si="3"/>
        <v>___</v>
      </c>
      <c r="AC388" s="3" t="str">
        <f t="shared" si="2"/>
        <v>____</v>
      </c>
    </row>
    <row r="389" spans="1:32" ht="12.5">
      <c r="A389" s="12">
        <v>45490</v>
      </c>
      <c r="B389" s="6">
        <v>1485</v>
      </c>
      <c r="C389" s="6">
        <v>62</v>
      </c>
      <c r="D389" s="3" t="s">
        <v>33</v>
      </c>
      <c r="E389" s="3"/>
      <c r="F389" s="3"/>
      <c r="G389" s="3" t="s">
        <v>40</v>
      </c>
      <c r="H389" s="3">
        <v>1</v>
      </c>
      <c r="I389" s="3">
        <v>8</v>
      </c>
      <c r="J389" s="4">
        <v>45453</v>
      </c>
      <c r="K389" s="3">
        <v>6</v>
      </c>
      <c r="L389" s="3" t="s">
        <v>36</v>
      </c>
      <c r="M389" s="3">
        <v>24</v>
      </c>
      <c r="N389" s="3">
        <v>6</v>
      </c>
      <c r="O389" s="3">
        <v>7</v>
      </c>
      <c r="R389" s="3">
        <v>0</v>
      </c>
      <c r="S389" s="3"/>
      <c r="T389" s="3">
        <v>2.1649999999999999E-2</v>
      </c>
      <c r="U389" s="3">
        <v>8.9899999999999997E-3</v>
      </c>
      <c r="V389" s="3">
        <v>0</v>
      </c>
      <c r="W389" s="3">
        <v>0</v>
      </c>
      <c r="X389" s="3"/>
      <c r="AB389" s="3" t="str">
        <f t="shared" si="3"/>
        <v>1485_62__vm</v>
      </c>
      <c r="AC389" s="3" t="str">
        <f t="shared" si="2"/>
        <v>1485_62__vm_1</v>
      </c>
      <c r="AE389" s="3" t="s">
        <v>37</v>
      </c>
      <c r="AF389" s="3" t="s">
        <v>37</v>
      </c>
    </row>
    <row r="390" spans="1:32" ht="12.5">
      <c r="E390" s="3"/>
      <c r="F390" s="3"/>
      <c r="G390" s="3"/>
      <c r="L390" s="3" t="s">
        <v>38</v>
      </c>
      <c r="M390" s="3">
        <v>37</v>
      </c>
      <c r="N390" s="3">
        <v>0</v>
      </c>
      <c r="O390" s="3">
        <v>7</v>
      </c>
      <c r="P390" s="3">
        <v>2</v>
      </c>
      <c r="Q390" s="3">
        <v>2</v>
      </c>
      <c r="R390" s="3">
        <v>0</v>
      </c>
      <c r="S390" s="3"/>
      <c r="T390" s="3">
        <v>0</v>
      </c>
      <c r="U390" s="3">
        <v>2.4279999999999999E-2</v>
      </c>
      <c r="V390" s="3">
        <v>3.7749999999999999E-2</v>
      </c>
      <c r="W390" s="3">
        <v>0</v>
      </c>
      <c r="X390" s="3"/>
      <c r="AB390" s="3" t="str">
        <f t="shared" si="3"/>
        <v>___</v>
      </c>
      <c r="AC390" s="3" t="str">
        <f t="shared" si="2"/>
        <v>____</v>
      </c>
    </row>
    <row r="391" spans="1:32" ht="12.5">
      <c r="E391" s="3"/>
      <c r="F391" s="3"/>
      <c r="G391" s="3"/>
      <c r="L391" s="3" t="s">
        <v>39</v>
      </c>
      <c r="M391" s="3">
        <v>7</v>
      </c>
      <c r="N391" s="3">
        <v>0</v>
      </c>
      <c r="O391" s="3">
        <v>4</v>
      </c>
      <c r="R391" s="3">
        <v>0</v>
      </c>
      <c r="S391" s="3"/>
      <c r="T391" s="3">
        <v>0</v>
      </c>
      <c r="U391" s="3">
        <v>6.9199999999999999E-3</v>
      </c>
      <c r="V391" s="3">
        <v>0</v>
      </c>
      <c r="W391" s="3">
        <v>0</v>
      </c>
      <c r="X391" s="3"/>
      <c r="AB391" s="3" t="str">
        <f t="shared" si="3"/>
        <v>___</v>
      </c>
      <c r="AC391" s="3" t="str">
        <f t="shared" si="2"/>
        <v>____</v>
      </c>
    </row>
    <row r="392" spans="1:32" ht="12.5">
      <c r="A392" s="12">
        <v>45490</v>
      </c>
      <c r="B392" s="3">
        <v>1485</v>
      </c>
      <c r="C392" s="3">
        <v>62</v>
      </c>
      <c r="D392" s="3" t="s">
        <v>33</v>
      </c>
      <c r="E392" s="3"/>
      <c r="F392" s="3"/>
      <c r="G392" s="3" t="s">
        <v>40</v>
      </c>
      <c r="H392" s="3">
        <v>2</v>
      </c>
      <c r="I392" s="3">
        <v>8</v>
      </c>
      <c r="J392" s="4">
        <v>45543</v>
      </c>
      <c r="K392" s="3">
        <v>5</v>
      </c>
      <c r="L392" s="3" t="s">
        <v>36</v>
      </c>
      <c r="M392" s="3">
        <v>17</v>
      </c>
      <c r="N392" s="3">
        <v>5</v>
      </c>
      <c r="O392" s="3">
        <v>5</v>
      </c>
      <c r="R392" s="3">
        <v>0</v>
      </c>
      <c r="S392" s="3"/>
      <c r="T392" s="3">
        <v>1.754E-2</v>
      </c>
      <c r="U392" s="3">
        <v>4.7699999999999999E-3</v>
      </c>
      <c r="V392" s="3">
        <v>0</v>
      </c>
      <c r="W392" s="3">
        <v>0</v>
      </c>
      <c r="X392" s="3"/>
      <c r="AB392" s="3" t="str">
        <f t="shared" si="3"/>
        <v>1485_62__vm</v>
      </c>
      <c r="AC392" s="3" t="str">
        <f t="shared" si="2"/>
        <v>1485_62__vm_2</v>
      </c>
      <c r="AE392" s="3" t="s">
        <v>37</v>
      </c>
      <c r="AF392" s="3" t="s">
        <v>37</v>
      </c>
    </row>
    <row r="393" spans="1:32" ht="12.5">
      <c r="E393" s="3"/>
      <c r="F393" s="3"/>
      <c r="G393" s="3"/>
      <c r="L393" s="3" t="s">
        <v>38</v>
      </c>
      <c r="M393" s="3">
        <v>14</v>
      </c>
      <c r="N393" s="3">
        <v>0</v>
      </c>
      <c r="O393" s="3">
        <v>4</v>
      </c>
      <c r="P393" s="3">
        <v>1</v>
      </c>
      <c r="Q393" s="3">
        <v>1</v>
      </c>
      <c r="R393" s="3">
        <v>0</v>
      </c>
      <c r="S393" s="3"/>
      <c r="T393" s="3">
        <v>0</v>
      </c>
      <c r="U393" s="3">
        <v>5.0400000000000002E-3</v>
      </c>
      <c r="V393" s="3">
        <v>8.5100000000000002E-3</v>
      </c>
      <c r="W393" s="3">
        <v>0</v>
      </c>
      <c r="X393" s="3"/>
      <c r="AB393" s="3" t="str">
        <f t="shared" si="3"/>
        <v>___</v>
      </c>
      <c r="AC393" s="3" t="str">
        <f t="shared" si="2"/>
        <v>____</v>
      </c>
    </row>
    <row r="394" spans="1:32" ht="12.5">
      <c r="E394" s="3"/>
      <c r="F394" s="3"/>
      <c r="G394" s="3"/>
      <c r="L394" s="3" t="s">
        <v>39</v>
      </c>
      <c r="M394" s="3">
        <v>14</v>
      </c>
      <c r="N394" s="3">
        <v>0</v>
      </c>
      <c r="O394" s="3">
        <v>5</v>
      </c>
      <c r="P394" s="3">
        <v>1</v>
      </c>
      <c r="Q394" s="3">
        <v>1</v>
      </c>
      <c r="R394" s="3">
        <v>0</v>
      </c>
      <c r="S394" s="3"/>
      <c r="T394" s="3">
        <v>0</v>
      </c>
      <c r="U394" s="3">
        <v>6.2199999999999998E-3</v>
      </c>
      <c r="V394" s="3">
        <v>1.01E-2</v>
      </c>
      <c r="W394" s="3">
        <v>0</v>
      </c>
      <c r="X394" s="3"/>
      <c r="AB394" s="3" t="str">
        <f t="shared" si="3"/>
        <v>___</v>
      </c>
      <c r="AC394" s="3" t="str">
        <f t="shared" si="2"/>
        <v>____</v>
      </c>
    </row>
    <row r="395" spans="1:32" ht="12.5">
      <c r="A395" s="12">
        <v>45490</v>
      </c>
      <c r="B395" s="3">
        <v>1485</v>
      </c>
      <c r="C395" s="3">
        <v>62</v>
      </c>
      <c r="D395" s="3" t="s">
        <v>33</v>
      </c>
      <c r="E395" s="3"/>
      <c r="F395" s="3"/>
      <c r="G395" s="3" t="s">
        <v>40</v>
      </c>
      <c r="H395" s="3">
        <v>3</v>
      </c>
      <c r="I395" s="4">
        <v>45301</v>
      </c>
      <c r="J395" s="4">
        <v>45485</v>
      </c>
      <c r="K395" s="3">
        <v>5</v>
      </c>
      <c r="L395" s="3" t="s">
        <v>36</v>
      </c>
      <c r="M395" s="3">
        <v>46</v>
      </c>
      <c r="N395" s="3">
        <v>7</v>
      </c>
      <c r="O395" s="3">
        <v>8</v>
      </c>
      <c r="R395" s="3">
        <v>0</v>
      </c>
      <c r="S395" s="3"/>
      <c r="T395" s="3">
        <v>4.3639999999999998E-2</v>
      </c>
      <c r="U395" s="3">
        <v>3.074E-2</v>
      </c>
      <c r="V395" s="3">
        <v>0</v>
      </c>
      <c r="W395" s="3">
        <v>0</v>
      </c>
      <c r="X395" s="3"/>
      <c r="AB395" s="3" t="str">
        <f t="shared" si="3"/>
        <v>1485_62__vm</v>
      </c>
      <c r="AC395" s="3" t="str">
        <f t="shared" si="2"/>
        <v>1485_62__vm_3</v>
      </c>
      <c r="AE395" s="3" t="s">
        <v>37</v>
      </c>
      <c r="AF395" s="3" t="s">
        <v>37</v>
      </c>
    </row>
    <row r="396" spans="1:32" ht="12.5">
      <c r="E396" s="3"/>
      <c r="F396" s="3"/>
      <c r="G396" s="3"/>
      <c r="L396" s="3" t="s">
        <v>38</v>
      </c>
      <c r="M396" s="3">
        <v>41</v>
      </c>
      <c r="N396" s="3">
        <v>0</v>
      </c>
      <c r="O396" s="3">
        <v>5</v>
      </c>
      <c r="P396" s="3">
        <v>2</v>
      </c>
      <c r="Q396" s="3">
        <v>2</v>
      </c>
      <c r="R396" s="3">
        <v>0</v>
      </c>
      <c r="S396" s="3"/>
      <c r="T396" s="3">
        <v>0</v>
      </c>
      <c r="U396" s="3">
        <v>3.4759999999999999E-2</v>
      </c>
      <c r="V396" s="3">
        <v>5.6219999999999999E-2</v>
      </c>
      <c r="W396" s="3">
        <v>0</v>
      </c>
      <c r="X396" s="3"/>
      <c r="AB396" s="3" t="str">
        <f t="shared" si="3"/>
        <v>___</v>
      </c>
      <c r="AC396" s="3" t="str">
        <f t="shared" si="2"/>
        <v>____</v>
      </c>
    </row>
    <row r="397" spans="1:32" ht="12.5">
      <c r="E397" s="3"/>
      <c r="F397" s="3"/>
      <c r="G397" s="3"/>
      <c r="L397" s="3" t="s">
        <v>39</v>
      </c>
      <c r="M397" s="3">
        <v>37</v>
      </c>
      <c r="N397" s="3">
        <v>0</v>
      </c>
      <c r="O397" s="3">
        <v>8</v>
      </c>
      <c r="P397" s="3">
        <v>3</v>
      </c>
      <c r="Q397" s="3">
        <v>3</v>
      </c>
      <c r="R397" s="3">
        <v>0</v>
      </c>
      <c r="S397" s="3"/>
      <c r="T397" s="3">
        <v>0</v>
      </c>
      <c r="U397" s="3">
        <v>4.512E-2</v>
      </c>
      <c r="V397" s="3">
        <v>0.13309000000000001</v>
      </c>
      <c r="W397" s="3">
        <v>0</v>
      </c>
      <c r="X397" s="3"/>
      <c r="AB397" s="3" t="str">
        <f t="shared" si="3"/>
        <v>___</v>
      </c>
      <c r="AC397" s="3" t="str">
        <f t="shared" si="2"/>
        <v>____</v>
      </c>
    </row>
    <row r="398" spans="1:32" ht="12.5">
      <c r="A398" s="12">
        <v>45490</v>
      </c>
      <c r="B398" s="3">
        <v>1485</v>
      </c>
      <c r="C398" s="3">
        <v>62</v>
      </c>
      <c r="D398" s="3" t="s">
        <v>33</v>
      </c>
      <c r="E398" s="3"/>
      <c r="F398" s="3"/>
      <c r="G398" s="3" t="s">
        <v>35</v>
      </c>
      <c r="H398" s="3">
        <v>1</v>
      </c>
      <c r="I398" s="4">
        <v>45296</v>
      </c>
      <c r="J398" s="4">
        <v>45511</v>
      </c>
      <c r="K398" s="3">
        <v>4</v>
      </c>
      <c r="L398" s="3" t="s">
        <v>36</v>
      </c>
      <c r="M398" s="3">
        <v>15</v>
      </c>
      <c r="N398" s="3">
        <v>10</v>
      </c>
      <c r="O398" s="3">
        <v>12</v>
      </c>
      <c r="R398" s="3">
        <v>0</v>
      </c>
      <c r="S398" s="3"/>
      <c r="T398" s="3">
        <v>6.7949999999999997E-2</v>
      </c>
      <c r="U398" s="3">
        <v>3.6700000000000001E-3</v>
      </c>
      <c r="V398" s="3">
        <v>0</v>
      </c>
      <c r="W398" s="3">
        <v>0</v>
      </c>
      <c r="X398" s="3"/>
      <c r="AB398" s="3" t="str">
        <f t="shared" si="3"/>
        <v>1485_62__vv</v>
      </c>
      <c r="AC398" s="3" t="str">
        <f t="shared" si="2"/>
        <v>1485_62__vv_1</v>
      </c>
      <c r="AE398" s="3" t="s">
        <v>37</v>
      </c>
      <c r="AF398" s="3" t="s">
        <v>37</v>
      </c>
    </row>
    <row r="399" spans="1:32" ht="12.5">
      <c r="E399" s="3"/>
      <c r="F399" s="3"/>
      <c r="G399" s="3"/>
      <c r="L399" s="3" t="s">
        <v>38</v>
      </c>
      <c r="M399" s="3">
        <v>16</v>
      </c>
      <c r="N399" s="3">
        <v>6</v>
      </c>
      <c r="O399" s="3">
        <v>8</v>
      </c>
      <c r="R399" s="3">
        <v>0</v>
      </c>
      <c r="S399" s="3"/>
      <c r="T399" s="3">
        <v>3.8059999999999997E-2</v>
      </c>
      <c r="U399" s="3">
        <v>6.0299999999999998E-3</v>
      </c>
      <c r="V399" s="3">
        <v>0</v>
      </c>
      <c r="W399" s="3">
        <v>0</v>
      </c>
      <c r="X399" s="3"/>
      <c r="AB399" s="3" t="str">
        <f t="shared" si="3"/>
        <v>___</v>
      </c>
      <c r="AC399" s="3" t="str">
        <f t="shared" si="2"/>
        <v>____</v>
      </c>
    </row>
    <row r="400" spans="1:32" ht="12.5">
      <c r="E400" s="3"/>
      <c r="F400" s="3"/>
      <c r="G400" s="3"/>
      <c r="L400" s="3" t="s">
        <v>39</v>
      </c>
      <c r="M400" s="3">
        <v>19</v>
      </c>
      <c r="N400" s="3">
        <v>6</v>
      </c>
      <c r="O400" s="3">
        <v>9</v>
      </c>
      <c r="R400" s="3">
        <v>0</v>
      </c>
      <c r="S400" s="3"/>
      <c r="T400" s="3">
        <v>2.4629999999999999E-2</v>
      </c>
      <c r="U400" s="3">
        <v>8.2299999999999995E-3</v>
      </c>
      <c r="V400" s="3">
        <v>0</v>
      </c>
      <c r="W400" s="3">
        <v>0</v>
      </c>
      <c r="X400" s="3"/>
      <c r="AB400" s="3" t="str">
        <f t="shared" si="3"/>
        <v>___</v>
      </c>
      <c r="AC400" s="3" t="str">
        <f t="shared" si="2"/>
        <v>____</v>
      </c>
    </row>
    <row r="401" spans="1:32" ht="12.5">
      <c r="A401" s="12">
        <v>45490</v>
      </c>
      <c r="B401" s="3">
        <v>1485</v>
      </c>
      <c r="C401" s="3">
        <v>62</v>
      </c>
      <c r="D401" s="3" t="s">
        <v>33</v>
      </c>
      <c r="E401" s="3"/>
      <c r="F401" s="3"/>
      <c r="G401" s="3" t="s">
        <v>35</v>
      </c>
      <c r="H401" s="3">
        <v>2</v>
      </c>
      <c r="I401" s="4">
        <v>45386</v>
      </c>
      <c r="J401" s="4">
        <v>45387</v>
      </c>
      <c r="K401" s="3">
        <v>4</v>
      </c>
      <c r="L401" s="3" t="s">
        <v>36</v>
      </c>
      <c r="M401" s="3">
        <v>26</v>
      </c>
      <c r="N401" s="3">
        <v>9</v>
      </c>
      <c r="O401" s="3">
        <v>9</v>
      </c>
      <c r="R401" s="3">
        <v>0</v>
      </c>
      <c r="S401" s="3"/>
      <c r="T401" s="3">
        <v>4.8390000000000002E-2</v>
      </c>
      <c r="U401" s="3">
        <v>5.5599999999999998E-3</v>
      </c>
      <c r="V401" s="3">
        <v>0</v>
      </c>
      <c r="W401" s="3">
        <v>0</v>
      </c>
      <c r="X401" s="3"/>
      <c r="AB401" s="3" t="str">
        <f t="shared" si="3"/>
        <v>1485_62__vv</v>
      </c>
      <c r="AC401" s="3" t="str">
        <f t="shared" si="2"/>
        <v>1485_62__vv_2</v>
      </c>
      <c r="AE401" s="3" t="s">
        <v>37</v>
      </c>
      <c r="AF401" s="3" t="s">
        <v>37</v>
      </c>
    </row>
    <row r="402" spans="1:32" ht="12.5">
      <c r="E402" s="3"/>
      <c r="F402" s="3"/>
      <c r="G402" s="3"/>
      <c r="L402" s="3" t="s">
        <v>38</v>
      </c>
      <c r="M402" s="3">
        <v>19</v>
      </c>
      <c r="N402" s="3">
        <v>3</v>
      </c>
      <c r="O402" s="3">
        <v>7</v>
      </c>
      <c r="R402" s="3">
        <v>0</v>
      </c>
      <c r="S402" s="3"/>
      <c r="T402" s="3">
        <v>6.2599999999999999E-3</v>
      </c>
      <c r="U402" s="3">
        <v>4.6299999999999996E-3</v>
      </c>
      <c r="V402" s="3">
        <v>0</v>
      </c>
      <c r="W402" s="3">
        <v>0</v>
      </c>
      <c r="X402" s="3"/>
      <c r="AB402" s="3" t="str">
        <f t="shared" si="3"/>
        <v>___</v>
      </c>
      <c r="AC402" s="3" t="str">
        <f t="shared" si="2"/>
        <v>____</v>
      </c>
    </row>
    <row r="403" spans="1:32" ht="12.5">
      <c r="E403" s="3"/>
      <c r="F403" s="3"/>
      <c r="G403" s="3"/>
      <c r="L403" s="3" t="s">
        <v>39</v>
      </c>
      <c r="M403" s="3">
        <v>27</v>
      </c>
      <c r="N403" s="3">
        <v>0</v>
      </c>
      <c r="O403" s="3">
        <v>5</v>
      </c>
      <c r="R403" s="3">
        <v>0</v>
      </c>
      <c r="S403" s="3"/>
      <c r="T403" s="3">
        <v>0</v>
      </c>
      <c r="U403" s="3">
        <v>7.1700000000000002E-3</v>
      </c>
      <c r="V403" s="3">
        <v>0</v>
      </c>
      <c r="W403" s="3">
        <v>0</v>
      </c>
      <c r="X403" s="3"/>
      <c r="AB403" s="3" t="str">
        <f t="shared" si="3"/>
        <v>___</v>
      </c>
      <c r="AC403" s="3" t="str">
        <f t="shared" si="2"/>
        <v>____</v>
      </c>
    </row>
    <row r="404" spans="1:32" ht="12.5">
      <c r="A404" s="12">
        <v>45490</v>
      </c>
      <c r="B404" s="3">
        <v>1485</v>
      </c>
      <c r="C404" s="3">
        <v>62</v>
      </c>
      <c r="D404" s="3" t="s">
        <v>33</v>
      </c>
      <c r="E404" s="3"/>
      <c r="F404" s="3"/>
      <c r="G404" s="3" t="s">
        <v>35</v>
      </c>
      <c r="H404" s="3">
        <v>3</v>
      </c>
      <c r="I404" s="4">
        <v>45354</v>
      </c>
      <c r="J404" s="4">
        <v>45477</v>
      </c>
      <c r="K404" s="3">
        <v>3</v>
      </c>
      <c r="L404" s="3" t="s">
        <v>36</v>
      </c>
      <c r="M404" s="3">
        <v>20</v>
      </c>
      <c r="N404" s="3">
        <v>10</v>
      </c>
      <c r="O404" s="3">
        <v>11</v>
      </c>
      <c r="R404" s="3">
        <v>0</v>
      </c>
      <c r="S404" s="3"/>
      <c r="T404" s="3">
        <v>6.2449999999999999E-2</v>
      </c>
      <c r="U404" s="3">
        <v>5.2900000000000004E-3</v>
      </c>
      <c r="V404" s="3">
        <v>0</v>
      </c>
      <c r="W404" s="3">
        <v>0</v>
      </c>
      <c r="X404" s="3"/>
      <c r="AB404" s="3" t="str">
        <f t="shared" si="3"/>
        <v>1485_62__vv</v>
      </c>
      <c r="AC404" s="3" t="str">
        <f t="shared" si="2"/>
        <v>1485_62__vv_3</v>
      </c>
      <c r="AE404" s="3" t="s">
        <v>37</v>
      </c>
      <c r="AF404" s="3" t="s">
        <v>37</v>
      </c>
    </row>
    <row r="405" spans="1:32" ht="12.5">
      <c r="E405" s="3"/>
      <c r="F405" s="3"/>
      <c r="G405" s="3"/>
      <c r="L405" s="3" t="s">
        <v>38</v>
      </c>
      <c r="M405" s="3">
        <v>14</v>
      </c>
      <c r="N405" s="3">
        <v>7</v>
      </c>
      <c r="O405" s="3">
        <v>7</v>
      </c>
      <c r="R405" s="3">
        <v>0</v>
      </c>
      <c r="S405" s="3"/>
      <c r="T405" s="3">
        <v>1.95E-2</v>
      </c>
      <c r="U405" s="3">
        <v>4.9300000000000004E-3</v>
      </c>
      <c r="V405" s="3">
        <v>0</v>
      </c>
      <c r="W405" s="3">
        <v>0</v>
      </c>
      <c r="X405" s="3"/>
      <c r="AB405" s="3" t="str">
        <f t="shared" si="3"/>
        <v>___</v>
      </c>
      <c r="AC405" s="3" t="str">
        <f t="shared" si="2"/>
        <v>____</v>
      </c>
    </row>
    <row r="406" spans="1:32" ht="12.5">
      <c r="E406" s="3"/>
      <c r="F406" s="3"/>
      <c r="G406" s="3"/>
      <c r="L406" s="3" t="s">
        <v>39</v>
      </c>
      <c r="M406" s="3">
        <v>15</v>
      </c>
      <c r="N406" s="3">
        <v>0</v>
      </c>
      <c r="O406" s="3">
        <v>7</v>
      </c>
      <c r="R406" s="3">
        <v>0</v>
      </c>
      <c r="S406" s="3"/>
      <c r="T406" s="3">
        <v>0</v>
      </c>
      <c r="U406" s="3">
        <v>4.0099999999999997E-3</v>
      </c>
      <c r="V406" s="3">
        <v>0</v>
      </c>
      <c r="W406" s="3">
        <v>0</v>
      </c>
      <c r="X406" s="3"/>
      <c r="AB406" s="3" t="str">
        <f t="shared" si="3"/>
        <v>___</v>
      </c>
      <c r="AC406" s="3" t="str">
        <f t="shared" si="2"/>
        <v>____</v>
      </c>
    </row>
    <row r="407" spans="1:32" ht="12.5">
      <c r="A407" s="12">
        <v>45490</v>
      </c>
      <c r="B407" s="10">
        <v>1544</v>
      </c>
      <c r="C407" s="10">
        <v>51</v>
      </c>
      <c r="D407" s="3" t="s">
        <v>33</v>
      </c>
      <c r="E407" s="3"/>
      <c r="F407" s="3"/>
      <c r="G407" s="3" t="s">
        <v>35</v>
      </c>
      <c r="H407" s="3">
        <v>1</v>
      </c>
      <c r="I407" s="4">
        <v>45300</v>
      </c>
      <c r="J407" s="4">
        <v>45335</v>
      </c>
      <c r="K407" s="3">
        <v>3</v>
      </c>
      <c r="L407" s="3" t="s">
        <v>36</v>
      </c>
      <c r="M407" s="3">
        <v>51</v>
      </c>
      <c r="N407" s="3">
        <v>11</v>
      </c>
      <c r="O407" s="3">
        <v>13</v>
      </c>
      <c r="R407" s="3">
        <v>0</v>
      </c>
      <c r="S407" s="3"/>
      <c r="T407" s="3">
        <v>0.10792</v>
      </c>
      <c r="U407" s="3">
        <v>1.6840000000000001E-2</v>
      </c>
      <c r="V407" s="3">
        <v>0</v>
      </c>
      <c r="W407" s="3">
        <v>0</v>
      </c>
      <c r="X407" s="3"/>
      <c r="AB407" s="3" t="str">
        <f t="shared" si="3"/>
        <v>1544_51__vv</v>
      </c>
      <c r="AC407" s="3" t="str">
        <f t="shared" si="2"/>
        <v>1544_51__vv_1</v>
      </c>
      <c r="AE407" s="3" t="s">
        <v>37</v>
      </c>
    </row>
    <row r="408" spans="1:32" ht="12.5">
      <c r="E408" s="3"/>
      <c r="F408" s="3"/>
      <c r="G408" s="3"/>
      <c r="L408" s="3" t="s">
        <v>38</v>
      </c>
      <c r="M408" s="3">
        <v>44</v>
      </c>
      <c r="N408" s="3">
        <v>8</v>
      </c>
      <c r="O408" s="3">
        <v>11</v>
      </c>
      <c r="P408" s="3">
        <v>1</v>
      </c>
      <c r="Q408" s="3">
        <v>1</v>
      </c>
      <c r="R408" s="3">
        <v>0</v>
      </c>
      <c r="S408" s="3"/>
      <c r="T408" s="3">
        <v>6.7110000000000003E-2</v>
      </c>
      <c r="U408" s="3">
        <v>2.6509999999999999E-2</v>
      </c>
      <c r="V408" s="3">
        <v>0</v>
      </c>
      <c r="W408" s="3">
        <v>0</v>
      </c>
      <c r="X408" s="3"/>
      <c r="Y408" s="3"/>
      <c r="Z408" s="3" t="s">
        <v>73</v>
      </c>
      <c r="AB408" s="3" t="str">
        <f t="shared" si="3"/>
        <v>___</v>
      </c>
      <c r="AC408" s="3" t="str">
        <f t="shared" si="2"/>
        <v>____</v>
      </c>
    </row>
    <row r="409" spans="1:32" ht="12.5">
      <c r="E409" s="3"/>
      <c r="F409" s="3"/>
      <c r="G409" s="3"/>
      <c r="L409" s="3" t="s">
        <v>39</v>
      </c>
      <c r="M409" s="3">
        <v>31</v>
      </c>
      <c r="N409" s="3">
        <v>0</v>
      </c>
      <c r="O409" s="3">
        <v>8</v>
      </c>
      <c r="R409" s="3">
        <v>0</v>
      </c>
      <c r="S409" s="3"/>
      <c r="T409" s="3">
        <v>0</v>
      </c>
      <c r="U409" s="3">
        <v>1.5049999999999999E-2</v>
      </c>
      <c r="V409" s="3">
        <v>4.648E-2</v>
      </c>
      <c r="W409" s="3">
        <v>0</v>
      </c>
      <c r="X409" s="3"/>
      <c r="AB409" s="3" t="str">
        <f t="shared" si="3"/>
        <v>___</v>
      </c>
      <c r="AC409" s="3" t="str">
        <f t="shared" si="2"/>
        <v>____</v>
      </c>
    </row>
    <row r="410" spans="1:32" ht="12.5">
      <c r="A410" s="12">
        <v>45490</v>
      </c>
      <c r="B410" s="3">
        <v>1544</v>
      </c>
      <c r="C410" s="3">
        <v>51</v>
      </c>
      <c r="D410" s="3" t="s">
        <v>33</v>
      </c>
      <c r="E410" s="3"/>
      <c r="F410" s="3"/>
      <c r="G410" s="3" t="s">
        <v>35</v>
      </c>
      <c r="H410" s="3">
        <v>2</v>
      </c>
      <c r="I410" s="4">
        <v>45334</v>
      </c>
      <c r="J410" s="4">
        <v>45334</v>
      </c>
      <c r="K410" s="3">
        <v>2</v>
      </c>
      <c r="L410" s="3" t="s">
        <v>36</v>
      </c>
      <c r="M410" s="3">
        <v>70</v>
      </c>
      <c r="N410" s="3">
        <v>15</v>
      </c>
      <c r="O410" s="3">
        <v>19</v>
      </c>
      <c r="R410" s="3">
        <v>0</v>
      </c>
      <c r="S410" s="3"/>
      <c r="T410" s="3">
        <v>0.15454999999999999</v>
      </c>
      <c r="U410" s="3">
        <v>4.3709999999999999E-2</v>
      </c>
      <c r="V410" s="3">
        <v>0</v>
      </c>
      <c r="W410" s="3">
        <v>0</v>
      </c>
      <c r="X410" s="3"/>
      <c r="Y410" s="3"/>
      <c r="Z410" s="3" t="s">
        <v>56</v>
      </c>
      <c r="AB410" s="3" t="str">
        <f t="shared" si="3"/>
        <v>1544_51__vv</v>
      </c>
      <c r="AC410" s="3" t="str">
        <f t="shared" si="2"/>
        <v>1544_51__vv_2</v>
      </c>
      <c r="AE410" s="3" t="s">
        <v>37</v>
      </c>
    </row>
    <row r="411" spans="1:32" ht="12.5">
      <c r="E411" s="3"/>
      <c r="F411" s="3"/>
      <c r="G411" s="3"/>
      <c r="L411" s="3" t="s">
        <v>38</v>
      </c>
      <c r="M411" s="3">
        <v>55</v>
      </c>
      <c r="N411" s="3">
        <v>0</v>
      </c>
      <c r="O411" s="3">
        <v>11</v>
      </c>
      <c r="R411" s="3">
        <v>0</v>
      </c>
      <c r="S411" s="3"/>
      <c r="T411" s="3">
        <v>0</v>
      </c>
      <c r="U411" s="3">
        <v>4.0460000000000003E-2</v>
      </c>
      <c r="V411" s="3">
        <v>0</v>
      </c>
      <c r="W411" s="3">
        <v>0</v>
      </c>
      <c r="X411" s="3"/>
      <c r="AB411" s="3" t="str">
        <f t="shared" si="3"/>
        <v>___</v>
      </c>
      <c r="AC411" s="3" t="str">
        <f t="shared" si="2"/>
        <v>____</v>
      </c>
    </row>
    <row r="412" spans="1:32" ht="12.5">
      <c r="E412" s="3"/>
      <c r="F412" s="3"/>
      <c r="G412" s="3"/>
      <c r="L412" s="3" t="s">
        <v>39</v>
      </c>
      <c r="M412" s="3" t="s">
        <v>47</v>
      </c>
      <c r="N412" s="3" t="s">
        <v>47</v>
      </c>
      <c r="O412" s="3" t="s">
        <v>47</v>
      </c>
      <c r="R412" s="3" t="s">
        <v>47</v>
      </c>
      <c r="S412" s="3"/>
      <c r="T412" s="7" t="s">
        <v>47</v>
      </c>
      <c r="U412" s="7" t="s">
        <v>47</v>
      </c>
      <c r="V412" s="7" t="s">
        <v>47</v>
      </c>
      <c r="W412" s="7" t="s">
        <v>47</v>
      </c>
      <c r="X412" s="7"/>
      <c r="AB412" s="3" t="str">
        <f t="shared" si="3"/>
        <v>___</v>
      </c>
      <c r="AC412" s="3" t="str">
        <f t="shared" si="2"/>
        <v>____</v>
      </c>
    </row>
    <row r="413" spans="1:32" ht="12.5">
      <c r="A413" s="12">
        <v>45490</v>
      </c>
      <c r="B413" s="3">
        <v>1544</v>
      </c>
      <c r="C413" s="3">
        <v>51</v>
      </c>
      <c r="D413" s="3" t="s">
        <v>33</v>
      </c>
      <c r="E413" s="3"/>
      <c r="F413" s="3"/>
      <c r="G413" s="3" t="s">
        <v>35</v>
      </c>
      <c r="H413" s="3">
        <v>3</v>
      </c>
      <c r="I413" s="4">
        <v>45334</v>
      </c>
      <c r="J413" s="4">
        <v>45422</v>
      </c>
      <c r="K413" s="3">
        <v>2</v>
      </c>
      <c r="L413" s="3" t="s">
        <v>36</v>
      </c>
      <c r="M413" s="3">
        <v>50</v>
      </c>
      <c r="N413" s="3">
        <v>12</v>
      </c>
      <c r="O413" s="3">
        <v>14</v>
      </c>
      <c r="R413" s="3">
        <v>0</v>
      </c>
      <c r="S413" s="3"/>
      <c r="T413" s="3">
        <v>0.22572999999999999</v>
      </c>
      <c r="U413" s="3">
        <v>2.4719999999999999E-2</v>
      </c>
      <c r="V413" s="3">
        <v>0</v>
      </c>
      <c r="W413" s="3">
        <v>0</v>
      </c>
      <c r="X413" s="3"/>
      <c r="Y413" s="3"/>
      <c r="Z413" s="3" t="s">
        <v>56</v>
      </c>
      <c r="AB413" s="3" t="str">
        <f t="shared" si="3"/>
        <v>1544_51__vv</v>
      </c>
      <c r="AC413" s="3" t="str">
        <f t="shared" si="2"/>
        <v>1544_51__vv_3</v>
      </c>
      <c r="AE413" s="3" t="s">
        <v>37</v>
      </c>
    </row>
    <row r="414" spans="1:32" ht="12.5">
      <c r="E414" s="3"/>
      <c r="F414" s="3"/>
      <c r="G414" s="3"/>
      <c r="L414" s="3" t="s">
        <v>38</v>
      </c>
      <c r="M414" s="3">
        <v>57</v>
      </c>
      <c r="N414" s="3">
        <v>5</v>
      </c>
      <c r="O414" s="3">
        <v>12</v>
      </c>
      <c r="R414" s="3">
        <v>0</v>
      </c>
      <c r="S414" s="3"/>
      <c r="T414" s="3">
        <v>5.1090000000000003E-2</v>
      </c>
      <c r="U414" s="3">
        <v>4.6370000000000001E-2</v>
      </c>
      <c r="V414" s="3">
        <v>0</v>
      </c>
      <c r="W414" s="3">
        <v>0</v>
      </c>
      <c r="X414" s="3"/>
      <c r="AB414" s="3" t="str">
        <f t="shared" si="3"/>
        <v>___</v>
      </c>
      <c r="AC414" s="3" t="str">
        <f t="shared" si="2"/>
        <v>____</v>
      </c>
    </row>
    <row r="415" spans="1:32" ht="12.5">
      <c r="E415" s="3"/>
      <c r="F415" s="3"/>
      <c r="G415" s="3"/>
      <c r="L415" s="3" t="s">
        <v>39</v>
      </c>
      <c r="M415" s="3" t="s">
        <v>47</v>
      </c>
      <c r="N415" s="3" t="s">
        <v>47</v>
      </c>
      <c r="O415" s="3" t="s">
        <v>47</v>
      </c>
      <c r="R415" s="3" t="s">
        <v>47</v>
      </c>
      <c r="S415" s="3"/>
      <c r="T415" s="3" t="s">
        <v>47</v>
      </c>
      <c r="U415" s="3" t="s">
        <v>47</v>
      </c>
      <c r="V415" s="3" t="s">
        <v>47</v>
      </c>
      <c r="W415" s="3" t="s">
        <v>47</v>
      </c>
      <c r="X415" s="3"/>
      <c r="AB415" s="3" t="str">
        <f t="shared" si="3"/>
        <v>___</v>
      </c>
      <c r="AC415" s="3" t="str">
        <f t="shared" si="2"/>
        <v>____</v>
      </c>
    </row>
    <row r="416" spans="1:32" ht="12.5">
      <c r="A416" s="12">
        <v>45490</v>
      </c>
      <c r="B416" s="3">
        <v>1544</v>
      </c>
      <c r="C416" s="3">
        <v>51</v>
      </c>
      <c r="D416" s="3" t="s">
        <v>33</v>
      </c>
      <c r="E416" s="3"/>
      <c r="F416" s="3"/>
      <c r="G416" s="3" t="s">
        <v>40</v>
      </c>
      <c r="H416" s="3">
        <v>1</v>
      </c>
      <c r="I416" s="4">
        <v>45305</v>
      </c>
      <c r="J416" s="4">
        <v>45432</v>
      </c>
      <c r="K416" s="3">
        <v>6</v>
      </c>
      <c r="L416" s="3" t="s">
        <v>36</v>
      </c>
      <c r="M416" s="3">
        <v>10</v>
      </c>
      <c r="N416" s="3">
        <v>4</v>
      </c>
      <c r="O416" s="3">
        <v>4</v>
      </c>
      <c r="R416" s="3">
        <v>0</v>
      </c>
      <c r="S416" s="3"/>
      <c r="T416" s="3">
        <v>7.5100000000000002E-3</v>
      </c>
      <c r="U416" s="3">
        <v>1.74E-3</v>
      </c>
      <c r="V416" s="3">
        <v>0</v>
      </c>
      <c r="W416" s="3">
        <v>0</v>
      </c>
      <c r="X416" s="3"/>
      <c r="AB416" s="3" t="str">
        <f t="shared" si="3"/>
        <v>1544_51__vm</v>
      </c>
      <c r="AC416" s="3" t="str">
        <f t="shared" si="2"/>
        <v>1544_51__vm_1</v>
      </c>
      <c r="AE416" s="3" t="s">
        <v>37</v>
      </c>
      <c r="AF416" s="3" t="s">
        <v>37</v>
      </c>
    </row>
    <row r="417" spans="1:32" ht="12.5">
      <c r="E417" s="3"/>
      <c r="F417" s="3"/>
      <c r="G417" s="3"/>
      <c r="L417" s="3" t="s">
        <v>38</v>
      </c>
      <c r="M417" s="3">
        <v>10</v>
      </c>
      <c r="N417" s="3">
        <v>0</v>
      </c>
      <c r="O417" s="3">
        <v>1</v>
      </c>
      <c r="P417" s="3">
        <v>2</v>
      </c>
      <c r="Q417" s="3">
        <v>0</v>
      </c>
      <c r="R417" s="3">
        <v>0</v>
      </c>
      <c r="S417" s="3"/>
      <c r="T417" s="3">
        <v>0</v>
      </c>
      <c r="U417" s="3">
        <v>2.3600000000000001E-3</v>
      </c>
      <c r="V417" s="3">
        <v>0</v>
      </c>
      <c r="W417" s="3">
        <v>0</v>
      </c>
      <c r="X417" s="3"/>
      <c r="Y417" s="3"/>
      <c r="Z417" s="3" t="s">
        <v>62</v>
      </c>
      <c r="AB417" s="3" t="str">
        <f t="shared" si="3"/>
        <v>___</v>
      </c>
      <c r="AC417" s="3" t="str">
        <f t="shared" si="2"/>
        <v>____</v>
      </c>
    </row>
    <row r="418" spans="1:32" ht="12.5">
      <c r="E418" s="3"/>
      <c r="F418" s="3"/>
      <c r="G418" s="3"/>
      <c r="L418" s="3" t="s">
        <v>39</v>
      </c>
      <c r="M418" s="3">
        <v>35</v>
      </c>
      <c r="N418" s="3">
        <v>0</v>
      </c>
      <c r="O418" s="3">
        <v>1</v>
      </c>
      <c r="P418" s="3">
        <v>4</v>
      </c>
      <c r="Q418" s="3">
        <v>2</v>
      </c>
      <c r="R418" s="3">
        <v>0</v>
      </c>
      <c r="S418" s="3"/>
      <c r="T418" s="3">
        <v>0</v>
      </c>
      <c r="U418" s="3">
        <v>1.9060000000000001E-2</v>
      </c>
      <c r="V418" s="3">
        <v>2.929E-2</v>
      </c>
      <c r="W418" s="3">
        <v>0</v>
      </c>
      <c r="X418" s="3"/>
      <c r="Y418" s="3"/>
      <c r="Z418" s="3" t="s">
        <v>62</v>
      </c>
      <c r="AB418" s="3" t="str">
        <f t="shared" si="3"/>
        <v>___</v>
      </c>
      <c r="AC418" s="3" t="str">
        <f t="shared" si="2"/>
        <v>____</v>
      </c>
    </row>
    <row r="419" spans="1:32" ht="12.5">
      <c r="A419" s="12">
        <v>45490</v>
      </c>
      <c r="B419" s="3">
        <v>1544</v>
      </c>
      <c r="C419" s="3">
        <v>51</v>
      </c>
      <c r="D419" s="3" t="s">
        <v>33</v>
      </c>
      <c r="E419" s="3"/>
      <c r="F419" s="3"/>
      <c r="G419" s="3" t="s">
        <v>40</v>
      </c>
      <c r="H419" s="3">
        <v>2</v>
      </c>
      <c r="I419" s="4">
        <v>45492</v>
      </c>
      <c r="J419" s="4">
        <v>45340</v>
      </c>
      <c r="K419" s="3">
        <v>5</v>
      </c>
      <c r="L419" s="3" t="s">
        <v>36</v>
      </c>
      <c r="M419" s="3">
        <v>56</v>
      </c>
      <c r="N419" s="3">
        <v>8</v>
      </c>
      <c r="O419" s="3">
        <v>8</v>
      </c>
      <c r="R419" s="3">
        <v>0</v>
      </c>
      <c r="S419" s="3"/>
      <c r="T419" s="3">
        <v>4.9939999999999998E-2</v>
      </c>
      <c r="U419" s="3">
        <v>3.5389999999999998E-2</v>
      </c>
      <c r="V419" s="3">
        <v>0</v>
      </c>
      <c r="W419" s="3">
        <v>0</v>
      </c>
      <c r="X419" s="3"/>
      <c r="Y419" s="3"/>
      <c r="Z419" s="3" t="s">
        <v>74</v>
      </c>
      <c r="AB419" s="3" t="str">
        <f t="shared" si="3"/>
        <v>1544_51__vm</v>
      </c>
      <c r="AC419" s="3" t="str">
        <f t="shared" si="2"/>
        <v>1544_51__vm_2</v>
      </c>
      <c r="AE419" s="3" t="s">
        <v>37</v>
      </c>
      <c r="AF419" s="3" t="s">
        <v>37</v>
      </c>
    </row>
    <row r="420" spans="1:32" ht="12.5">
      <c r="E420" s="3"/>
      <c r="F420" s="3"/>
      <c r="G420" s="3"/>
      <c r="L420" s="3" t="s">
        <v>38</v>
      </c>
      <c r="M420" s="3">
        <v>45</v>
      </c>
      <c r="N420" s="3">
        <v>0</v>
      </c>
      <c r="O420" s="3">
        <v>3</v>
      </c>
      <c r="P420" s="3">
        <v>3</v>
      </c>
      <c r="Q420" s="3">
        <v>1</v>
      </c>
      <c r="R420" s="3">
        <v>0</v>
      </c>
      <c r="S420" s="3"/>
      <c r="T420" s="3">
        <v>0</v>
      </c>
      <c r="U420" s="3">
        <v>4.5490000000000003E-2</v>
      </c>
      <c r="V420" s="3">
        <v>5.3339999999999999E-2</v>
      </c>
      <c r="W420" s="3">
        <v>0</v>
      </c>
      <c r="X420" s="3"/>
      <c r="Y420" s="3"/>
      <c r="Z420" s="3" t="s">
        <v>60</v>
      </c>
      <c r="AB420" s="3" t="str">
        <f t="shared" si="3"/>
        <v>___</v>
      </c>
      <c r="AC420" s="3" t="str">
        <f t="shared" si="2"/>
        <v>____</v>
      </c>
    </row>
    <row r="421" spans="1:32" ht="12.5">
      <c r="E421" s="3"/>
      <c r="F421" s="3"/>
      <c r="G421" s="3"/>
      <c r="L421" s="3" t="s">
        <v>39</v>
      </c>
      <c r="M421" s="3">
        <v>21</v>
      </c>
      <c r="N421" s="3">
        <v>0</v>
      </c>
      <c r="O421" s="3">
        <v>4</v>
      </c>
      <c r="R421" s="3">
        <v>0</v>
      </c>
      <c r="S421" s="3"/>
      <c r="T421" s="3">
        <v>0</v>
      </c>
      <c r="U421" s="3">
        <v>2.3949999999999999E-2</v>
      </c>
      <c r="V421" s="3">
        <v>0</v>
      </c>
      <c r="W421" s="3">
        <v>0</v>
      </c>
      <c r="X421" s="3"/>
      <c r="AB421" s="3" t="str">
        <f t="shared" si="3"/>
        <v>___</v>
      </c>
      <c r="AC421" s="3" t="str">
        <f t="shared" si="2"/>
        <v>____</v>
      </c>
    </row>
    <row r="422" spans="1:32" ht="12.5">
      <c r="A422" s="12">
        <v>45490</v>
      </c>
      <c r="B422" s="3">
        <v>1544</v>
      </c>
      <c r="C422" s="3">
        <v>51</v>
      </c>
      <c r="D422" s="3" t="s">
        <v>33</v>
      </c>
      <c r="E422" s="3"/>
      <c r="F422" s="3"/>
      <c r="G422" s="3" t="s">
        <v>40</v>
      </c>
      <c r="H422" s="3">
        <v>3</v>
      </c>
      <c r="I422" s="4">
        <v>45491</v>
      </c>
      <c r="J422" s="4">
        <v>45340</v>
      </c>
      <c r="K422" s="3">
        <v>7</v>
      </c>
      <c r="L422" s="3" t="s">
        <v>36</v>
      </c>
      <c r="M422" s="3">
        <v>30</v>
      </c>
      <c r="N422" s="3">
        <v>7</v>
      </c>
      <c r="O422" s="3">
        <v>7</v>
      </c>
      <c r="R422" s="3">
        <v>0</v>
      </c>
      <c r="S422" s="3"/>
      <c r="T422" s="3">
        <v>0.2009</v>
      </c>
      <c r="U422" s="3">
        <v>1.0630000000000001E-2</v>
      </c>
      <c r="V422" s="3">
        <v>0</v>
      </c>
      <c r="W422" s="3">
        <v>0</v>
      </c>
      <c r="X422" s="3"/>
      <c r="AB422" s="3" t="str">
        <f t="shared" si="3"/>
        <v>1544_51__vm</v>
      </c>
      <c r="AC422" s="3" t="str">
        <f t="shared" si="2"/>
        <v>1544_51__vm_3</v>
      </c>
      <c r="AE422" s="3" t="s">
        <v>37</v>
      </c>
      <c r="AF422" s="3" t="s">
        <v>37</v>
      </c>
    </row>
    <row r="423" spans="1:32" ht="12.5">
      <c r="E423" s="3"/>
      <c r="F423" s="3"/>
      <c r="G423" s="3"/>
      <c r="L423" s="3" t="s">
        <v>38</v>
      </c>
      <c r="M423" s="3">
        <v>32</v>
      </c>
      <c r="N423" s="3">
        <v>0</v>
      </c>
      <c r="O423" s="3">
        <v>2</v>
      </c>
      <c r="P423" s="3">
        <v>3</v>
      </c>
      <c r="Q423" s="3">
        <v>3</v>
      </c>
      <c r="R423" s="3">
        <v>0</v>
      </c>
      <c r="S423" s="3"/>
      <c r="T423" s="3">
        <v>0</v>
      </c>
      <c r="U423" s="3">
        <v>2.1479999999999999E-2</v>
      </c>
      <c r="V423" s="3">
        <v>5.1990000000000001E-2</v>
      </c>
      <c r="W423" s="3">
        <v>0</v>
      </c>
      <c r="X423" s="3"/>
      <c r="AB423" s="3" t="str">
        <f t="shared" si="3"/>
        <v>___</v>
      </c>
      <c r="AC423" s="3" t="str">
        <f t="shared" si="2"/>
        <v>____</v>
      </c>
    </row>
    <row r="424" spans="1:32" ht="12.5">
      <c r="E424" s="3"/>
      <c r="F424" s="3"/>
      <c r="G424" s="3"/>
      <c r="L424" s="3" t="s">
        <v>39</v>
      </c>
      <c r="M424" s="3">
        <v>42</v>
      </c>
      <c r="N424" s="3">
        <v>0</v>
      </c>
      <c r="O424" s="3">
        <v>3</v>
      </c>
      <c r="P424" s="3">
        <v>2</v>
      </c>
      <c r="Q424" s="3">
        <v>2</v>
      </c>
      <c r="R424" s="3">
        <v>0</v>
      </c>
      <c r="S424" s="3"/>
      <c r="T424" s="3">
        <v>0</v>
      </c>
      <c r="U424" s="3">
        <v>4.4740000000000002E-2</v>
      </c>
      <c r="V424" s="3">
        <v>0.1046</v>
      </c>
      <c r="W424" s="3">
        <v>0</v>
      </c>
      <c r="X424" s="3"/>
      <c r="AB424" s="3" t="str">
        <f t="shared" si="3"/>
        <v>___</v>
      </c>
      <c r="AC424" s="3" t="str">
        <f t="shared" si="2"/>
        <v>____</v>
      </c>
    </row>
    <row r="425" spans="1:32" ht="12.5">
      <c r="A425" s="12">
        <v>45490</v>
      </c>
      <c r="B425" s="10">
        <v>1544</v>
      </c>
      <c r="C425" s="10">
        <v>53</v>
      </c>
      <c r="D425" s="3" t="s">
        <v>33</v>
      </c>
      <c r="E425" s="3"/>
      <c r="F425" s="3"/>
      <c r="G425" s="3" t="s">
        <v>40</v>
      </c>
      <c r="H425" s="3">
        <v>1</v>
      </c>
      <c r="I425" s="4">
        <v>45305</v>
      </c>
      <c r="J425" s="4">
        <v>45308</v>
      </c>
      <c r="K425" s="3">
        <v>4</v>
      </c>
      <c r="L425" s="3" t="s">
        <v>36</v>
      </c>
      <c r="M425" s="3">
        <v>30</v>
      </c>
      <c r="N425" s="3">
        <v>5</v>
      </c>
      <c r="O425" s="3">
        <v>5</v>
      </c>
      <c r="R425" s="3">
        <v>1</v>
      </c>
      <c r="S425" s="3"/>
      <c r="T425" s="3">
        <v>2.8490000000000001E-2</v>
      </c>
      <c r="U425" s="3">
        <v>1.1310000000000001E-2</v>
      </c>
      <c r="V425" s="3">
        <v>0</v>
      </c>
      <c r="W425" s="3">
        <v>3.39E-2</v>
      </c>
      <c r="X425" s="3"/>
      <c r="AB425" s="3" t="str">
        <f t="shared" si="3"/>
        <v>1544_53__vm</v>
      </c>
      <c r="AC425" s="3" t="str">
        <f t="shared" si="2"/>
        <v>1544_53__vm_1</v>
      </c>
      <c r="AE425" s="3" t="s">
        <v>37</v>
      </c>
      <c r="AF425" s="3" t="s">
        <v>37</v>
      </c>
    </row>
    <row r="426" spans="1:32" ht="12.5">
      <c r="E426" s="3"/>
      <c r="F426" s="3"/>
      <c r="G426" s="3"/>
      <c r="L426" s="3" t="s">
        <v>38</v>
      </c>
      <c r="M426" s="3">
        <v>74</v>
      </c>
      <c r="N426" s="3">
        <v>0</v>
      </c>
      <c r="O426" s="3">
        <v>4</v>
      </c>
      <c r="P426" s="3">
        <v>4</v>
      </c>
      <c r="Q426" s="3">
        <v>4</v>
      </c>
      <c r="R426" s="3">
        <v>0</v>
      </c>
      <c r="S426" s="3"/>
      <c r="T426" s="3">
        <v>0</v>
      </c>
      <c r="U426" s="3">
        <v>6.515E-2</v>
      </c>
      <c r="V426" s="3">
        <v>0.13699</v>
      </c>
      <c r="W426" s="3">
        <v>0</v>
      </c>
      <c r="X426" s="3"/>
      <c r="AB426" s="3" t="str">
        <f t="shared" si="3"/>
        <v>___</v>
      </c>
      <c r="AC426" s="3" t="str">
        <f t="shared" si="2"/>
        <v>____</v>
      </c>
    </row>
    <row r="427" spans="1:32" ht="12.5">
      <c r="E427" s="3"/>
      <c r="F427" s="3"/>
      <c r="G427" s="3"/>
      <c r="L427" s="3" t="s">
        <v>39</v>
      </c>
      <c r="M427" s="3">
        <v>33</v>
      </c>
      <c r="N427" s="3">
        <v>5</v>
      </c>
      <c r="O427" s="3">
        <v>0</v>
      </c>
      <c r="P427" s="3">
        <v>2</v>
      </c>
      <c r="Q427" s="3">
        <v>2</v>
      </c>
      <c r="R427" s="3">
        <v>1</v>
      </c>
      <c r="S427" s="3"/>
      <c r="T427" s="3">
        <v>0</v>
      </c>
      <c r="U427" s="3">
        <v>5.1429999999999997E-2</v>
      </c>
      <c r="V427" s="3">
        <v>0</v>
      </c>
      <c r="W427" s="3">
        <v>0.11659</v>
      </c>
      <c r="X427" s="3"/>
      <c r="AB427" s="3" t="str">
        <f t="shared" si="3"/>
        <v>___</v>
      </c>
      <c r="AC427" s="3" t="str">
        <f t="shared" si="2"/>
        <v>____</v>
      </c>
    </row>
    <row r="428" spans="1:32" ht="12.5">
      <c r="A428" s="12">
        <v>45490</v>
      </c>
      <c r="B428" s="3">
        <v>1544</v>
      </c>
      <c r="C428" s="3">
        <v>53</v>
      </c>
      <c r="D428" s="3" t="s">
        <v>33</v>
      </c>
      <c r="E428" s="3"/>
      <c r="F428" s="3"/>
      <c r="G428" s="3" t="s">
        <v>40</v>
      </c>
      <c r="H428" s="3">
        <v>2</v>
      </c>
      <c r="I428" s="3" t="s">
        <v>47</v>
      </c>
      <c r="J428" s="3" t="s">
        <v>47</v>
      </c>
      <c r="K428" s="3" t="s">
        <v>47</v>
      </c>
      <c r="L428" s="3" t="s">
        <v>36</v>
      </c>
      <c r="M428" s="3" t="s">
        <v>47</v>
      </c>
      <c r="N428" s="3" t="s">
        <v>47</v>
      </c>
      <c r="O428" s="3" t="s">
        <v>47</v>
      </c>
      <c r="R428" s="3" t="s">
        <v>47</v>
      </c>
      <c r="S428" s="3"/>
      <c r="T428" s="3" t="s">
        <v>47</v>
      </c>
      <c r="U428" s="3" t="s">
        <v>47</v>
      </c>
      <c r="V428" s="3" t="s">
        <v>47</v>
      </c>
      <c r="W428" s="3" t="s">
        <v>47</v>
      </c>
      <c r="X428" s="3"/>
      <c r="Y428" s="3"/>
      <c r="Z428" s="3" t="s">
        <v>75</v>
      </c>
      <c r="AB428" s="3" t="str">
        <f t="shared" si="3"/>
        <v>1544_53__vm</v>
      </c>
      <c r="AC428" s="3" t="str">
        <f t="shared" si="2"/>
        <v>1544_53__vm_2</v>
      </c>
      <c r="AE428" s="3" t="s">
        <v>49</v>
      </c>
      <c r="AF428" s="3" t="s">
        <v>49</v>
      </c>
    </row>
    <row r="429" spans="1:32" ht="12.5">
      <c r="E429" s="3"/>
      <c r="F429" s="3"/>
      <c r="G429" s="3"/>
      <c r="L429" s="3" t="s">
        <v>38</v>
      </c>
      <c r="M429" s="3" t="s">
        <v>47</v>
      </c>
      <c r="N429" s="3" t="s">
        <v>47</v>
      </c>
      <c r="O429" s="3" t="s">
        <v>47</v>
      </c>
      <c r="R429" s="3" t="s">
        <v>47</v>
      </c>
      <c r="S429" s="3"/>
      <c r="T429" s="3" t="s">
        <v>47</v>
      </c>
      <c r="U429" s="3" t="s">
        <v>47</v>
      </c>
      <c r="V429" s="3" t="s">
        <v>47</v>
      </c>
      <c r="W429" s="3" t="s">
        <v>47</v>
      </c>
      <c r="X429" s="3"/>
      <c r="AB429" s="3" t="str">
        <f t="shared" si="3"/>
        <v>___</v>
      </c>
      <c r="AC429" s="3" t="str">
        <f t="shared" si="2"/>
        <v>____</v>
      </c>
    </row>
    <row r="430" spans="1:32" ht="12.5">
      <c r="E430" s="3"/>
      <c r="F430" s="3"/>
      <c r="G430" s="3"/>
      <c r="L430" s="3" t="s">
        <v>39</v>
      </c>
      <c r="M430" s="3" t="s">
        <v>47</v>
      </c>
      <c r="N430" s="3" t="s">
        <v>47</v>
      </c>
      <c r="O430" s="3" t="s">
        <v>47</v>
      </c>
      <c r="R430" s="3" t="s">
        <v>47</v>
      </c>
      <c r="S430" s="3"/>
      <c r="T430" s="3" t="s">
        <v>47</v>
      </c>
      <c r="U430" s="3" t="s">
        <v>47</v>
      </c>
      <c r="V430" s="3" t="s">
        <v>47</v>
      </c>
      <c r="W430" s="3" t="s">
        <v>47</v>
      </c>
      <c r="X430" s="3"/>
      <c r="AB430" s="3" t="str">
        <f t="shared" si="3"/>
        <v>___</v>
      </c>
      <c r="AC430" s="3" t="str">
        <f t="shared" si="2"/>
        <v>____</v>
      </c>
    </row>
    <row r="431" spans="1:32" ht="12.5">
      <c r="A431" s="12">
        <v>45490</v>
      </c>
      <c r="B431" s="3">
        <v>1544</v>
      </c>
      <c r="C431" s="3">
        <v>53</v>
      </c>
      <c r="D431" s="3" t="s">
        <v>33</v>
      </c>
      <c r="E431" s="3"/>
      <c r="F431" s="3"/>
      <c r="G431" s="3" t="s">
        <v>40</v>
      </c>
      <c r="H431" s="3">
        <v>3</v>
      </c>
      <c r="I431" s="4">
        <v>45368</v>
      </c>
      <c r="J431" s="4">
        <v>45550</v>
      </c>
      <c r="K431" s="3">
        <v>5</v>
      </c>
      <c r="L431" s="3" t="s">
        <v>36</v>
      </c>
      <c r="M431" s="3">
        <v>36</v>
      </c>
      <c r="N431" s="3">
        <v>8</v>
      </c>
      <c r="O431" s="3">
        <v>8</v>
      </c>
      <c r="R431" s="3">
        <v>0</v>
      </c>
      <c r="S431" s="3"/>
      <c r="T431" s="3">
        <v>2.963E-2</v>
      </c>
      <c r="U431" s="3">
        <v>1.421E-2</v>
      </c>
      <c r="V431" s="3">
        <v>0</v>
      </c>
      <c r="W431" s="3">
        <v>0</v>
      </c>
      <c r="X431" s="3"/>
      <c r="AB431" s="3" t="str">
        <f t="shared" si="3"/>
        <v>1544_53__vm</v>
      </c>
      <c r="AC431" s="3" t="str">
        <f t="shared" si="2"/>
        <v>1544_53__vm_3</v>
      </c>
      <c r="AE431" s="3" t="s">
        <v>37</v>
      </c>
      <c r="AF431" s="3" t="s">
        <v>37</v>
      </c>
    </row>
    <row r="432" spans="1:32" ht="12.5">
      <c r="E432" s="3"/>
      <c r="F432" s="3"/>
      <c r="G432" s="3"/>
      <c r="L432" s="3" t="s">
        <v>38</v>
      </c>
      <c r="M432" s="3">
        <v>68</v>
      </c>
      <c r="N432" s="3">
        <v>0</v>
      </c>
      <c r="O432" s="3">
        <v>3</v>
      </c>
      <c r="P432" s="3">
        <v>7</v>
      </c>
      <c r="Q432" s="3">
        <v>6</v>
      </c>
      <c r="R432" s="3">
        <v>0</v>
      </c>
      <c r="S432" s="3"/>
      <c r="T432" s="3">
        <v>0</v>
      </c>
      <c r="U432" s="3">
        <v>6.9580000000000003E-2</v>
      </c>
      <c r="V432" s="3">
        <v>0.13166</v>
      </c>
      <c r="W432" s="3">
        <v>0</v>
      </c>
      <c r="X432" s="3"/>
      <c r="Y432" s="3"/>
      <c r="Z432" s="3" t="s">
        <v>76</v>
      </c>
      <c r="AB432" s="3" t="str">
        <f t="shared" si="3"/>
        <v>___</v>
      </c>
      <c r="AC432" s="3" t="str">
        <f t="shared" si="2"/>
        <v>____</v>
      </c>
    </row>
    <row r="433" spans="1:32" ht="12.5">
      <c r="E433" s="3"/>
      <c r="F433" s="3"/>
      <c r="G433" s="3"/>
      <c r="L433" s="3" t="s">
        <v>39</v>
      </c>
      <c r="M433" s="3">
        <v>16</v>
      </c>
      <c r="N433" s="3">
        <v>0</v>
      </c>
      <c r="O433" s="3">
        <v>0</v>
      </c>
      <c r="P433" s="3">
        <v>1</v>
      </c>
      <c r="Q433" s="3">
        <v>1</v>
      </c>
      <c r="R433" s="3">
        <v>0</v>
      </c>
      <c r="S433" s="3"/>
      <c r="T433" s="3">
        <v>0</v>
      </c>
      <c r="U433" s="3">
        <v>3.1399999999999997E-2</v>
      </c>
      <c r="V433" s="3">
        <v>5.8689999999999999E-2</v>
      </c>
      <c r="W433" s="3">
        <v>0</v>
      </c>
      <c r="X433" s="3"/>
      <c r="AB433" s="3" t="str">
        <f t="shared" si="3"/>
        <v>___</v>
      </c>
      <c r="AC433" s="3" t="str">
        <f t="shared" si="2"/>
        <v>____</v>
      </c>
    </row>
    <row r="434" spans="1:32" ht="12.5">
      <c r="A434" s="12">
        <v>45490</v>
      </c>
      <c r="B434" s="3">
        <v>1544</v>
      </c>
      <c r="C434" s="3">
        <v>53</v>
      </c>
      <c r="D434" s="3" t="s">
        <v>33</v>
      </c>
      <c r="E434" s="3"/>
      <c r="F434" s="3"/>
      <c r="G434" s="3" t="s">
        <v>35</v>
      </c>
      <c r="H434" s="3">
        <v>1</v>
      </c>
      <c r="I434" s="4">
        <v>45304</v>
      </c>
      <c r="J434" s="4">
        <v>45546</v>
      </c>
      <c r="K434" s="3">
        <v>3</v>
      </c>
      <c r="L434" s="3" t="s">
        <v>36</v>
      </c>
      <c r="M434" s="3">
        <v>23</v>
      </c>
      <c r="N434" s="3">
        <v>11</v>
      </c>
      <c r="O434" s="3">
        <v>11</v>
      </c>
      <c r="R434" s="3">
        <v>0</v>
      </c>
      <c r="S434" s="3"/>
      <c r="T434" s="3">
        <v>8.6190000000000003E-2</v>
      </c>
      <c r="U434" s="3">
        <v>6.6899999999999998E-3</v>
      </c>
      <c r="V434" s="3">
        <v>0</v>
      </c>
      <c r="W434" s="3">
        <v>0</v>
      </c>
      <c r="X434" s="3"/>
      <c r="AB434" s="3" t="str">
        <f t="shared" si="3"/>
        <v>1544_53__vv</v>
      </c>
      <c r="AC434" s="3" t="str">
        <f t="shared" si="2"/>
        <v>1544_53__vv_1</v>
      </c>
      <c r="AE434" s="3" t="s">
        <v>37</v>
      </c>
    </row>
    <row r="435" spans="1:32" ht="12.5">
      <c r="E435" s="3"/>
      <c r="F435" s="3"/>
      <c r="G435" s="3"/>
      <c r="L435" s="3" t="s">
        <v>38</v>
      </c>
      <c r="M435" s="3">
        <v>64</v>
      </c>
      <c r="N435" s="3">
        <v>11</v>
      </c>
      <c r="O435" s="3">
        <v>16</v>
      </c>
      <c r="R435" s="3">
        <v>0</v>
      </c>
      <c r="S435" s="3"/>
      <c r="T435" s="3">
        <v>0.20629</v>
      </c>
      <c r="U435" s="3">
        <v>5.7840000000000003E-2</v>
      </c>
      <c r="V435" s="3">
        <v>0</v>
      </c>
      <c r="W435" s="3">
        <v>0</v>
      </c>
      <c r="X435" s="3"/>
      <c r="AB435" s="3" t="str">
        <f t="shared" si="3"/>
        <v>___</v>
      </c>
      <c r="AC435" s="3" t="str">
        <f t="shared" si="2"/>
        <v>____</v>
      </c>
    </row>
    <row r="436" spans="1:32" ht="12.5">
      <c r="E436" s="3"/>
      <c r="F436" s="3"/>
      <c r="G436" s="3"/>
      <c r="L436" s="3" t="s">
        <v>39</v>
      </c>
      <c r="M436" s="3">
        <v>32</v>
      </c>
      <c r="N436" s="3">
        <v>0</v>
      </c>
      <c r="O436" s="3">
        <v>10</v>
      </c>
      <c r="R436" s="3">
        <v>0</v>
      </c>
      <c r="S436" s="3"/>
      <c r="T436" s="3">
        <v>0</v>
      </c>
      <c r="U436" s="3">
        <v>2.3779999999999999E-2</v>
      </c>
      <c r="V436" s="3">
        <v>0</v>
      </c>
      <c r="W436" s="3">
        <v>0</v>
      </c>
      <c r="X436" s="3"/>
      <c r="AB436" s="3" t="str">
        <f t="shared" si="3"/>
        <v>___</v>
      </c>
      <c r="AC436" s="3" t="str">
        <f t="shared" si="2"/>
        <v>____</v>
      </c>
    </row>
    <row r="437" spans="1:32" ht="12.5">
      <c r="A437" s="12">
        <v>45490</v>
      </c>
      <c r="B437" s="3">
        <v>1544</v>
      </c>
      <c r="C437" s="3">
        <v>53</v>
      </c>
      <c r="D437" s="3" t="s">
        <v>33</v>
      </c>
      <c r="E437" s="3"/>
      <c r="F437" s="3"/>
      <c r="G437" s="3" t="s">
        <v>35</v>
      </c>
      <c r="H437" s="3">
        <v>2</v>
      </c>
      <c r="I437" s="4">
        <v>45456</v>
      </c>
      <c r="J437" s="4">
        <v>45422</v>
      </c>
      <c r="K437" s="3">
        <v>3</v>
      </c>
      <c r="L437" s="3" t="s">
        <v>36</v>
      </c>
      <c r="M437" s="3">
        <v>34</v>
      </c>
      <c r="N437" s="3">
        <v>11</v>
      </c>
      <c r="O437" s="3">
        <v>13</v>
      </c>
      <c r="R437" s="3">
        <v>0</v>
      </c>
      <c r="S437" s="3"/>
      <c r="T437" s="3">
        <v>0.13657</v>
      </c>
      <c r="U437" s="3">
        <v>1.189E-2</v>
      </c>
      <c r="V437" s="3">
        <v>0</v>
      </c>
      <c r="W437" s="3">
        <v>0</v>
      </c>
      <c r="X437" s="3"/>
      <c r="AB437" s="3" t="str">
        <f t="shared" si="3"/>
        <v>1544_53__vv</v>
      </c>
      <c r="AC437" s="3" t="str">
        <f t="shared" si="2"/>
        <v>1544_53__vv_2</v>
      </c>
      <c r="AE437" s="3" t="s">
        <v>37</v>
      </c>
    </row>
    <row r="438" spans="1:32" ht="12.5">
      <c r="E438" s="3"/>
      <c r="F438" s="3"/>
      <c r="G438" s="3"/>
      <c r="L438" s="3" t="s">
        <v>38</v>
      </c>
      <c r="M438" s="3">
        <v>39</v>
      </c>
      <c r="N438" s="3">
        <v>7</v>
      </c>
      <c r="O438" s="3">
        <v>12</v>
      </c>
      <c r="R438" s="3">
        <v>0</v>
      </c>
      <c r="S438" s="3"/>
      <c r="T438" s="3">
        <v>4.6089999999999999E-2</v>
      </c>
      <c r="U438" s="3">
        <v>2.2669999999999999E-2</v>
      </c>
      <c r="V438" s="3">
        <v>0</v>
      </c>
      <c r="W438" s="3">
        <v>0</v>
      </c>
      <c r="X438" s="3"/>
      <c r="AB438" s="3" t="str">
        <f t="shared" si="3"/>
        <v>___</v>
      </c>
      <c r="AC438" s="3" t="str">
        <f t="shared" si="2"/>
        <v>____</v>
      </c>
    </row>
    <row r="439" spans="1:32" ht="12.5">
      <c r="E439" s="3"/>
      <c r="F439" s="3"/>
      <c r="G439" s="3"/>
      <c r="L439" s="3" t="s">
        <v>39</v>
      </c>
      <c r="M439" s="3">
        <v>45</v>
      </c>
      <c r="N439" s="3">
        <v>0</v>
      </c>
      <c r="O439" s="3">
        <v>6</v>
      </c>
      <c r="P439" s="3">
        <v>1</v>
      </c>
      <c r="Q439" s="3">
        <v>1</v>
      </c>
      <c r="R439" s="3">
        <v>0</v>
      </c>
      <c r="S439" s="3"/>
      <c r="T439" s="3">
        <v>0</v>
      </c>
      <c r="U439" s="3">
        <v>3.8359999999999998E-2</v>
      </c>
      <c r="V439" s="3">
        <v>0</v>
      </c>
      <c r="W439" s="3">
        <v>0</v>
      </c>
      <c r="X439" s="3"/>
      <c r="AB439" s="3" t="str">
        <f t="shared" si="3"/>
        <v>___</v>
      </c>
      <c r="AC439" s="3" t="str">
        <f t="shared" si="2"/>
        <v>____</v>
      </c>
    </row>
    <row r="440" spans="1:32" ht="12.5">
      <c r="A440" s="12">
        <v>45490</v>
      </c>
      <c r="B440" s="3">
        <v>1544</v>
      </c>
      <c r="C440" s="3">
        <v>53</v>
      </c>
      <c r="D440" s="3" t="s">
        <v>33</v>
      </c>
      <c r="E440" s="3"/>
      <c r="F440" s="3"/>
      <c r="G440" s="3" t="s">
        <v>35</v>
      </c>
      <c r="H440" s="3">
        <v>3</v>
      </c>
      <c r="I440" s="3">
        <v>23</v>
      </c>
      <c r="J440" s="4">
        <v>45370</v>
      </c>
      <c r="K440" s="3">
        <v>4</v>
      </c>
      <c r="L440" s="3" t="s">
        <v>36</v>
      </c>
      <c r="M440" s="3">
        <v>49</v>
      </c>
      <c r="N440" s="3">
        <v>13</v>
      </c>
      <c r="O440" s="3">
        <v>15</v>
      </c>
      <c r="R440" s="3">
        <v>0</v>
      </c>
      <c r="S440" s="3"/>
      <c r="T440" s="3">
        <v>0.28710999999999998</v>
      </c>
      <c r="U440" s="3">
        <v>2.349E-2</v>
      </c>
      <c r="V440" s="3">
        <v>0</v>
      </c>
      <c r="W440" s="3">
        <v>0</v>
      </c>
      <c r="X440" s="3"/>
      <c r="AB440" s="3" t="str">
        <f t="shared" si="3"/>
        <v>1544_53__vv</v>
      </c>
      <c r="AC440" s="3" t="str">
        <f t="shared" si="2"/>
        <v>1544_53__vv_3</v>
      </c>
      <c r="AE440" s="3" t="s">
        <v>37</v>
      </c>
    </row>
    <row r="441" spans="1:32" ht="12.5">
      <c r="E441" s="3"/>
      <c r="F441" s="3"/>
      <c r="G441" s="3"/>
      <c r="L441" s="3" t="s">
        <v>38</v>
      </c>
      <c r="M441" s="3">
        <v>43</v>
      </c>
      <c r="N441" s="3">
        <v>0</v>
      </c>
      <c r="O441" s="3">
        <v>9</v>
      </c>
      <c r="R441" s="3">
        <v>0</v>
      </c>
      <c r="S441" s="3"/>
      <c r="T441" s="3">
        <v>0</v>
      </c>
      <c r="U441" s="3">
        <v>0.44419999999999998</v>
      </c>
      <c r="V441" s="3">
        <v>0</v>
      </c>
      <c r="W441" s="3">
        <v>0</v>
      </c>
      <c r="X441" s="3"/>
      <c r="AB441" s="3" t="str">
        <f t="shared" si="3"/>
        <v>___</v>
      </c>
      <c r="AC441" s="3" t="str">
        <f t="shared" si="2"/>
        <v>____</v>
      </c>
    </row>
    <row r="442" spans="1:32" ht="12.5">
      <c r="E442" s="3"/>
      <c r="F442" s="3"/>
      <c r="G442" s="3"/>
      <c r="L442" s="3" t="s">
        <v>39</v>
      </c>
      <c r="M442" s="3">
        <v>71</v>
      </c>
      <c r="N442" s="3">
        <v>11</v>
      </c>
      <c r="O442" s="3">
        <v>17</v>
      </c>
      <c r="R442" s="3">
        <v>0</v>
      </c>
      <c r="S442" s="3"/>
      <c r="T442" s="3">
        <v>0.23075000000000001</v>
      </c>
      <c r="U442" s="3">
        <v>6.3689999999999997E-2</v>
      </c>
      <c r="V442" s="3">
        <v>0</v>
      </c>
      <c r="W442" s="3">
        <v>0</v>
      </c>
      <c r="X442" s="3"/>
      <c r="AB442" s="3" t="str">
        <f t="shared" si="3"/>
        <v>___</v>
      </c>
      <c r="AC442" s="3" t="str">
        <f t="shared" si="2"/>
        <v>____</v>
      </c>
    </row>
    <row r="443" spans="1:32" ht="12.5">
      <c r="A443" s="12">
        <v>45488</v>
      </c>
      <c r="B443" s="6">
        <v>833</v>
      </c>
      <c r="C443" s="6">
        <v>24</v>
      </c>
      <c r="E443" s="3"/>
      <c r="F443" s="3"/>
      <c r="G443" s="3" t="s">
        <v>40</v>
      </c>
      <c r="H443" s="3">
        <v>1</v>
      </c>
      <c r="I443" s="4">
        <v>45421</v>
      </c>
      <c r="J443" s="4">
        <v>45361</v>
      </c>
      <c r="K443" s="3">
        <v>4</v>
      </c>
      <c r="L443" s="3" t="s">
        <v>36</v>
      </c>
      <c r="M443" s="3">
        <v>32</v>
      </c>
      <c r="N443" s="3">
        <v>6</v>
      </c>
      <c r="O443" s="3">
        <v>6</v>
      </c>
      <c r="R443" s="3">
        <v>0</v>
      </c>
      <c r="S443" s="3"/>
      <c r="T443" s="3">
        <v>2.4039999999999999E-2</v>
      </c>
      <c r="U443" s="3">
        <v>1.2359999999999999E-2</v>
      </c>
      <c r="V443" s="3">
        <v>0</v>
      </c>
      <c r="W443" s="3">
        <v>0</v>
      </c>
      <c r="X443" s="3"/>
      <c r="AB443" s="3" t="str">
        <f t="shared" si="3"/>
        <v>833_24__vm</v>
      </c>
      <c r="AC443" s="3" t="str">
        <f t="shared" si="2"/>
        <v>833_24__vm_1</v>
      </c>
      <c r="AE443" s="3" t="s">
        <v>37</v>
      </c>
      <c r="AF443" s="3" t="s">
        <v>37</v>
      </c>
    </row>
    <row r="444" spans="1:32" ht="12.5">
      <c r="E444" s="3"/>
      <c r="F444" s="3"/>
      <c r="G444" s="3"/>
      <c r="L444" s="3" t="s">
        <v>38</v>
      </c>
      <c r="M444" s="3">
        <v>31</v>
      </c>
      <c r="N444" s="3">
        <v>0</v>
      </c>
      <c r="O444" s="3">
        <v>3</v>
      </c>
      <c r="P444" s="3">
        <v>2</v>
      </c>
      <c r="Q444" s="3">
        <v>2</v>
      </c>
      <c r="R444" s="3">
        <v>0</v>
      </c>
      <c r="S444" s="3"/>
      <c r="T444" s="3">
        <v>0</v>
      </c>
      <c r="U444" s="3">
        <v>1.95E-2</v>
      </c>
      <c r="V444" s="3">
        <v>1.9599999999999999E-2</v>
      </c>
      <c r="W444" s="3">
        <v>0</v>
      </c>
      <c r="X444" s="3"/>
      <c r="AB444" s="3" t="str">
        <f t="shared" si="3"/>
        <v>___</v>
      </c>
      <c r="AC444" s="3" t="str">
        <f t="shared" si="2"/>
        <v>____</v>
      </c>
    </row>
    <row r="445" spans="1:32" ht="12.5">
      <c r="E445" s="3"/>
      <c r="F445" s="3"/>
      <c r="G445" s="3"/>
      <c r="L445" s="3" t="s">
        <v>39</v>
      </c>
      <c r="M445" s="3">
        <v>27</v>
      </c>
      <c r="N445" s="3">
        <v>0</v>
      </c>
      <c r="O445" s="3">
        <v>3</v>
      </c>
      <c r="P445" s="3">
        <v>2</v>
      </c>
      <c r="Q445" s="3">
        <v>2</v>
      </c>
      <c r="R445" s="3">
        <v>0</v>
      </c>
      <c r="S445" s="3"/>
      <c r="T445" s="3">
        <v>0</v>
      </c>
      <c r="U445" s="3">
        <v>2.1409999999999998E-2</v>
      </c>
      <c r="V445" s="3">
        <v>6.9699999999999998E-2</v>
      </c>
      <c r="W445" s="3">
        <v>0</v>
      </c>
      <c r="X445" s="3"/>
      <c r="AB445" s="3" t="str">
        <f t="shared" si="3"/>
        <v>___</v>
      </c>
      <c r="AC445" s="3" t="str">
        <f t="shared" si="2"/>
        <v>____</v>
      </c>
    </row>
    <row r="446" spans="1:32" ht="12.5">
      <c r="A446" s="12">
        <v>45488</v>
      </c>
      <c r="B446" s="3">
        <v>833</v>
      </c>
      <c r="C446" s="3">
        <v>24</v>
      </c>
      <c r="E446" s="3"/>
      <c r="F446" s="3"/>
      <c r="G446" s="3" t="s">
        <v>40</v>
      </c>
      <c r="H446" s="3">
        <v>2</v>
      </c>
      <c r="I446" s="3">
        <v>12</v>
      </c>
      <c r="J446" s="4">
        <v>45392</v>
      </c>
      <c r="K446" s="3">
        <v>3</v>
      </c>
      <c r="L446" s="3" t="s">
        <v>36</v>
      </c>
      <c r="M446" s="3">
        <v>19</v>
      </c>
      <c r="N446" s="3">
        <v>5</v>
      </c>
      <c r="O446" s="3">
        <v>5</v>
      </c>
      <c r="R446" s="3">
        <v>0</v>
      </c>
      <c r="S446" s="3"/>
      <c r="T446" s="3">
        <v>7.8899999999999994E-3</v>
      </c>
      <c r="U446" s="3">
        <v>4.5199999999999997E-3</v>
      </c>
      <c r="V446" s="3">
        <v>0</v>
      </c>
      <c r="W446" s="3">
        <v>0</v>
      </c>
      <c r="X446" s="3"/>
      <c r="AB446" s="3" t="str">
        <f t="shared" si="3"/>
        <v>833_24__vm</v>
      </c>
      <c r="AC446" s="3" t="str">
        <f t="shared" si="2"/>
        <v>833_24__vm_2</v>
      </c>
      <c r="AE446" s="3" t="s">
        <v>37</v>
      </c>
      <c r="AF446" s="3" t="s">
        <v>37</v>
      </c>
    </row>
    <row r="447" spans="1:32" ht="12.5">
      <c r="E447" s="3"/>
      <c r="F447" s="3"/>
      <c r="G447" s="3"/>
      <c r="L447" s="3" t="s">
        <v>38</v>
      </c>
      <c r="M447" s="3">
        <v>24</v>
      </c>
      <c r="N447" s="3">
        <v>0</v>
      </c>
      <c r="O447" s="3">
        <v>2</v>
      </c>
      <c r="P447" s="3">
        <v>3</v>
      </c>
      <c r="Q447" s="3">
        <v>3</v>
      </c>
      <c r="R447" s="3">
        <v>0</v>
      </c>
      <c r="S447" s="3"/>
      <c r="T447" s="3">
        <v>0</v>
      </c>
      <c r="U447" s="3">
        <v>1.329E-2</v>
      </c>
      <c r="V447" s="3">
        <v>1.4239999999999999E-2</v>
      </c>
      <c r="W447" s="3">
        <v>0</v>
      </c>
      <c r="X447" s="3"/>
      <c r="AB447" s="3" t="str">
        <f t="shared" si="3"/>
        <v>___</v>
      </c>
      <c r="AC447" s="3" t="str">
        <f t="shared" si="2"/>
        <v>____</v>
      </c>
    </row>
    <row r="448" spans="1:32" ht="12.5">
      <c r="E448" s="3"/>
      <c r="F448" s="3"/>
      <c r="G448" s="3"/>
      <c r="L448" s="3" t="s">
        <v>39</v>
      </c>
      <c r="M448" s="3">
        <v>66</v>
      </c>
      <c r="N448" s="3">
        <v>0</v>
      </c>
      <c r="O448" s="3">
        <v>5</v>
      </c>
      <c r="P448" s="3">
        <v>2</v>
      </c>
      <c r="Q448" s="3">
        <v>2</v>
      </c>
      <c r="R448" s="3">
        <v>0</v>
      </c>
      <c r="S448" s="3"/>
      <c r="T448" s="3">
        <v>0</v>
      </c>
      <c r="U448" s="3">
        <v>5.9839999999999997E-2</v>
      </c>
      <c r="V448" s="3">
        <v>5.1139999999999998E-2</v>
      </c>
      <c r="W448" s="3">
        <v>0</v>
      </c>
      <c r="X448" s="3"/>
      <c r="AB448" s="3" t="str">
        <f t="shared" si="3"/>
        <v>___</v>
      </c>
      <c r="AC448" s="3" t="str">
        <f t="shared" si="2"/>
        <v>____</v>
      </c>
    </row>
    <row r="449" spans="1:32" ht="12.5">
      <c r="A449" s="12">
        <v>45488</v>
      </c>
      <c r="B449" s="3">
        <v>833</v>
      </c>
      <c r="C449" s="3">
        <v>24</v>
      </c>
      <c r="E449" s="3"/>
      <c r="F449" s="3"/>
      <c r="G449" s="3" t="s">
        <v>40</v>
      </c>
      <c r="H449" s="3">
        <v>3</v>
      </c>
      <c r="I449" s="4">
        <v>45544</v>
      </c>
      <c r="J449" s="4">
        <v>45360</v>
      </c>
      <c r="K449" s="3">
        <v>4</v>
      </c>
      <c r="L449" s="3" t="s">
        <v>36</v>
      </c>
      <c r="M449" s="3">
        <v>23</v>
      </c>
      <c r="N449" s="3">
        <v>5</v>
      </c>
      <c r="O449" s="3">
        <v>5</v>
      </c>
      <c r="R449" s="3">
        <v>0</v>
      </c>
      <c r="S449" s="3"/>
      <c r="T449" s="3">
        <v>1.9769999999999999E-2</v>
      </c>
      <c r="U449" s="3">
        <v>8.7600000000000004E-3</v>
      </c>
      <c r="V449" s="3">
        <v>0</v>
      </c>
      <c r="W449" s="3">
        <v>0</v>
      </c>
      <c r="X449" s="3"/>
      <c r="AB449" s="3" t="str">
        <f t="shared" si="3"/>
        <v>833_24__vm</v>
      </c>
      <c r="AC449" s="3" t="str">
        <f t="shared" si="2"/>
        <v>833_24__vm_3</v>
      </c>
      <c r="AE449" s="3" t="s">
        <v>37</v>
      </c>
      <c r="AF449" s="3" t="s">
        <v>37</v>
      </c>
    </row>
    <row r="450" spans="1:32" ht="12.5">
      <c r="E450" s="3"/>
      <c r="F450" s="3"/>
      <c r="G450" s="3"/>
      <c r="L450" s="3" t="s">
        <v>38</v>
      </c>
      <c r="M450" s="3">
        <v>20</v>
      </c>
      <c r="N450" s="3">
        <v>0</v>
      </c>
      <c r="O450" s="3">
        <v>3</v>
      </c>
      <c r="P450" s="3">
        <v>1</v>
      </c>
      <c r="Q450" s="3">
        <v>1</v>
      </c>
      <c r="R450" s="3">
        <v>0</v>
      </c>
      <c r="S450" s="3"/>
      <c r="T450" s="3">
        <v>0</v>
      </c>
      <c r="U450" s="3">
        <v>1.0800000000000001E-2</v>
      </c>
      <c r="V450" s="3">
        <v>1.491E-2</v>
      </c>
      <c r="W450" s="3">
        <v>0</v>
      </c>
      <c r="X450" s="3"/>
      <c r="AB450" s="3" t="str">
        <f t="shared" si="3"/>
        <v>___</v>
      </c>
      <c r="AC450" s="3" t="str">
        <f t="shared" si="2"/>
        <v>____</v>
      </c>
    </row>
    <row r="451" spans="1:32" ht="12.5">
      <c r="E451" s="3"/>
      <c r="F451" s="3"/>
      <c r="G451" s="3"/>
      <c r="L451" s="3" t="s">
        <v>39</v>
      </c>
      <c r="M451" s="3">
        <v>48</v>
      </c>
      <c r="N451" s="3">
        <v>0</v>
      </c>
      <c r="O451" s="3">
        <v>5</v>
      </c>
      <c r="P451" s="3">
        <v>4</v>
      </c>
      <c r="Q451" s="3">
        <v>4</v>
      </c>
      <c r="R451" s="3">
        <v>0</v>
      </c>
      <c r="S451" s="3"/>
      <c r="T451" s="3">
        <v>0</v>
      </c>
      <c r="U451" s="3">
        <v>0.1017</v>
      </c>
      <c r="V451" s="3">
        <v>0.40648000000000001</v>
      </c>
      <c r="W451" s="3">
        <v>0</v>
      </c>
      <c r="X451" s="3"/>
      <c r="AB451" s="3" t="str">
        <f t="shared" si="3"/>
        <v>___</v>
      </c>
      <c r="AC451" s="3" t="str">
        <f t="shared" si="2"/>
        <v>____</v>
      </c>
    </row>
    <row r="452" spans="1:32" ht="12.5">
      <c r="A452" s="12">
        <v>45488</v>
      </c>
      <c r="B452" s="3">
        <v>833</v>
      </c>
      <c r="C452" s="3">
        <v>24</v>
      </c>
      <c r="E452" s="3"/>
      <c r="F452" s="3"/>
      <c r="G452" s="3" t="s">
        <v>35</v>
      </c>
      <c r="H452" s="3">
        <v>1</v>
      </c>
      <c r="I452" s="4">
        <v>45336</v>
      </c>
      <c r="J452" s="3">
        <v>11</v>
      </c>
      <c r="K452" s="3">
        <v>4</v>
      </c>
      <c r="L452" s="3" t="s">
        <v>36</v>
      </c>
      <c r="M452" s="3">
        <v>33</v>
      </c>
      <c r="N452" s="3">
        <v>10</v>
      </c>
      <c r="O452" s="3">
        <v>12</v>
      </c>
      <c r="R452" s="3">
        <v>0</v>
      </c>
      <c r="S452" s="3"/>
      <c r="T452" s="3">
        <v>6.9669999999999996E-2</v>
      </c>
      <c r="U452" s="3">
        <v>9.7999999999999997E-3</v>
      </c>
      <c r="V452" s="3">
        <v>0</v>
      </c>
      <c r="W452" s="3">
        <v>0</v>
      </c>
      <c r="X452" s="3"/>
      <c r="AB452" s="3" t="str">
        <f t="shared" si="3"/>
        <v>833_24__vv</v>
      </c>
      <c r="AC452" s="3" t="str">
        <f t="shared" si="2"/>
        <v>833_24__vv_1</v>
      </c>
      <c r="AE452" s="3" t="s">
        <v>37</v>
      </c>
      <c r="AF452" s="3" t="s">
        <v>37</v>
      </c>
    </row>
    <row r="453" spans="1:32" ht="12.5">
      <c r="E453" s="3"/>
      <c r="F453" s="3"/>
      <c r="G453" s="3"/>
      <c r="L453" s="3" t="s">
        <v>38</v>
      </c>
      <c r="M453" s="3">
        <v>38</v>
      </c>
      <c r="N453" s="3">
        <v>5</v>
      </c>
      <c r="O453" s="3">
        <v>9</v>
      </c>
      <c r="R453" s="3">
        <v>0</v>
      </c>
      <c r="S453" s="3"/>
      <c r="T453" s="3">
        <v>1.6660000000000001E-2</v>
      </c>
      <c r="U453" s="3">
        <v>1.4449999999999999E-2</v>
      </c>
      <c r="V453" s="3">
        <v>0</v>
      </c>
      <c r="W453" s="3">
        <v>0</v>
      </c>
      <c r="X453" s="3"/>
      <c r="AB453" s="3" t="str">
        <f t="shared" si="3"/>
        <v>___</v>
      </c>
      <c r="AC453" s="3" t="str">
        <f t="shared" si="2"/>
        <v>____</v>
      </c>
    </row>
    <row r="454" spans="1:32" ht="12.5">
      <c r="E454" s="3"/>
      <c r="F454" s="3"/>
      <c r="G454" s="3"/>
      <c r="L454" s="3" t="s">
        <v>39</v>
      </c>
      <c r="M454" s="3">
        <v>29</v>
      </c>
      <c r="N454" s="3">
        <v>0</v>
      </c>
      <c r="O454" s="3">
        <v>3</v>
      </c>
      <c r="P454" s="3">
        <v>5</v>
      </c>
      <c r="Q454" s="3">
        <v>5</v>
      </c>
      <c r="R454" s="3">
        <v>0</v>
      </c>
      <c r="S454" s="3"/>
      <c r="T454" s="3">
        <v>0</v>
      </c>
      <c r="U454" s="3">
        <v>1.538E-2</v>
      </c>
      <c r="V454" s="3">
        <v>0</v>
      </c>
      <c r="W454" s="3">
        <v>0</v>
      </c>
      <c r="X454" s="3"/>
      <c r="AB454" s="3" t="str">
        <f t="shared" si="3"/>
        <v>___</v>
      </c>
      <c r="AC454" s="3" t="str">
        <f t="shared" si="2"/>
        <v>____</v>
      </c>
    </row>
    <row r="455" spans="1:32" ht="12.5">
      <c r="A455" s="12">
        <v>45488</v>
      </c>
      <c r="B455" s="3">
        <v>833</v>
      </c>
      <c r="C455" s="3">
        <v>24</v>
      </c>
      <c r="E455" s="3"/>
      <c r="F455" s="3"/>
      <c r="G455" s="3" t="s">
        <v>35</v>
      </c>
      <c r="H455" s="3">
        <v>2</v>
      </c>
      <c r="I455" s="4">
        <v>45421</v>
      </c>
      <c r="J455" s="4">
        <v>45547</v>
      </c>
      <c r="K455" s="3">
        <v>4</v>
      </c>
      <c r="L455" s="3" t="s">
        <v>36</v>
      </c>
      <c r="M455" s="3">
        <v>35</v>
      </c>
      <c r="N455" s="3">
        <v>11</v>
      </c>
      <c r="O455" s="3">
        <v>13</v>
      </c>
      <c r="R455" s="3">
        <v>0</v>
      </c>
      <c r="S455" s="3"/>
      <c r="T455" s="3">
        <v>5.491E-2</v>
      </c>
      <c r="U455" s="3">
        <v>9.41E-3</v>
      </c>
      <c r="V455" s="3">
        <v>0</v>
      </c>
      <c r="W455" s="3">
        <v>0</v>
      </c>
      <c r="X455" s="3"/>
      <c r="AB455" s="3" t="str">
        <f t="shared" si="3"/>
        <v>833_24__vv</v>
      </c>
      <c r="AC455" s="3" t="str">
        <f t="shared" si="2"/>
        <v>833_24__vv_2</v>
      </c>
      <c r="AE455" s="3" t="s">
        <v>37</v>
      </c>
      <c r="AF455" s="3" t="s">
        <v>37</v>
      </c>
    </row>
    <row r="456" spans="1:32" ht="12.5">
      <c r="E456" s="3"/>
      <c r="F456" s="3"/>
      <c r="G456" s="3"/>
      <c r="L456" s="3" t="s">
        <v>38</v>
      </c>
      <c r="M456" s="3">
        <v>32</v>
      </c>
      <c r="N456" s="3">
        <v>7</v>
      </c>
      <c r="O456" s="3">
        <v>11</v>
      </c>
      <c r="P456" s="3">
        <v>1</v>
      </c>
      <c r="Q456" s="3">
        <v>1</v>
      </c>
      <c r="R456" s="3">
        <v>0</v>
      </c>
      <c r="S456" s="3"/>
      <c r="T456" s="3">
        <v>5.7950000000000002E-2</v>
      </c>
      <c r="U456" s="3">
        <v>1.8880000000000001E-2</v>
      </c>
      <c r="V456" s="3">
        <v>1.8540000000000001E-2</v>
      </c>
      <c r="W456" s="3">
        <v>0</v>
      </c>
      <c r="X456" s="3"/>
      <c r="AB456" s="3" t="str">
        <f t="shared" si="3"/>
        <v>___</v>
      </c>
      <c r="AC456" s="3" t="str">
        <f t="shared" si="2"/>
        <v>____</v>
      </c>
    </row>
    <row r="457" spans="1:32" ht="12.5">
      <c r="E457" s="3"/>
      <c r="F457" s="3"/>
      <c r="G457" s="3"/>
      <c r="L457" s="3" t="s">
        <v>39</v>
      </c>
      <c r="M457" s="3">
        <v>30</v>
      </c>
      <c r="N457" s="3">
        <v>0</v>
      </c>
      <c r="O457" s="3">
        <v>9</v>
      </c>
      <c r="R457" s="3">
        <v>0</v>
      </c>
      <c r="S457" s="3"/>
      <c r="T457" s="3">
        <v>0</v>
      </c>
      <c r="U457" s="3">
        <v>1.538E-2</v>
      </c>
      <c r="V457" s="3">
        <v>0</v>
      </c>
      <c r="W457" s="3">
        <v>0</v>
      </c>
      <c r="X457" s="3"/>
      <c r="AB457" s="3" t="str">
        <f t="shared" si="3"/>
        <v>___</v>
      </c>
      <c r="AC457" s="3" t="str">
        <f t="shared" si="2"/>
        <v>____</v>
      </c>
    </row>
    <row r="458" spans="1:32" ht="12.5">
      <c r="A458" s="12">
        <v>45488</v>
      </c>
      <c r="B458" s="3">
        <v>833</v>
      </c>
      <c r="C458" s="3">
        <v>24</v>
      </c>
      <c r="E458" s="3"/>
      <c r="F458" s="3"/>
      <c r="G458" s="3" t="s">
        <v>35</v>
      </c>
      <c r="H458" s="3">
        <v>3</v>
      </c>
      <c r="I458" s="4">
        <v>45518</v>
      </c>
      <c r="J458" s="4">
        <v>45485</v>
      </c>
      <c r="K458" s="3">
        <v>3</v>
      </c>
      <c r="L458" s="3" t="s">
        <v>36</v>
      </c>
      <c r="M458" s="3">
        <v>45</v>
      </c>
      <c r="N458" s="3">
        <v>13</v>
      </c>
      <c r="O458" s="3">
        <v>16</v>
      </c>
      <c r="R458" s="3">
        <v>0</v>
      </c>
      <c r="S458" s="3"/>
      <c r="T458" s="3">
        <v>0.13124</v>
      </c>
      <c r="U458" s="3">
        <v>2.085E-2</v>
      </c>
      <c r="V458" s="3">
        <v>0</v>
      </c>
      <c r="W458" s="3">
        <v>0</v>
      </c>
      <c r="X458" s="3"/>
      <c r="AB458" s="3" t="str">
        <f t="shared" si="3"/>
        <v>833_24__vv</v>
      </c>
      <c r="AC458" s="3" t="str">
        <f t="shared" si="2"/>
        <v>833_24__vv_3</v>
      </c>
      <c r="AE458" s="3" t="s">
        <v>37</v>
      </c>
      <c r="AF458" s="3" t="s">
        <v>37</v>
      </c>
    </row>
    <row r="459" spans="1:32" ht="12.5">
      <c r="E459" s="3"/>
      <c r="F459" s="3"/>
      <c r="G459" s="3"/>
      <c r="L459" s="3" t="s">
        <v>38</v>
      </c>
      <c r="M459" s="3">
        <v>71</v>
      </c>
      <c r="N459" s="3">
        <v>9</v>
      </c>
      <c r="O459" s="3">
        <v>14</v>
      </c>
      <c r="P459" s="3">
        <v>1</v>
      </c>
      <c r="Q459" s="3">
        <v>1</v>
      </c>
      <c r="R459" s="3">
        <v>0</v>
      </c>
      <c r="S459" s="3"/>
      <c r="T459" s="3">
        <v>0.11304</v>
      </c>
      <c r="U459" s="3">
        <v>5.0139999999999997E-2</v>
      </c>
      <c r="V459" s="3">
        <v>1.8960000000000001E-2</v>
      </c>
      <c r="W459" s="3">
        <v>0</v>
      </c>
      <c r="X459" s="3"/>
      <c r="AB459" s="3" t="str">
        <f t="shared" si="3"/>
        <v>___</v>
      </c>
      <c r="AC459" s="3" t="str">
        <f t="shared" si="2"/>
        <v>____</v>
      </c>
    </row>
    <row r="460" spans="1:32" ht="12.5">
      <c r="E460" s="3"/>
      <c r="F460" s="3"/>
      <c r="G460" s="3"/>
      <c r="L460" s="3" t="s">
        <v>39</v>
      </c>
      <c r="M460" s="3">
        <v>34</v>
      </c>
      <c r="N460" s="3">
        <v>0</v>
      </c>
      <c r="O460" s="3">
        <v>6</v>
      </c>
      <c r="P460" s="3">
        <v>1</v>
      </c>
      <c r="Q460" s="3">
        <v>1</v>
      </c>
      <c r="R460" s="3">
        <v>0</v>
      </c>
      <c r="S460" s="3"/>
      <c r="T460" s="3">
        <v>0</v>
      </c>
      <c r="U460" s="3">
        <v>2.478E-2</v>
      </c>
      <c r="V460" s="3">
        <v>0.14679</v>
      </c>
      <c r="W460" s="3">
        <v>0</v>
      </c>
      <c r="X460" s="3"/>
      <c r="AB460" s="3" t="str">
        <f t="shared" si="3"/>
        <v>___</v>
      </c>
      <c r="AC460" s="3" t="str">
        <f t="shared" si="2"/>
        <v>____</v>
      </c>
    </row>
    <row r="461" spans="1:32" ht="12.5">
      <c r="A461" s="12">
        <v>45488</v>
      </c>
      <c r="B461" s="6">
        <v>833</v>
      </c>
      <c r="C461" s="6">
        <v>35</v>
      </c>
      <c r="E461" s="3"/>
      <c r="F461" s="3"/>
      <c r="G461" s="3" t="s">
        <v>35</v>
      </c>
      <c r="H461" s="3">
        <v>1</v>
      </c>
      <c r="I461" s="4">
        <v>45296</v>
      </c>
      <c r="J461" s="4">
        <v>45387</v>
      </c>
      <c r="K461" s="3">
        <v>4</v>
      </c>
      <c r="L461" s="3" t="s">
        <v>36</v>
      </c>
      <c r="M461" s="3">
        <v>14</v>
      </c>
      <c r="N461" s="3">
        <v>11</v>
      </c>
      <c r="O461" s="3">
        <v>11</v>
      </c>
      <c r="R461" s="3">
        <v>0</v>
      </c>
      <c r="S461" s="3"/>
      <c r="T461" s="3">
        <v>6.5339999999999995E-2</v>
      </c>
      <c r="U461" s="3">
        <v>4.2700000000000004E-3</v>
      </c>
      <c r="V461" s="3">
        <v>0</v>
      </c>
      <c r="W461" s="3">
        <v>0</v>
      </c>
      <c r="X461" s="3"/>
      <c r="AB461" s="3" t="str">
        <f t="shared" si="3"/>
        <v>833_35__vv</v>
      </c>
      <c r="AC461" s="3" t="str">
        <f t="shared" si="2"/>
        <v>833_35__vv_1</v>
      </c>
      <c r="AE461" s="3" t="s">
        <v>37</v>
      </c>
      <c r="AF461" s="3" t="s">
        <v>37</v>
      </c>
    </row>
    <row r="462" spans="1:32" ht="12.5">
      <c r="E462" s="3"/>
      <c r="F462" s="3"/>
      <c r="G462" s="3"/>
      <c r="L462" s="3" t="s">
        <v>38</v>
      </c>
      <c r="M462" s="3">
        <v>21</v>
      </c>
      <c r="N462" s="3">
        <v>6</v>
      </c>
      <c r="O462" s="3">
        <v>10</v>
      </c>
      <c r="R462" s="3">
        <v>0</v>
      </c>
      <c r="S462" s="3"/>
      <c r="T462" s="3">
        <v>5.3409999999999999E-2</v>
      </c>
      <c r="U462" s="3">
        <v>1.235E-2</v>
      </c>
      <c r="V462" s="3">
        <v>0</v>
      </c>
      <c r="W462" s="3">
        <v>0</v>
      </c>
      <c r="X462" s="3"/>
      <c r="AB462" s="3" t="str">
        <f t="shared" si="3"/>
        <v>___</v>
      </c>
      <c r="AC462" s="3" t="str">
        <f t="shared" si="2"/>
        <v>____</v>
      </c>
    </row>
    <row r="463" spans="1:32" ht="12.5">
      <c r="E463" s="3"/>
      <c r="F463" s="3"/>
      <c r="G463" s="3"/>
      <c r="L463" s="3" t="s">
        <v>39</v>
      </c>
      <c r="M463" s="3">
        <v>20</v>
      </c>
      <c r="N463" s="3">
        <v>0</v>
      </c>
      <c r="O463" s="3">
        <v>13</v>
      </c>
      <c r="R463" s="3">
        <v>0</v>
      </c>
      <c r="S463" s="3"/>
      <c r="T463" s="3">
        <v>0</v>
      </c>
      <c r="U463" s="3">
        <v>8.5699999999999995E-3</v>
      </c>
      <c r="V463" s="3">
        <v>0</v>
      </c>
      <c r="W463" s="3">
        <v>0</v>
      </c>
      <c r="X463" s="3"/>
      <c r="AB463" s="3" t="str">
        <f t="shared" si="3"/>
        <v>___</v>
      </c>
      <c r="AC463" s="3" t="str">
        <f t="shared" si="2"/>
        <v>____</v>
      </c>
    </row>
    <row r="464" spans="1:32" ht="12.5">
      <c r="A464" s="12">
        <v>45488</v>
      </c>
      <c r="B464" s="3">
        <v>833</v>
      </c>
      <c r="C464" s="3">
        <v>35</v>
      </c>
      <c r="E464" s="3"/>
      <c r="F464" s="3"/>
      <c r="G464" s="3" t="s">
        <v>35</v>
      </c>
      <c r="H464" s="3">
        <v>2</v>
      </c>
      <c r="I464" s="3">
        <v>6</v>
      </c>
      <c r="J464" s="4">
        <v>45298</v>
      </c>
      <c r="K464" s="3">
        <v>5</v>
      </c>
      <c r="L464" s="3" t="s">
        <v>36</v>
      </c>
      <c r="M464" s="3">
        <v>9</v>
      </c>
      <c r="N464" s="3">
        <v>9</v>
      </c>
      <c r="O464" s="3">
        <v>10</v>
      </c>
      <c r="R464" s="3">
        <v>0</v>
      </c>
      <c r="S464" s="3"/>
      <c r="T464" s="3">
        <v>1.857E-2</v>
      </c>
      <c r="U464" s="3">
        <v>1.47E-3</v>
      </c>
      <c r="V464" s="3">
        <v>0</v>
      </c>
      <c r="W464" s="3">
        <v>0</v>
      </c>
      <c r="X464" s="3"/>
      <c r="AB464" s="3" t="str">
        <f t="shared" si="3"/>
        <v>833_35__vv</v>
      </c>
      <c r="AC464" s="3" t="str">
        <f t="shared" si="2"/>
        <v>833_35__vv_2</v>
      </c>
      <c r="AE464" s="3" t="s">
        <v>37</v>
      </c>
      <c r="AF464" s="3" t="s">
        <v>37</v>
      </c>
    </row>
    <row r="465" spans="1:32" ht="12.5">
      <c r="E465" s="3"/>
      <c r="F465" s="3"/>
      <c r="G465" s="3"/>
      <c r="L465" s="3" t="s">
        <v>38</v>
      </c>
      <c r="M465" s="3">
        <v>6</v>
      </c>
      <c r="N465" s="3">
        <v>6</v>
      </c>
      <c r="O465" s="3">
        <v>8</v>
      </c>
      <c r="R465" s="3">
        <v>0</v>
      </c>
      <c r="S465" s="3"/>
      <c r="T465" s="3">
        <v>2.0729999999999998E-2</v>
      </c>
      <c r="U465" s="3">
        <v>1.56E-3</v>
      </c>
      <c r="V465" s="3">
        <v>0</v>
      </c>
      <c r="W465" s="3">
        <v>0</v>
      </c>
      <c r="X465" s="3"/>
      <c r="AB465" s="3" t="str">
        <f t="shared" si="3"/>
        <v>___</v>
      </c>
      <c r="AC465" s="3" t="str">
        <f t="shared" si="2"/>
        <v>____</v>
      </c>
    </row>
    <row r="466" spans="1:32" ht="12.5">
      <c r="E466" s="3"/>
      <c r="F466" s="3"/>
      <c r="G466" s="3"/>
      <c r="L466" s="3" t="s">
        <v>39</v>
      </c>
      <c r="M466" s="3">
        <v>14</v>
      </c>
      <c r="N466" s="3">
        <v>6</v>
      </c>
      <c r="O466" s="3">
        <v>12</v>
      </c>
      <c r="P466" s="3">
        <v>3</v>
      </c>
      <c r="Q466" s="3">
        <v>2</v>
      </c>
      <c r="R466" s="3">
        <v>2</v>
      </c>
      <c r="S466" s="3"/>
      <c r="T466" s="3">
        <v>7.1220000000000006E-2</v>
      </c>
      <c r="U466" s="3">
        <v>1.0200000000000001E-2</v>
      </c>
      <c r="V466" s="3">
        <v>0</v>
      </c>
      <c r="W466" s="3">
        <v>1.2370000000000001E-2</v>
      </c>
      <c r="X466" s="3"/>
      <c r="Y466" s="3"/>
      <c r="Z466" s="3" t="s">
        <v>77</v>
      </c>
      <c r="AB466" s="3" t="str">
        <f t="shared" si="3"/>
        <v>___</v>
      </c>
      <c r="AC466" s="3" t="str">
        <f t="shared" si="2"/>
        <v>____</v>
      </c>
    </row>
    <row r="467" spans="1:32" ht="12.5">
      <c r="A467" s="12">
        <v>45488</v>
      </c>
      <c r="B467" s="3">
        <v>833</v>
      </c>
      <c r="C467" s="3">
        <v>35</v>
      </c>
      <c r="E467" s="3"/>
      <c r="F467" s="3"/>
      <c r="G467" s="3" t="s">
        <v>35</v>
      </c>
      <c r="H467" s="3">
        <v>3</v>
      </c>
      <c r="I467" s="3">
        <v>2</v>
      </c>
      <c r="J467" s="4">
        <v>45416</v>
      </c>
      <c r="K467" s="3">
        <v>3</v>
      </c>
      <c r="L467" s="3" t="s">
        <v>36</v>
      </c>
      <c r="M467" s="3">
        <v>7</v>
      </c>
      <c r="N467" s="3">
        <v>7</v>
      </c>
      <c r="O467" s="3">
        <v>7</v>
      </c>
      <c r="R467" s="3">
        <v>0</v>
      </c>
      <c r="S467" s="3"/>
      <c r="T467" s="3">
        <v>2.265E-2</v>
      </c>
      <c r="U467" s="3">
        <v>1.01E-3</v>
      </c>
      <c r="V467" s="3">
        <v>0</v>
      </c>
      <c r="W467" s="3">
        <v>0</v>
      </c>
      <c r="X467" s="3"/>
      <c r="AB467" s="3" t="str">
        <f t="shared" si="3"/>
        <v>833_35__vv</v>
      </c>
      <c r="AC467" s="3" t="str">
        <f t="shared" si="2"/>
        <v>833_35__vv_3</v>
      </c>
      <c r="AE467" s="3" t="s">
        <v>37</v>
      </c>
      <c r="AF467" s="3" t="s">
        <v>37</v>
      </c>
    </row>
    <row r="468" spans="1:32" ht="12.5">
      <c r="E468" s="3"/>
      <c r="F468" s="3"/>
      <c r="G468" s="3"/>
      <c r="L468" s="3" t="s">
        <v>38</v>
      </c>
      <c r="M468" s="3">
        <v>10</v>
      </c>
      <c r="N468" s="3">
        <v>6</v>
      </c>
      <c r="O468" s="3">
        <v>7</v>
      </c>
      <c r="R468" s="3">
        <v>0</v>
      </c>
      <c r="S468" s="3"/>
      <c r="T468" s="3">
        <v>2.4879999999999999E-2</v>
      </c>
      <c r="U468" s="3">
        <v>2.7799999999999999E-3</v>
      </c>
      <c r="V468" s="3">
        <v>0</v>
      </c>
      <c r="W468" s="3">
        <v>0</v>
      </c>
      <c r="X468" s="3"/>
      <c r="AB468" s="3" t="str">
        <f t="shared" si="3"/>
        <v>___</v>
      </c>
      <c r="AC468" s="3" t="str">
        <f t="shared" si="2"/>
        <v>____</v>
      </c>
    </row>
    <row r="469" spans="1:32" ht="12.5">
      <c r="E469" s="3"/>
      <c r="F469" s="3"/>
      <c r="G469" s="3"/>
      <c r="L469" s="3" t="s">
        <v>39</v>
      </c>
      <c r="M469" s="3">
        <v>34</v>
      </c>
      <c r="N469" s="3">
        <v>0</v>
      </c>
      <c r="O469" s="3">
        <v>9</v>
      </c>
      <c r="P469" s="3">
        <v>1</v>
      </c>
      <c r="Q469" s="3">
        <v>1</v>
      </c>
      <c r="R469" s="3">
        <v>0</v>
      </c>
      <c r="S469" s="3"/>
      <c r="T469" s="3">
        <v>0</v>
      </c>
      <c r="U469" s="3">
        <v>8.9300000000000004E-3</v>
      </c>
      <c r="V469" s="3">
        <v>4.5100000000000001E-3</v>
      </c>
      <c r="W469" s="3">
        <v>0</v>
      </c>
      <c r="X469" s="3"/>
      <c r="AB469" s="3" t="str">
        <f t="shared" si="3"/>
        <v>___</v>
      </c>
      <c r="AC469" s="3" t="str">
        <f t="shared" si="2"/>
        <v>____</v>
      </c>
    </row>
    <row r="470" spans="1:32" ht="12.5">
      <c r="A470" s="12">
        <v>45488</v>
      </c>
      <c r="B470" s="6">
        <v>833</v>
      </c>
      <c r="C470" s="6">
        <v>44</v>
      </c>
      <c r="E470" s="3"/>
      <c r="F470" s="3"/>
      <c r="G470" s="3" t="s">
        <v>35</v>
      </c>
      <c r="H470" s="3">
        <v>1</v>
      </c>
      <c r="I470" s="3">
        <v>7</v>
      </c>
      <c r="J470" s="4">
        <v>45328</v>
      </c>
      <c r="K470" s="3">
        <v>3</v>
      </c>
      <c r="L470" s="3" t="s">
        <v>36</v>
      </c>
      <c r="M470" s="3">
        <v>18</v>
      </c>
      <c r="N470" s="3">
        <v>10</v>
      </c>
      <c r="O470" s="3">
        <v>11</v>
      </c>
      <c r="R470" s="3">
        <v>0</v>
      </c>
      <c r="S470" s="3"/>
      <c r="T470" s="3">
        <v>3.4700000000000002E-2</v>
      </c>
      <c r="U470" s="3">
        <v>3.7499999999999999E-3</v>
      </c>
      <c r="V470" s="3">
        <v>0</v>
      </c>
      <c r="W470" s="3">
        <v>0</v>
      </c>
      <c r="X470" s="3"/>
      <c r="AB470" s="3" t="str">
        <f t="shared" si="3"/>
        <v>833_44__vv</v>
      </c>
      <c r="AC470" s="3" t="str">
        <f t="shared" si="2"/>
        <v>833_44__vv_1</v>
      </c>
      <c r="AE470" s="3" t="s">
        <v>37</v>
      </c>
      <c r="AF470" s="3" t="s">
        <v>37</v>
      </c>
    </row>
    <row r="471" spans="1:32" ht="12.5">
      <c r="E471" s="3"/>
      <c r="F471" s="3"/>
      <c r="G471" s="3"/>
      <c r="L471" s="3" t="s">
        <v>38</v>
      </c>
      <c r="M471" s="3">
        <v>17</v>
      </c>
      <c r="N471" s="3">
        <v>6</v>
      </c>
      <c r="O471" s="3">
        <v>8</v>
      </c>
      <c r="R471" s="3">
        <v>0</v>
      </c>
      <c r="S471" s="3"/>
      <c r="T471" s="3">
        <v>3.2669999999999998E-2</v>
      </c>
      <c r="U471" s="3">
        <v>5.1799999999999997E-3</v>
      </c>
      <c r="V471" s="3">
        <v>0</v>
      </c>
      <c r="W471" s="3">
        <v>0</v>
      </c>
      <c r="X471" s="3"/>
      <c r="AB471" s="3" t="str">
        <f t="shared" si="3"/>
        <v>___</v>
      </c>
      <c r="AC471" s="3" t="str">
        <f t="shared" si="2"/>
        <v>____</v>
      </c>
    </row>
    <row r="472" spans="1:32" ht="12.5">
      <c r="E472" s="3"/>
      <c r="F472" s="3"/>
      <c r="G472" s="3"/>
      <c r="L472" s="3" t="s">
        <v>39</v>
      </c>
      <c r="M472" s="3">
        <v>35</v>
      </c>
      <c r="N472" s="3">
        <v>4</v>
      </c>
      <c r="O472" s="3">
        <v>8</v>
      </c>
      <c r="P472" s="3">
        <v>2</v>
      </c>
      <c r="Q472" s="3">
        <v>2</v>
      </c>
      <c r="R472" s="3">
        <v>0</v>
      </c>
      <c r="S472" s="3"/>
      <c r="T472" s="3">
        <v>2.2370000000000001E-2</v>
      </c>
      <c r="U472" s="3">
        <v>1.8589999999999999E-2</v>
      </c>
      <c r="V472" s="3">
        <v>6.0940000000000001E-2</v>
      </c>
      <c r="W472" s="3">
        <v>0</v>
      </c>
      <c r="X472" s="3"/>
      <c r="AB472" s="3" t="str">
        <f t="shared" si="3"/>
        <v>___</v>
      </c>
      <c r="AC472" s="3" t="str">
        <f t="shared" si="2"/>
        <v>____</v>
      </c>
    </row>
    <row r="473" spans="1:32" ht="12.5">
      <c r="A473" s="12">
        <v>45488</v>
      </c>
      <c r="B473" s="3">
        <v>833</v>
      </c>
      <c r="C473" s="3">
        <v>44</v>
      </c>
      <c r="E473" s="3"/>
      <c r="F473" s="3"/>
      <c r="G473" s="3" t="s">
        <v>35</v>
      </c>
      <c r="H473" s="3">
        <v>2</v>
      </c>
      <c r="I473" s="4">
        <v>45330</v>
      </c>
      <c r="J473" s="4">
        <v>45419</v>
      </c>
      <c r="K473" s="3">
        <v>3</v>
      </c>
      <c r="L473" s="3" t="s">
        <v>36</v>
      </c>
      <c r="M473" s="3">
        <v>20</v>
      </c>
      <c r="N473" s="3">
        <v>11</v>
      </c>
      <c r="O473" s="3">
        <v>13</v>
      </c>
      <c r="R473" s="3">
        <v>0</v>
      </c>
      <c r="S473" s="3"/>
      <c r="T473" s="3">
        <v>4.6940000000000003E-2</v>
      </c>
      <c r="U473" s="3">
        <v>4.2500000000000003E-3</v>
      </c>
      <c r="V473" s="3">
        <v>0</v>
      </c>
      <c r="W473" s="3">
        <v>0</v>
      </c>
      <c r="X473" s="3"/>
      <c r="AB473" s="3" t="str">
        <f t="shared" si="3"/>
        <v>833_44__vv</v>
      </c>
      <c r="AC473" s="3" t="str">
        <f t="shared" si="2"/>
        <v>833_44__vv_2</v>
      </c>
      <c r="AE473" s="3" t="s">
        <v>37</v>
      </c>
      <c r="AF473" s="3" t="s">
        <v>37</v>
      </c>
    </row>
    <row r="474" spans="1:32" ht="12.5">
      <c r="E474" s="3"/>
      <c r="F474" s="3"/>
      <c r="G474" s="3"/>
      <c r="L474" s="3" t="s">
        <v>38</v>
      </c>
      <c r="M474" s="3">
        <v>22</v>
      </c>
      <c r="N474" s="3">
        <v>11</v>
      </c>
      <c r="O474" s="3">
        <v>13</v>
      </c>
      <c r="P474" s="3">
        <v>1</v>
      </c>
      <c r="Q474" s="3">
        <v>1</v>
      </c>
      <c r="R474" s="3">
        <v>0</v>
      </c>
      <c r="S474" s="3"/>
      <c r="T474" s="3">
        <v>8.8910000000000003E-2</v>
      </c>
      <c r="U474" s="3">
        <v>1.0670000000000001E-2</v>
      </c>
      <c r="V474" s="3">
        <v>3.2750000000000001E-2</v>
      </c>
      <c r="W474" s="3">
        <v>0</v>
      </c>
      <c r="X474" s="3"/>
      <c r="AB474" s="3" t="str">
        <f t="shared" si="3"/>
        <v>___</v>
      </c>
      <c r="AC474" s="3" t="str">
        <f t="shared" si="2"/>
        <v>____</v>
      </c>
    </row>
    <row r="475" spans="1:32" ht="12.5">
      <c r="E475" s="3"/>
      <c r="F475" s="3"/>
      <c r="G475" s="3"/>
      <c r="L475" s="3" t="s">
        <v>39</v>
      </c>
      <c r="M475" s="3">
        <v>35</v>
      </c>
      <c r="N475" s="3">
        <v>6</v>
      </c>
      <c r="O475" s="3">
        <v>15</v>
      </c>
      <c r="R475" s="3">
        <v>0</v>
      </c>
      <c r="S475" s="3"/>
      <c r="T475" s="3">
        <v>3.8940000000000002E-2</v>
      </c>
      <c r="U475" s="3">
        <v>1.8689999999999998E-2</v>
      </c>
      <c r="V475" s="3">
        <v>0</v>
      </c>
      <c r="W475" s="3">
        <v>0</v>
      </c>
      <c r="X475" s="3"/>
      <c r="AB475" s="3" t="str">
        <f t="shared" si="3"/>
        <v>___</v>
      </c>
      <c r="AC475" s="3" t="str">
        <f t="shared" si="2"/>
        <v>____</v>
      </c>
    </row>
    <row r="476" spans="1:32" ht="12.5">
      <c r="A476" s="12">
        <v>45488</v>
      </c>
      <c r="B476" s="3">
        <v>833</v>
      </c>
      <c r="C476" s="3">
        <v>44</v>
      </c>
      <c r="E476" s="3"/>
      <c r="F476" s="3"/>
      <c r="G476" s="3" t="s">
        <v>35</v>
      </c>
      <c r="H476" s="3">
        <v>3</v>
      </c>
      <c r="I476" s="4">
        <v>45511</v>
      </c>
      <c r="J476" s="4">
        <v>45480</v>
      </c>
      <c r="K476" s="3">
        <v>6</v>
      </c>
      <c r="L476" s="3" t="s">
        <v>36</v>
      </c>
      <c r="M476" s="3">
        <v>14</v>
      </c>
      <c r="N476" s="3">
        <v>8</v>
      </c>
      <c r="O476" s="3">
        <v>10</v>
      </c>
      <c r="R476" s="3">
        <v>0</v>
      </c>
      <c r="S476" s="3"/>
      <c r="T476" s="3">
        <v>3.3860000000000001E-2</v>
      </c>
      <c r="U476" s="3">
        <v>2.99E-3</v>
      </c>
      <c r="V476" s="3">
        <v>0</v>
      </c>
      <c r="W476" s="3">
        <v>0</v>
      </c>
      <c r="X476" s="3"/>
      <c r="AB476" s="3" t="str">
        <f t="shared" si="3"/>
        <v>833_44__vv</v>
      </c>
      <c r="AC476" s="3" t="str">
        <f t="shared" si="2"/>
        <v>833_44__vv_3</v>
      </c>
      <c r="AE476" s="3" t="s">
        <v>37</v>
      </c>
      <c r="AF476" s="3" t="s">
        <v>37</v>
      </c>
    </row>
    <row r="477" spans="1:32" ht="12.5">
      <c r="E477" s="3"/>
      <c r="F477" s="3"/>
      <c r="G477" s="3"/>
      <c r="L477" s="3" t="s">
        <v>38</v>
      </c>
      <c r="M477" s="3">
        <v>14</v>
      </c>
      <c r="N477" s="3">
        <v>9</v>
      </c>
      <c r="O477" s="3">
        <v>10</v>
      </c>
      <c r="R477" s="3">
        <v>0</v>
      </c>
      <c r="S477" s="3"/>
      <c r="T477" s="3">
        <v>4.1079999999999998E-2</v>
      </c>
      <c r="U477" s="3">
        <v>4.5500000000000002E-3</v>
      </c>
      <c r="V477" s="3">
        <v>0</v>
      </c>
      <c r="W477" s="3">
        <v>0</v>
      </c>
      <c r="X477" s="3"/>
      <c r="AB477" s="3" t="str">
        <f t="shared" si="3"/>
        <v>___</v>
      </c>
      <c r="AC477" s="3" t="str">
        <f t="shared" si="2"/>
        <v>____</v>
      </c>
    </row>
    <row r="478" spans="1:32" ht="12.5">
      <c r="E478" s="3"/>
      <c r="F478" s="3"/>
      <c r="G478" s="3"/>
      <c r="L478" s="3" t="s">
        <v>39</v>
      </c>
      <c r="M478" s="3">
        <v>11</v>
      </c>
      <c r="N478" s="3">
        <v>7</v>
      </c>
      <c r="O478" s="3">
        <v>8</v>
      </c>
      <c r="R478" s="3">
        <v>0</v>
      </c>
      <c r="S478" s="3"/>
      <c r="T478" s="3">
        <v>2.6329999999999999E-2</v>
      </c>
      <c r="U478" s="3">
        <v>4.1599999999999996E-3</v>
      </c>
      <c r="V478" s="3">
        <v>0</v>
      </c>
      <c r="W478" s="3">
        <v>0</v>
      </c>
      <c r="X478" s="3"/>
      <c r="AB478" s="3" t="str">
        <f t="shared" si="3"/>
        <v>___</v>
      </c>
      <c r="AC478" s="3" t="str">
        <f t="shared" si="2"/>
        <v>____</v>
      </c>
    </row>
    <row r="479" spans="1:32" ht="12.5">
      <c r="A479" s="12">
        <v>45488</v>
      </c>
      <c r="B479" s="6">
        <v>833</v>
      </c>
      <c r="C479" s="6">
        <v>46</v>
      </c>
      <c r="E479" s="3"/>
      <c r="F479" s="3"/>
      <c r="G479" s="3" t="s">
        <v>35</v>
      </c>
      <c r="H479" s="3">
        <v>1</v>
      </c>
      <c r="I479" s="4">
        <v>45307</v>
      </c>
      <c r="J479" s="4">
        <v>45456</v>
      </c>
      <c r="K479" s="3">
        <v>5</v>
      </c>
      <c r="L479" s="3" t="s">
        <v>36</v>
      </c>
      <c r="M479" s="3">
        <v>17</v>
      </c>
      <c r="N479" s="3">
        <v>9</v>
      </c>
      <c r="O479" s="3">
        <v>9</v>
      </c>
      <c r="R479" s="3">
        <v>0</v>
      </c>
      <c r="S479" s="3"/>
      <c r="T479" s="3">
        <v>2.869E-2</v>
      </c>
      <c r="U479" s="3">
        <v>3.31E-3</v>
      </c>
      <c r="V479" s="3">
        <v>0</v>
      </c>
      <c r="W479" s="3">
        <v>0</v>
      </c>
      <c r="X479" s="3"/>
      <c r="AB479" s="3" t="str">
        <f t="shared" si="3"/>
        <v>833_46__vv</v>
      </c>
      <c r="AC479" s="3" t="str">
        <f t="shared" si="2"/>
        <v>833_46__vv_1</v>
      </c>
      <c r="AE479" s="3" t="s">
        <v>37</v>
      </c>
      <c r="AF479" s="3" t="s">
        <v>37</v>
      </c>
    </row>
    <row r="480" spans="1:32" ht="12.5">
      <c r="E480" s="3"/>
      <c r="F480" s="3"/>
      <c r="G480" s="3"/>
      <c r="L480" s="3" t="s">
        <v>38</v>
      </c>
      <c r="M480" s="3">
        <v>44</v>
      </c>
      <c r="N480" s="3">
        <v>7</v>
      </c>
      <c r="O480" s="3">
        <v>11</v>
      </c>
      <c r="R480" s="3">
        <v>0</v>
      </c>
      <c r="S480" s="3"/>
      <c r="T480" s="3">
        <v>7.5950000000000004E-2</v>
      </c>
      <c r="U480" s="3">
        <v>1.8790000000000001E-2</v>
      </c>
      <c r="V480" s="3">
        <v>0</v>
      </c>
      <c r="W480" s="3">
        <v>0</v>
      </c>
      <c r="X480" s="3"/>
      <c r="AB480" s="3" t="str">
        <f t="shared" si="3"/>
        <v>___</v>
      </c>
      <c r="AC480" s="3" t="str">
        <f t="shared" si="2"/>
        <v>____</v>
      </c>
    </row>
    <row r="481" spans="1:32" ht="12.5">
      <c r="E481" s="3"/>
      <c r="F481" s="3"/>
      <c r="G481" s="3"/>
      <c r="L481" s="3" t="s">
        <v>39</v>
      </c>
      <c r="M481" s="3">
        <v>29</v>
      </c>
      <c r="N481" s="3">
        <v>10</v>
      </c>
      <c r="O481" s="3">
        <v>4</v>
      </c>
      <c r="P481" s="3">
        <v>1</v>
      </c>
      <c r="Q481" s="3">
        <v>1</v>
      </c>
      <c r="R481" s="3">
        <v>0</v>
      </c>
      <c r="S481" s="3"/>
      <c r="T481" s="3">
        <v>5.7860000000000002E-2</v>
      </c>
      <c r="U481" s="3">
        <v>1.9040000000000001E-2</v>
      </c>
      <c r="V481" s="3">
        <v>7.2000000000000005E-4</v>
      </c>
      <c r="W481" s="3">
        <v>0</v>
      </c>
      <c r="X481" s="3"/>
      <c r="AB481" s="3" t="str">
        <f t="shared" si="3"/>
        <v>___</v>
      </c>
      <c r="AC481" s="3" t="str">
        <f t="shared" si="2"/>
        <v>____</v>
      </c>
    </row>
    <row r="482" spans="1:32" ht="12.5">
      <c r="A482" s="12">
        <v>45488</v>
      </c>
      <c r="B482" s="3">
        <v>833</v>
      </c>
      <c r="C482" s="3">
        <v>46</v>
      </c>
      <c r="E482" s="3"/>
      <c r="F482" s="3"/>
      <c r="G482" s="3" t="s">
        <v>35</v>
      </c>
      <c r="H482" s="3">
        <v>2</v>
      </c>
      <c r="I482" s="4">
        <v>45366</v>
      </c>
      <c r="J482" s="4">
        <v>45335</v>
      </c>
      <c r="K482" s="3">
        <v>5</v>
      </c>
      <c r="L482" s="3" t="s">
        <v>36</v>
      </c>
      <c r="M482" s="3">
        <v>20</v>
      </c>
      <c r="N482" s="3">
        <v>12</v>
      </c>
      <c r="O482" s="3">
        <v>14</v>
      </c>
      <c r="R482" s="3">
        <v>0</v>
      </c>
      <c r="S482" s="3"/>
      <c r="T482" s="3">
        <v>3.8080000000000003E-2</v>
      </c>
      <c r="U482" s="3">
        <v>4.62E-3</v>
      </c>
      <c r="V482" s="3">
        <v>0</v>
      </c>
      <c r="W482" s="3">
        <v>0</v>
      </c>
      <c r="X482" s="3"/>
      <c r="AB482" s="3" t="str">
        <f t="shared" si="3"/>
        <v>833_46__vv</v>
      </c>
      <c r="AC482" s="3" t="str">
        <f t="shared" si="2"/>
        <v>833_46__vv_2</v>
      </c>
      <c r="AE482" s="3" t="s">
        <v>37</v>
      </c>
      <c r="AF482" s="3" t="s">
        <v>37</v>
      </c>
    </row>
    <row r="483" spans="1:32" ht="12.5">
      <c r="E483" s="3"/>
      <c r="F483" s="3"/>
      <c r="G483" s="3"/>
      <c r="L483" s="3" t="s">
        <v>38</v>
      </c>
      <c r="M483" s="3">
        <v>30</v>
      </c>
      <c r="N483" s="3">
        <v>10</v>
      </c>
      <c r="O483" s="3">
        <v>13</v>
      </c>
      <c r="R483" s="3">
        <v>0</v>
      </c>
      <c r="S483" s="3"/>
      <c r="T483" s="3">
        <v>6.3380000000000006E-2</v>
      </c>
      <c r="U483" s="3">
        <v>1.4630000000000001E-2</v>
      </c>
      <c r="V483" s="3">
        <v>0</v>
      </c>
      <c r="W483" s="3">
        <v>0</v>
      </c>
      <c r="X483" s="3"/>
      <c r="AB483" s="3" t="str">
        <f t="shared" si="3"/>
        <v>___</v>
      </c>
      <c r="AC483" s="3" t="str">
        <f t="shared" si="2"/>
        <v>____</v>
      </c>
    </row>
    <row r="484" spans="1:32" ht="12.5">
      <c r="E484" s="3"/>
      <c r="F484" s="3"/>
      <c r="G484" s="3"/>
      <c r="L484" s="3" t="s">
        <v>39</v>
      </c>
      <c r="M484" s="3">
        <v>30</v>
      </c>
      <c r="N484" s="3">
        <v>7</v>
      </c>
      <c r="O484" s="3">
        <v>10</v>
      </c>
      <c r="R484" s="3">
        <v>0</v>
      </c>
      <c r="S484" s="3"/>
      <c r="T484" s="3">
        <v>5.7340000000000002E-2</v>
      </c>
      <c r="U484" s="3">
        <v>2.026E-2</v>
      </c>
      <c r="V484" s="3">
        <v>0</v>
      </c>
      <c r="W484" s="3">
        <v>0</v>
      </c>
      <c r="X484" s="3"/>
      <c r="AB484" s="3" t="str">
        <f t="shared" si="3"/>
        <v>___</v>
      </c>
      <c r="AC484" s="3" t="str">
        <f t="shared" si="2"/>
        <v>____</v>
      </c>
    </row>
    <row r="485" spans="1:32" ht="12.5">
      <c r="A485" s="12">
        <v>45488</v>
      </c>
      <c r="B485" s="3">
        <v>833</v>
      </c>
      <c r="C485" s="3">
        <v>46</v>
      </c>
      <c r="E485" s="3"/>
      <c r="F485" s="3"/>
      <c r="G485" s="3" t="s">
        <v>35</v>
      </c>
      <c r="H485" s="3">
        <v>3</v>
      </c>
      <c r="I485" s="4">
        <v>45427</v>
      </c>
      <c r="J485" s="4">
        <v>45487</v>
      </c>
      <c r="K485" s="3">
        <v>4</v>
      </c>
      <c r="L485" s="3" t="s">
        <v>36</v>
      </c>
      <c r="M485" s="3">
        <v>37</v>
      </c>
      <c r="N485" s="3">
        <v>11</v>
      </c>
      <c r="O485" s="3">
        <v>11</v>
      </c>
      <c r="R485" s="3">
        <v>0</v>
      </c>
      <c r="S485" s="3"/>
      <c r="T485" s="3">
        <v>8.2809999999999995E-2</v>
      </c>
      <c r="U485" s="3">
        <v>1.158E-2</v>
      </c>
      <c r="V485" s="3">
        <v>0</v>
      </c>
      <c r="W485" s="3">
        <v>0</v>
      </c>
      <c r="X485" s="3"/>
      <c r="AB485" s="3" t="str">
        <f t="shared" si="3"/>
        <v>833_46__vv</v>
      </c>
      <c r="AC485" s="3" t="str">
        <f t="shared" si="2"/>
        <v>833_46__vv_3</v>
      </c>
      <c r="AE485" s="3" t="s">
        <v>37</v>
      </c>
      <c r="AF485" s="3" t="s">
        <v>37</v>
      </c>
    </row>
    <row r="486" spans="1:32" ht="12.5">
      <c r="E486" s="3"/>
      <c r="F486" s="3"/>
      <c r="G486" s="3"/>
      <c r="L486" s="3" t="s">
        <v>38</v>
      </c>
      <c r="M486" s="3">
        <v>44</v>
      </c>
      <c r="N486" s="3">
        <v>10</v>
      </c>
      <c r="O486" s="3">
        <v>13</v>
      </c>
      <c r="R486" s="3">
        <v>0</v>
      </c>
      <c r="S486" s="3"/>
      <c r="T486" s="3">
        <v>0.14074999999999999</v>
      </c>
      <c r="U486" s="3">
        <v>2.69E-2</v>
      </c>
      <c r="V486" s="3">
        <v>0</v>
      </c>
      <c r="W486" s="3">
        <v>0</v>
      </c>
      <c r="X486" s="3"/>
      <c r="AB486" s="3" t="str">
        <f t="shared" si="3"/>
        <v>___</v>
      </c>
      <c r="AC486" s="3" t="str">
        <f t="shared" si="2"/>
        <v>____</v>
      </c>
    </row>
    <row r="487" spans="1:32" ht="12.5">
      <c r="E487" s="3"/>
      <c r="F487" s="3"/>
      <c r="G487" s="3"/>
      <c r="L487" s="3" t="s">
        <v>39</v>
      </c>
      <c r="M487" s="3">
        <v>42</v>
      </c>
      <c r="N487" s="3">
        <v>6</v>
      </c>
      <c r="O487" s="3">
        <v>10</v>
      </c>
      <c r="R487" s="3">
        <v>0</v>
      </c>
      <c r="S487" s="3"/>
      <c r="T487" s="3">
        <v>8.1600000000000006E-2</v>
      </c>
      <c r="U487" s="3">
        <v>3.2539999999999999E-2</v>
      </c>
      <c r="V487" s="3">
        <v>0</v>
      </c>
      <c r="W487" s="3">
        <v>0</v>
      </c>
      <c r="X487" s="3"/>
      <c r="AB487" s="3" t="str">
        <f t="shared" si="3"/>
        <v>___</v>
      </c>
      <c r="AC487" s="3" t="str">
        <f t="shared" si="2"/>
        <v>____</v>
      </c>
    </row>
    <row r="488" spans="1:32" ht="12.5">
      <c r="A488" s="12">
        <v>45489</v>
      </c>
      <c r="B488" s="6">
        <v>1500</v>
      </c>
      <c r="C488" s="6">
        <v>24</v>
      </c>
      <c r="E488" s="3"/>
      <c r="F488" s="3"/>
      <c r="G488" s="3" t="s">
        <v>40</v>
      </c>
      <c r="H488" s="3">
        <v>1</v>
      </c>
      <c r="I488" s="4">
        <v>45426</v>
      </c>
      <c r="J488" s="4">
        <v>45515</v>
      </c>
      <c r="K488" s="3">
        <v>5</v>
      </c>
      <c r="L488" s="3" t="s">
        <v>36</v>
      </c>
      <c r="M488" s="3">
        <v>35</v>
      </c>
      <c r="N488" s="3">
        <v>8</v>
      </c>
      <c r="O488" s="3">
        <v>8</v>
      </c>
      <c r="R488" s="3">
        <v>0</v>
      </c>
      <c r="S488" s="3"/>
      <c r="T488" s="3">
        <v>2.179E-2</v>
      </c>
      <c r="U488" s="3">
        <v>1.1180000000000001E-2</v>
      </c>
      <c r="V488" s="3">
        <v>0</v>
      </c>
      <c r="W488" s="3">
        <v>0</v>
      </c>
      <c r="X488" s="3"/>
      <c r="AB488" s="3" t="str">
        <f t="shared" si="3"/>
        <v>1500_24__vm</v>
      </c>
      <c r="AC488" s="3" t="str">
        <f t="shared" si="2"/>
        <v>1500_24__vm_1</v>
      </c>
      <c r="AE488" s="3" t="s">
        <v>37</v>
      </c>
      <c r="AF488" s="3" t="s">
        <v>37</v>
      </c>
    </row>
    <row r="489" spans="1:32" ht="12.5">
      <c r="E489" s="3"/>
      <c r="F489" s="3"/>
      <c r="G489" s="3"/>
      <c r="L489" s="3" t="s">
        <v>38</v>
      </c>
      <c r="M489" s="3">
        <v>14</v>
      </c>
      <c r="N489" s="3">
        <v>0</v>
      </c>
      <c r="O489" s="3">
        <v>2</v>
      </c>
      <c r="P489" s="3">
        <v>2</v>
      </c>
      <c r="Q489" s="3">
        <v>2</v>
      </c>
      <c r="R489" s="3">
        <v>0</v>
      </c>
      <c r="S489" s="3"/>
      <c r="T489" s="3">
        <v>0</v>
      </c>
      <c r="U489" s="3">
        <v>5.94E-3</v>
      </c>
      <c r="V489" s="3">
        <v>3.6769999999999997E-2</v>
      </c>
      <c r="W489" s="3">
        <v>0</v>
      </c>
      <c r="X489" s="3"/>
      <c r="AB489" s="3" t="str">
        <f t="shared" si="3"/>
        <v>___</v>
      </c>
      <c r="AC489" s="3" t="str">
        <f t="shared" si="2"/>
        <v>____</v>
      </c>
    </row>
    <row r="490" spans="1:32" ht="12.5">
      <c r="E490" s="3"/>
      <c r="F490" s="3"/>
      <c r="G490" s="3"/>
      <c r="L490" s="3" t="s">
        <v>39</v>
      </c>
      <c r="M490" s="3">
        <v>32</v>
      </c>
      <c r="N490" s="3">
        <v>0</v>
      </c>
      <c r="O490" s="3">
        <v>3</v>
      </c>
      <c r="P490" s="3">
        <v>4</v>
      </c>
      <c r="Q490" s="3">
        <v>4</v>
      </c>
      <c r="R490" s="3">
        <v>0</v>
      </c>
      <c r="S490" s="3"/>
      <c r="T490" s="3">
        <v>0</v>
      </c>
      <c r="U490" s="3">
        <v>2.4279999999999999E-2</v>
      </c>
      <c r="V490" s="3">
        <v>8.097E-2</v>
      </c>
      <c r="W490" s="3">
        <v>0</v>
      </c>
      <c r="X490" s="3"/>
      <c r="AB490" s="3" t="str">
        <f t="shared" si="3"/>
        <v>___</v>
      </c>
      <c r="AC490" s="3" t="str">
        <f t="shared" si="2"/>
        <v>____</v>
      </c>
    </row>
    <row r="491" spans="1:32" ht="12.5">
      <c r="A491" s="12">
        <v>45489</v>
      </c>
      <c r="B491" s="3">
        <v>1500</v>
      </c>
      <c r="C491" s="3">
        <v>24</v>
      </c>
      <c r="E491" s="3"/>
      <c r="F491" s="3"/>
      <c r="G491" s="3" t="s">
        <v>40</v>
      </c>
      <c r="H491" s="3">
        <v>2</v>
      </c>
      <c r="I491" s="4">
        <v>45547</v>
      </c>
      <c r="J491" s="4">
        <v>45305</v>
      </c>
      <c r="K491" s="3">
        <v>6</v>
      </c>
      <c r="L491" s="3" t="s">
        <v>36</v>
      </c>
      <c r="M491" s="3">
        <v>37</v>
      </c>
      <c r="N491" s="3">
        <v>8</v>
      </c>
      <c r="O491" s="3">
        <v>8</v>
      </c>
      <c r="R491" s="3">
        <v>0</v>
      </c>
      <c r="S491" s="3"/>
      <c r="T491" s="3">
        <v>1.695E-2</v>
      </c>
      <c r="U491" s="3">
        <v>9.4699999999999993E-3</v>
      </c>
      <c r="V491" s="3">
        <v>0</v>
      </c>
      <c r="W491" s="3">
        <v>0</v>
      </c>
      <c r="X491" s="3"/>
      <c r="AB491" s="3" t="str">
        <f t="shared" si="3"/>
        <v>1500_24__vm</v>
      </c>
      <c r="AC491" s="3" t="str">
        <f t="shared" si="2"/>
        <v>1500_24__vm_2</v>
      </c>
      <c r="AE491" s="3" t="s">
        <v>37</v>
      </c>
      <c r="AF491" s="3" t="s">
        <v>37</v>
      </c>
    </row>
    <row r="492" spans="1:32" ht="12.5">
      <c r="E492" s="3"/>
      <c r="F492" s="3"/>
      <c r="G492" s="3"/>
      <c r="L492" s="3" t="s">
        <v>38</v>
      </c>
      <c r="M492" s="3">
        <v>47</v>
      </c>
      <c r="N492" s="3">
        <v>3</v>
      </c>
      <c r="O492" s="3">
        <v>3</v>
      </c>
      <c r="P492" s="3">
        <v>5</v>
      </c>
      <c r="Q492" s="3">
        <v>3</v>
      </c>
      <c r="R492" s="3">
        <v>0</v>
      </c>
      <c r="S492" s="3"/>
      <c r="T492" s="3">
        <v>0</v>
      </c>
      <c r="U492" s="3">
        <v>3.5639999999999998E-2</v>
      </c>
      <c r="V492" s="3">
        <v>3.4549999999999997E-2</v>
      </c>
      <c r="W492" s="3">
        <v>0</v>
      </c>
      <c r="X492" s="3"/>
      <c r="Y492" s="3"/>
      <c r="Z492" s="3" t="s">
        <v>62</v>
      </c>
      <c r="AB492" s="3" t="str">
        <f t="shared" si="3"/>
        <v>___</v>
      </c>
      <c r="AC492" s="3" t="str">
        <f t="shared" si="2"/>
        <v>____</v>
      </c>
    </row>
    <row r="493" spans="1:32" ht="12.5">
      <c r="E493" s="3"/>
      <c r="F493" s="3"/>
      <c r="G493" s="3"/>
      <c r="L493" s="3" t="s">
        <v>39</v>
      </c>
      <c r="M493" s="3">
        <v>12</v>
      </c>
      <c r="N493" s="3">
        <v>0</v>
      </c>
      <c r="O493" s="3">
        <v>1</v>
      </c>
      <c r="P493" s="3">
        <v>1</v>
      </c>
      <c r="Q493" s="3">
        <v>1</v>
      </c>
      <c r="R493" s="3">
        <v>0</v>
      </c>
      <c r="S493" s="3"/>
      <c r="T493" s="3">
        <v>0</v>
      </c>
      <c r="U493" s="3">
        <v>9.0100000000000006E-3</v>
      </c>
      <c r="V493" s="3">
        <v>0</v>
      </c>
      <c r="W493" s="3">
        <v>0</v>
      </c>
      <c r="X493" s="3"/>
      <c r="AB493" s="3" t="str">
        <f t="shared" si="3"/>
        <v>___</v>
      </c>
      <c r="AC493" s="3" t="str">
        <f t="shared" si="2"/>
        <v>____</v>
      </c>
    </row>
    <row r="494" spans="1:32" ht="12.5">
      <c r="A494" s="12">
        <v>45489</v>
      </c>
      <c r="B494" s="3">
        <v>1500</v>
      </c>
      <c r="C494" s="3">
        <v>24</v>
      </c>
      <c r="E494" s="3"/>
      <c r="F494" s="3"/>
      <c r="G494" s="3" t="s">
        <v>40</v>
      </c>
      <c r="H494" s="3">
        <v>3</v>
      </c>
      <c r="I494" s="4">
        <v>45455</v>
      </c>
      <c r="J494" s="4">
        <v>45304</v>
      </c>
      <c r="K494" s="3">
        <v>4</v>
      </c>
      <c r="L494" s="3" t="s">
        <v>36</v>
      </c>
      <c r="M494" s="3">
        <v>41</v>
      </c>
      <c r="N494" s="3">
        <v>7</v>
      </c>
      <c r="O494" s="3">
        <v>7</v>
      </c>
      <c r="R494" s="3">
        <v>0</v>
      </c>
      <c r="S494" s="3"/>
      <c r="T494" s="3">
        <v>4.9279999999999997E-2</v>
      </c>
      <c r="U494" s="3">
        <v>1.201E-2</v>
      </c>
      <c r="V494" s="3">
        <v>0</v>
      </c>
      <c r="W494" s="3">
        <v>0</v>
      </c>
      <c r="X494" s="3"/>
      <c r="AB494" s="3" t="str">
        <f t="shared" si="3"/>
        <v>1500_24__vm</v>
      </c>
      <c r="AC494" s="3" t="str">
        <f t="shared" si="2"/>
        <v>1500_24__vm_3</v>
      </c>
      <c r="AE494" s="3" t="s">
        <v>37</v>
      </c>
      <c r="AF494" s="3" t="s">
        <v>37</v>
      </c>
    </row>
    <row r="495" spans="1:32" ht="12.5">
      <c r="E495" s="3"/>
      <c r="F495" s="3"/>
      <c r="G495" s="3"/>
      <c r="L495" s="3" t="s">
        <v>38</v>
      </c>
      <c r="M495" s="3">
        <v>46</v>
      </c>
      <c r="N495" s="3">
        <v>0</v>
      </c>
      <c r="O495" s="3">
        <v>2</v>
      </c>
      <c r="P495" s="3">
        <v>3</v>
      </c>
      <c r="Q495" s="3">
        <v>2</v>
      </c>
      <c r="R495" s="3">
        <v>0</v>
      </c>
      <c r="S495" s="3"/>
      <c r="T495" s="3">
        <v>0</v>
      </c>
      <c r="U495" s="3">
        <v>3.5749999999999997E-2</v>
      </c>
      <c r="V495" s="3">
        <v>0.12168</v>
      </c>
      <c r="W495" s="3">
        <v>0</v>
      </c>
      <c r="X495" s="3"/>
      <c r="Y495" s="3"/>
      <c r="Z495" s="3" t="s">
        <v>60</v>
      </c>
      <c r="AB495" s="3" t="str">
        <f t="shared" si="3"/>
        <v>___</v>
      </c>
      <c r="AC495" s="3" t="str">
        <f t="shared" si="2"/>
        <v>____</v>
      </c>
    </row>
    <row r="496" spans="1:32" ht="12.5">
      <c r="E496" s="3"/>
      <c r="F496" s="3"/>
      <c r="G496" s="3"/>
      <c r="L496" s="3" t="s">
        <v>39</v>
      </c>
      <c r="M496" s="3">
        <v>16</v>
      </c>
      <c r="N496" s="3">
        <v>0</v>
      </c>
      <c r="O496" s="3">
        <v>2</v>
      </c>
      <c r="P496" s="3">
        <v>1</v>
      </c>
      <c r="Q496" s="3">
        <v>1</v>
      </c>
      <c r="R496" s="3">
        <v>0</v>
      </c>
      <c r="S496" s="3"/>
      <c r="T496" s="3">
        <v>0</v>
      </c>
      <c r="U496" s="3">
        <v>1.1390000000000001E-2</v>
      </c>
      <c r="V496" s="3">
        <v>0</v>
      </c>
      <c r="W496" s="3">
        <v>0</v>
      </c>
      <c r="X496" s="3"/>
      <c r="AB496" s="3" t="str">
        <f t="shared" si="3"/>
        <v>___</v>
      </c>
      <c r="AC496" s="3" t="str">
        <f t="shared" si="2"/>
        <v>____</v>
      </c>
    </row>
    <row r="497" spans="1:32" ht="12.5">
      <c r="A497" s="12">
        <v>45489</v>
      </c>
      <c r="B497" s="3">
        <v>1500</v>
      </c>
      <c r="C497" s="3">
        <v>24</v>
      </c>
      <c r="E497" s="3"/>
      <c r="F497" s="3"/>
      <c r="G497" s="3" t="s">
        <v>35</v>
      </c>
      <c r="H497" s="3">
        <v>1</v>
      </c>
      <c r="I497" s="4">
        <v>45415</v>
      </c>
      <c r="J497" s="4">
        <v>45355</v>
      </c>
      <c r="K497" s="3">
        <v>4</v>
      </c>
      <c r="L497" s="3" t="s">
        <v>36</v>
      </c>
      <c r="M497" s="3">
        <v>18</v>
      </c>
      <c r="N497" s="3">
        <v>10</v>
      </c>
      <c r="O497" s="3">
        <v>12</v>
      </c>
      <c r="R497" s="3">
        <v>0</v>
      </c>
      <c r="S497" s="3"/>
      <c r="T497" s="3">
        <v>2.2239999999999999E-2</v>
      </c>
      <c r="U497" s="3">
        <v>3.0899999999999999E-3</v>
      </c>
      <c r="V497" s="3">
        <v>0</v>
      </c>
      <c r="W497" s="3">
        <v>0</v>
      </c>
      <c r="X497" s="3"/>
      <c r="AB497" s="3" t="str">
        <f t="shared" si="3"/>
        <v>1500_24__vv</v>
      </c>
      <c r="AC497" s="3" t="str">
        <f t="shared" si="2"/>
        <v>1500_24__vv_1</v>
      </c>
      <c r="AE497" s="3" t="s">
        <v>37</v>
      </c>
      <c r="AF497" s="3" t="s">
        <v>37</v>
      </c>
    </row>
    <row r="498" spans="1:32" ht="12.5">
      <c r="E498" s="3"/>
      <c r="F498" s="3"/>
      <c r="G498" s="3"/>
      <c r="L498" s="3" t="s">
        <v>38</v>
      </c>
      <c r="M498" s="3">
        <v>21</v>
      </c>
      <c r="N498" s="3">
        <v>0</v>
      </c>
      <c r="O498" s="3">
        <v>7</v>
      </c>
      <c r="P498" s="3">
        <v>3</v>
      </c>
      <c r="Q498" s="3">
        <v>3</v>
      </c>
      <c r="R498" s="3">
        <v>0</v>
      </c>
      <c r="S498" s="3"/>
      <c r="T498" s="3">
        <v>0</v>
      </c>
      <c r="U498" s="3">
        <v>8.9499999999999996E-3</v>
      </c>
      <c r="V498" s="3">
        <v>2.8879999999999999E-2</v>
      </c>
      <c r="W498" s="3">
        <v>0</v>
      </c>
      <c r="X498" s="3"/>
      <c r="AB498" s="3" t="str">
        <f t="shared" si="3"/>
        <v>___</v>
      </c>
      <c r="AC498" s="3" t="str">
        <f t="shared" si="2"/>
        <v>____</v>
      </c>
    </row>
    <row r="499" spans="1:32" ht="12.5">
      <c r="E499" s="3"/>
      <c r="F499" s="3"/>
      <c r="G499" s="3"/>
      <c r="L499" s="3" t="s">
        <v>39</v>
      </c>
      <c r="M499" s="3">
        <v>8</v>
      </c>
      <c r="N499" s="3">
        <v>0</v>
      </c>
      <c r="O499" s="3">
        <v>2</v>
      </c>
      <c r="R499" s="3">
        <v>0</v>
      </c>
      <c r="S499" s="3"/>
      <c r="T499" s="3">
        <v>0</v>
      </c>
      <c r="U499" s="3">
        <v>3.1800000000000002E-2</v>
      </c>
      <c r="V499" s="3">
        <v>0</v>
      </c>
      <c r="W499" s="3">
        <v>0</v>
      </c>
      <c r="X499" s="3"/>
      <c r="AB499" s="3" t="str">
        <f t="shared" si="3"/>
        <v>___</v>
      </c>
      <c r="AC499" s="3" t="str">
        <f t="shared" si="2"/>
        <v>____</v>
      </c>
    </row>
    <row r="500" spans="1:32" ht="12.5">
      <c r="A500" s="12">
        <v>45489</v>
      </c>
      <c r="B500" s="3">
        <v>1500</v>
      </c>
      <c r="C500" s="3">
        <v>24</v>
      </c>
      <c r="E500" s="3"/>
      <c r="F500" s="3"/>
      <c r="G500" s="3" t="s">
        <v>35</v>
      </c>
      <c r="H500" s="3">
        <v>2</v>
      </c>
      <c r="I500" s="4">
        <v>45294</v>
      </c>
      <c r="J500" s="4">
        <v>45540</v>
      </c>
      <c r="K500" s="3">
        <v>4</v>
      </c>
      <c r="L500" s="3" t="s">
        <v>36</v>
      </c>
      <c r="M500" s="3">
        <v>10</v>
      </c>
      <c r="N500" s="3">
        <v>8</v>
      </c>
      <c r="O500" s="3">
        <v>8</v>
      </c>
      <c r="R500" s="3">
        <v>0</v>
      </c>
      <c r="S500" s="3"/>
      <c r="T500" s="3">
        <v>1.3860000000000001E-2</v>
      </c>
      <c r="U500" s="3">
        <v>1.2600000000000001E-3</v>
      </c>
      <c r="V500" s="3">
        <v>0</v>
      </c>
      <c r="W500" s="3">
        <v>0</v>
      </c>
      <c r="X500" s="3"/>
      <c r="AB500" s="3" t="str">
        <f t="shared" si="3"/>
        <v>1500_24__vv</v>
      </c>
      <c r="AC500" s="3" t="str">
        <f t="shared" si="2"/>
        <v>1500_24__vv_2</v>
      </c>
      <c r="AE500" s="3" t="s">
        <v>37</v>
      </c>
      <c r="AF500" s="3" t="s">
        <v>37</v>
      </c>
    </row>
    <row r="501" spans="1:32" ht="12.5">
      <c r="E501" s="3"/>
      <c r="F501" s="3"/>
      <c r="G501" s="3"/>
      <c r="L501" s="3" t="s">
        <v>38</v>
      </c>
      <c r="M501" s="3">
        <v>21</v>
      </c>
      <c r="N501" s="3">
        <v>7</v>
      </c>
      <c r="O501" s="3">
        <v>13</v>
      </c>
      <c r="R501" s="3">
        <v>0</v>
      </c>
      <c r="S501" s="3"/>
      <c r="T501" s="3">
        <v>5.883E-2</v>
      </c>
      <c r="U501" s="3">
        <v>7.45E-3</v>
      </c>
      <c r="V501" s="3">
        <v>0</v>
      </c>
      <c r="W501" s="3">
        <v>0</v>
      </c>
      <c r="X501" s="3"/>
      <c r="AB501" s="3" t="str">
        <f t="shared" si="3"/>
        <v>___</v>
      </c>
      <c r="AC501" s="3" t="str">
        <f t="shared" si="2"/>
        <v>____</v>
      </c>
    </row>
    <row r="502" spans="1:32" ht="12.5">
      <c r="E502" s="3"/>
      <c r="F502" s="3"/>
      <c r="G502" s="3"/>
      <c r="L502" s="3" t="s">
        <v>39</v>
      </c>
      <c r="M502" s="3">
        <v>20</v>
      </c>
      <c r="N502" s="3">
        <v>1</v>
      </c>
      <c r="O502" s="3">
        <v>7</v>
      </c>
      <c r="R502" s="3">
        <v>0</v>
      </c>
      <c r="S502" s="3"/>
      <c r="T502" s="3">
        <v>1.541E-2</v>
      </c>
      <c r="U502" s="3">
        <v>9.7099999999999999E-3</v>
      </c>
      <c r="V502" s="3">
        <v>4.5100000000000001E-3</v>
      </c>
      <c r="W502" s="3">
        <v>0</v>
      </c>
      <c r="X502" s="3"/>
      <c r="AB502" s="3" t="str">
        <f t="shared" si="3"/>
        <v>___</v>
      </c>
      <c r="AC502" s="3" t="str">
        <f t="shared" si="2"/>
        <v>____</v>
      </c>
    </row>
    <row r="503" spans="1:32" ht="12.5">
      <c r="A503" s="12">
        <v>45489</v>
      </c>
      <c r="B503" s="3">
        <v>1500</v>
      </c>
      <c r="C503" s="3">
        <v>24</v>
      </c>
      <c r="E503" s="3"/>
      <c r="F503" s="3"/>
      <c r="G503" s="3" t="s">
        <v>35</v>
      </c>
      <c r="H503" s="3">
        <v>3</v>
      </c>
      <c r="I503" s="4">
        <v>45455</v>
      </c>
      <c r="J503" s="4">
        <v>45297</v>
      </c>
      <c r="K503" s="3">
        <v>5</v>
      </c>
      <c r="L503" s="3" t="s">
        <v>36</v>
      </c>
      <c r="M503" s="3">
        <v>20</v>
      </c>
      <c r="N503" s="3">
        <v>9</v>
      </c>
      <c r="O503" s="3">
        <v>9</v>
      </c>
      <c r="R503" s="3">
        <v>0</v>
      </c>
      <c r="S503" s="3"/>
      <c r="T503" s="3">
        <v>2.7720000000000002E-2</v>
      </c>
      <c r="U503" s="3">
        <v>3.7799999999999999E-3</v>
      </c>
      <c r="V503" s="3">
        <v>0</v>
      </c>
      <c r="W503" s="3">
        <v>0</v>
      </c>
      <c r="X503" s="3"/>
      <c r="AB503" s="3" t="str">
        <f t="shared" si="3"/>
        <v>1500_24__vv</v>
      </c>
      <c r="AC503" s="3" t="str">
        <f t="shared" si="2"/>
        <v>1500_24__vv_3</v>
      </c>
      <c r="AE503" s="3" t="s">
        <v>37</v>
      </c>
      <c r="AF503" s="3" t="s">
        <v>37</v>
      </c>
    </row>
    <row r="504" spans="1:32" ht="12.5">
      <c r="E504" s="3"/>
      <c r="F504" s="3"/>
      <c r="G504" s="3"/>
      <c r="L504" s="3" t="s">
        <v>38</v>
      </c>
      <c r="M504" s="3">
        <v>4</v>
      </c>
      <c r="N504" s="3">
        <v>3</v>
      </c>
      <c r="O504" s="3">
        <v>3</v>
      </c>
      <c r="R504" s="3">
        <v>0</v>
      </c>
      <c r="S504" s="3"/>
      <c r="T504" s="3">
        <v>3.1099999999999999E-3</v>
      </c>
      <c r="U504" s="3">
        <v>1.06E-3</v>
      </c>
      <c r="V504" s="3">
        <v>2.8230000000000002E-2</v>
      </c>
      <c r="W504" s="3">
        <v>0</v>
      </c>
      <c r="X504" s="3"/>
      <c r="AB504" s="3" t="str">
        <f t="shared" si="3"/>
        <v>___</v>
      </c>
      <c r="AC504" s="3" t="str">
        <f t="shared" si="2"/>
        <v>____</v>
      </c>
    </row>
    <row r="505" spans="1:32" ht="12.5">
      <c r="E505" s="3"/>
      <c r="F505" s="3"/>
      <c r="G505" s="3"/>
      <c r="L505" s="3" t="s">
        <v>39</v>
      </c>
      <c r="M505" s="3">
        <v>21</v>
      </c>
      <c r="N505" s="3">
        <v>2</v>
      </c>
      <c r="O505" s="3">
        <v>5</v>
      </c>
      <c r="P505" s="3">
        <v>1</v>
      </c>
      <c r="Q505" s="3">
        <v>1</v>
      </c>
      <c r="R505" s="3">
        <v>0</v>
      </c>
      <c r="S505" s="3"/>
      <c r="T505" s="3">
        <v>1.3690000000000001E-2</v>
      </c>
      <c r="U505" s="3">
        <v>8.9099999999999995E-3</v>
      </c>
      <c r="V505" s="3">
        <v>0</v>
      </c>
      <c r="W505" s="3">
        <v>0</v>
      </c>
      <c r="X505" s="3"/>
      <c r="AB505" s="3" t="str">
        <f t="shared" si="3"/>
        <v>___</v>
      </c>
      <c r="AC505" s="3" t="str">
        <f t="shared" si="2"/>
        <v>____</v>
      </c>
    </row>
    <row r="506" spans="1:32" ht="12.5">
      <c r="A506" s="12">
        <v>45489</v>
      </c>
      <c r="B506" s="6">
        <v>1500</v>
      </c>
      <c r="C506" s="6">
        <v>33</v>
      </c>
      <c r="E506" s="3"/>
      <c r="F506" s="3"/>
      <c r="G506" s="3" t="s">
        <v>40</v>
      </c>
      <c r="H506" s="3">
        <v>1</v>
      </c>
      <c r="I506" s="3">
        <v>9</v>
      </c>
      <c r="J506" s="3">
        <v>10</v>
      </c>
      <c r="K506" s="3">
        <v>7</v>
      </c>
      <c r="L506" s="3" t="s">
        <v>36</v>
      </c>
      <c r="M506" s="3">
        <v>10</v>
      </c>
      <c r="N506" s="3">
        <v>4</v>
      </c>
      <c r="O506" s="3">
        <v>4</v>
      </c>
      <c r="R506" s="3">
        <v>0</v>
      </c>
      <c r="S506" s="3"/>
      <c r="T506" s="3">
        <v>6.0099999999999997E-3</v>
      </c>
      <c r="U506" s="3">
        <v>9.3000000000000005E-4</v>
      </c>
      <c r="V506" s="3">
        <v>0</v>
      </c>
      <c r="W506" s="3">
        <v>0</v>
      </c>
      <c r="X506" s="3"/>
      <c r="AB506" s="3" t="str">
        <f t="shared" si="3"/>
        <v>1500_33__vm</v>
      </c>
      <c r="AC506" s="3" t="str">
        <f t="shared" si="2"/>
        <v>1500_33__vm_1</v>
      </c>
      <c r="AE506" s="3" t="s">
        <v>37</v>
      </c>
      <c r="AF506" s="3" t="s">
        <v>37</v>
      </c>
    </row>
    <row r="507" spans="1:32" ht="12.5">
      <c r="E507" s="3"/>
      <c r="F507" s="3"/>
      <c r="G507" s="3"/>
      <c r="L507" s="3" t="s">
        <v>38</v>
      </c>
      <c r="M507" s="3">
        <v>12</v>
      </c>
      <c r="N507" s="3">
        <v>0</v>
      </c>
      <c r="O507" s="3">
        <v>1</v>
      </c>
      <c r="P507" s="3">
        <v>3</v>
      </c>
      <c r="Q507" s="3">
        <v>3</v>
      </c>
      <c r="R507" s="3">
        <v>0</v>
      </c>
      <c r="S507" s="3"/>
      <c r="T507" s="3">
        <v>0</v>
      </c>
      <c r="U507" s="3">
        <v>3.9399999999999999E-3</v>
      </c>
      <c r="V507" s="3">
        <v>1.14E-2</v>
      </c>
      <c r="W507" s="3">
        <v>0</v>
      </c>
      <c r="X507" s="3"/>
      <c r="AB507" s="3" t="str">
        <f t="shared" si="3"/>
        <v>___</v>
      </c>
      <c r="AC507" s="3" t="str">
        <f t="shared" si="2"/>
        <v>____</v>
      </c>
    </row>
    <row r="508" spans="1:32" ht="12.5">
      <c r="E508" s="3"/>
      <c r="F508" s="3"/>
      <c r="G508" s="3"/>
      <c r="L508" s="3" t="s">
        <v>39</v>
      </c>
      <c r="M508" s="3">
        <v>26</v>
      </c>
      <c r="N508" s="3">
        <v>0</v>
      </c>
      <c r="O508" s="3">
        <v>2</v>
      </c>
      <c r="P508" s="3">
        <v>3</v>
      </c>
      <c r="Q508" s="3">
        <v>3</v>
      </c>
      <c r="R508" s="3">
        <v>0</v>
      </c>
      <c r="S508" s="3"/>
      <c r="T508" s="3">
        <v>0</v>
      </c>
      <c r="U508" s="3">
        <v>1.3950000000000001E-2</v>
      </c>
      <c r="V508" s="3">
        <v>2.8830000000000001E-2</v>
      </c>
      <c r="W508" s="3">
        <v>0</v>
      </c>
      <c r="X508" s="3"/>
      <c r="AB508" s="3" t="str">
        <f t="shared" si="3"/>
        <v>___</v>
      </c>
      <c r="AC508" s="3" t="str">
        <f t="shared" si="2"/>
        <v>____</v>
      </c>
    </row>
    <row r="509" spans="1:32" ht="12.5">
      <c r="A509" s="12">
        <v>45489</v>
      </c>
      <c r="B509" s="3">
        <v>1500</v>
      </c>
      <c r="C509" s="3">
        <v>33</v>
      </c>
      <c r="E509" s="3"/>
      <c r="F509" s="3"/>
      <c r="G509" s="3" t="s">
        <v>40</v>
      </c>
      <c r="H509" s="3">
        <v>2</v>
      </c>
      <c r="I509" s="3">
        <v>7</v>
      </c>
      <c r="J509" s="3">
        <v>17</v>
      </c>
      <c r="K509" s="3">
        <v>6</v>
      </c>
      <c r="L509" s="3" t="s">
        <v>36</v>
      </c>
      <c r="M509" s="3">
        <v>10</v>
      </c>
      <c r="N509" s="3">
        <v>4</v>
      </c>
      <c r="O509" s="3">
        <v>4</v>
      </c>
      <c r="R509" s="3">
        <v>0</v>
      </c>
      <c r="S509" s="3"/>
      <c r="T509" s="3">
        <v>8.5000000000000006E-3</v>
      </c>
      <c r="U509" s="3">
        <v>1.06E-3</v>
      </c>
      <c r="V509" s="3">
        <v>0</v>
      </c>
      <c r="W509" s="3">
        <v>0</v>
      </c>
      <c r="X509" s="3"/>
      <c r="AB509" s="3" t="str">
        <f t="shared" si="3"/>
        <v>1500_33__vm</v>
      </c>
      <c r="AC509" s="3" t="str">
        <f t="shared" si="2"/>
        <v>1500_33__vm_2</v>
      </c>
      <c r="AE509" s="3" t="s">
        <v>37</v>
      </c>
      <c r="AF509" s="3" t="s">
        <v>37</v>
      </c>
    </row>
    <row r="510" spans="1:32" ht="12.5">
      <c r="E510" s="3"/>
      <c r="F510" s="3"/>
      <c r="G510" s="3"/>
      <c r="L510" s="3" t="s">
        <v>38</v>
      </c>
      <c r="M510" s="3">
        <v>10</v>
      </c>
      <c r="N510" s="3">
        <v>0</v>
      </c>
      <c r="O510" s="3">
        <v>2</v>
      </c>
      <c r="P510" s="3">
        <v>1</v>
      </c>
      <c r="Q510" s="3">
        <v>1</v>
      </c>
      <c r="R510" s="3">
        <v>0</v>
      </c>
      <c r="S510" s="3"/>
      <c r="T510" s="3">
        <v>0</v>
      </c>
      <c r="U510" s="3">
        <v>2.7599999999999999E-3</v>
      </c>
      <c r="V510" s="3">
        <v>3.8400000000000001E-3</v>
      </c>
      <c r="W510" s="3">
        <v>0</v>
      </c>
      <c r="X510" s="3"/>
      <c r="AB510" s="3" t="str">
        <f t="shared" si="3"/>
        <v>___</v>
      </c>
      <c r="AC510" s="3" t="str">
        <f t="shared" si="2"/>
        <v>____</v>
      </c>
    </row>
    <row r="511" spans="1:32" ht="12.5">
      <c r="E511" s="3"/>
      <c r="F511" s="3"/>
      <c r="G511" s="3"/>
      <c r="L511" s="3" t="s">
        <v>39</v>
      </c>
      <c r="M511" s="3">
        <v>20</v>
      </c>
      <c r="N511" s="3">
        <v>0</v>
      </c>
      <c r="O511" s="3">
        <v>2</v>
      </c>
      <c r="P511" s="3">
        <v>1</v>
      </c>
      <c r="Q511" s="3">
        <v>1</v>
      </c>
      <c r="R511" s="3">
        <v>0</v>
      </c>
      <c r="S511" s="3"/>
      <c r="T511" s="3">
        <v>0</v>
      </c>
      <c r="U511" s="3">
        <v>9.2200000000000008E-3</v>
      </c>
      <c r="V511" s="3">
        <v>2.3460000000000002E-2</v>
      </c>
      <c r="W511" s="3">
        <v>0</v>
      </c>
      <c r="X511" s="3"/>
      <c r="AB511" s="3" t="str">
        <f t="shared" si="3"/>
        <v>___</v>
      </c>
      <c r="AC511" s="3" t="str">
        <f t="shared" si="2"/>
        <v>____</v>
      </c>
    </row>
    <row r="512" spans="1:32" ht="12.5">
      <c r="A512" s="12">
        <v>45489</v>
      </c>
      <c r="B512" s="3">
        <v>1500</v>
      </c>
      <c r="C512" s="3">
        <v>33</v>
      </c>
      <c r="E512" s="3"/>
      <c r="F512" s="3"/>
      <c r="G512" s="3" t="s">
        <v>40</v>
      </c>
      <c r="H512" s="3">
        <v>3</v>
      </c>
      <c r="I512" s="4">
        <v>45512</v>
      </c>
      <c r="J512" s="4">
        <v>45299</v>
      </c>
      <c r="K512" s="3">
        <v>4</v>
      </c>
      <c r="L512" s="3" t="s">
        <v>36</v>
      </c>
      <c r="M512" s="3">
        <v>33</v>
      </c>
      <c r="N512" s="3">
        <v>8</v>
      </c>
      <c r="O512" s="3">
        <v>8</v>
      </c>
      <c r="R512" s="3">
        <v>0</v>
      </c>
      <c r="S512" s="3"/>
      <c r="T512" s="3">
        <v>1.537E-2</v>
      </c>
      <c r="U512" s="3">
        <v>7.92E-3</v>
      </c>
      <c r="V512" s="3">
        <v>0</v>
      </c>
      <c r="W512" s="3">
        <v>0</v>
      </c>
      <c r="X512" s="3"/>
      <c r="AB512" s="3" t="str">
        <f t="shared" si="3"/>
        <v>1500_33__vm</v>
      </c>
      <c r="AC512" s="3" t="str">
        <f t="shared" ref="AC512:AC766" si="4">CONCATENATE(B512,"_",C512,"_",F512,"_",G512,"_",H512)</f>
        <v>1500_33__vm_3</v>
      </c>
      <c r="AE512" s="3" t="s">
        <v>37</v>
      </c>
      <c r="AF512" s="3" t="s">
        <v>37</v>
      </c>
    </row>
    <row r="513" spans="1:32" ht="12.5">
      <c r="E513" s="3"/>
      <c r="F513" s="3"/>
      <c r="G513" s="3"/>
      <c r="L513" s="3" t="s">
        <v>38</v>
      </c>
      <c r="M513" s="3">
        <v>28</v>
      </c>
      <c r="N513" s="3">
        <v>0</v>
      </c>
      <c r="O513" s="3">
        <v>3</v>
      </c>
      <c r="P513" s="3">
        <v>2</v>
      </c>
      <c r="Q513" s="3">
        <v>2</v>
      </c>
      <c r="R513" s="3">
        <v>0</v>
      </c>
      <c r="S513" s="3"/>
      <c r="T513" s="3">
        <v>0</v>
      </c>
      <c r="U513" s="3">
        <v>1.323E-2</v>
      </c>
      <c r="V513" s="3">
        <v>2.7629999999999998E-2</v>
      </c>
      <c r="W513" s="3">
        <v>0</v>
      </c>
      <c r="X513" s="3"/>
      <c r="AB513" s="3" t="str">
        <f t="shared" ref="AB513:AB767" si="5">CONCATENATE(B513, "_",C513,"_",F513,"_",G513)</f>
        <v>___</v>
      </c>
      <c r="AC513" s="3" t="str">
        <f t="shared" si="4"/>
        <v>____</v>
      </c>
    </row>
    <row r="514" spans="1:32" ht="12.5">
      <c r="E514" s="3"/>
      <c r="F514" s="3"/>
      <c r="G514" s="3"/>
      <c r="L514" s="3" t="s">
        <v>39</v>
      </c>
      <c r="M514" s="3">
        <v>25</v>
      </c>
      <c r="N514" s="3">
        <v>0</v>
      </c>
      <c r="O514" s="3">
        <v>2</v>
      </c>
      <c r="P514" s="3">
        <v>2</v>
      </c>
      <c r="Q514" s="3">
        <v>2</v>
      </c>
      <c r="R514" s="3">
        <v>0</v>
      </c>
      <c r="S514" s="3"/>
      <c r="T514" s="3">
        <v>0</v>
      </c>
      <c r="U514" s="3">
        <v>1.0319999999999999E-2</v>
      </c>
      <c r="V514" s="3">
        <v>8.3899999999999999E-3</v>
      </c>
      <c r="W514" s="3">
        <v>0</v>
      </c>
      <c r="X514" s="3"/>
      <c r="AB514" s="3" t="str">
        <f t="shared" si="5"/>
        <v>___</v>
      </c>
      <c r="AC514" s="3" t="str">
        <f t="shared" si="4"/>
        <v>____</v>
      </c>
    </row>
    <row r="515" spans="1:32" ht="12.5">
      <c r="A515" s="12">
        <v>45489</v>
      </c>
      <c r="B515" s="3">
        <v>1500</v>
      </c>
      <c r="C515" s="3">
        <v>33</v>
      </c>
      <c r="E515" s="3"/>
      <c r="F515" s="3"/>
      <c r="G515" s="3" t="s">
        <v>35</v>
      </c>
      <c r="H515" s="3">
        <v>1</v>
      </c>
      <c r="I515" s="4">
        <v>45476</v>
      </c>
      <c r="J515" s="4">
        <v>45509</v>
      </c>
      <c r="K515" s="3">
        <v>5</v>
      </c>
      <c r="L515" s="3" t="s">
        <v>36</v>
      </c>
      <c r="M515" s="3">
        <v>27</v>
      </c>
      <c r="N515" s="3">
        <v>9</v>
      </c>
      <c r="O515" s="3">
        <v>10</v>
      </c>
      <c r="R515" s="3">
        <v>0</v>
      </c>
      <c r="S515" s="3"/>
      <c r="T515" s="3">
        <v>1.009E-2</v>
      </c>
      <c r="U515" s="3">
        <v>2.1700000000000001E-3</v>
      </c>
      <c r="V515" s="3">
        <v>0</v>
      </c>
      <c r="W515" s="3">
        <v>0</v>
      </c>
      <c r="X515" s="3"/>
      <c r="AB515" s="3" t="str">
        <f t="shared" si="5"/>
        <v>1500_33__vv</v>
      </c>
      <c r="AC515" s="3" t="str">
        <f t="shared" si="4"/>
        <v>1500_33__vv_1</v>
      </c>
      <c r="AE515" s="3" t="s">
        <v>37</v>
      </c>
      <c r="AF515" s="3" t="s">
        <v>37</v>
      </c>
    </row>
    <row r="516" spans="1:32" ht="12.5">
      <c r="E516" s="3"/>
      <c r="F516" s="3"/>
      <c r="G516" s="3"/>
      <c r="L516" s="3" t="s">
        <v>38</v>
      </c>
      <c r="M516" s="3">
        <v>16</v>
      </c>
      <c r="N516" s="3">
        <v>5</v>
      </c>
      <c r="O516" s="3">
        <v>8</v>
      </c>
      <c r="R516" s="3">
        <v>0</v>
      </c>
      <c r="S516" s="3"/>
      <c r="T516" s="3">
        <v>1.427E-2</v>
      </c>
      <c r="U516" s="3">
        <v>3.63E-3</v>
      </c>
      <c r="V516" s="3">
        <v>0</v>
      </c>
      <c r="W516" s="3">
        <v>0</v>
      </c>
      <c r="X516" s="3"/>
      <c r="AB516" s="3" t="str">
        <f t="shared" si="5"/>
        <v>___</v>
      </c>
      <c r="AC516" s="3" t="str">
        <f t="shared" si="4"/>
        <v>____</v>
      </c>
    </row>
    <row r="517" spans="1:32" ht="12.5">
      <c r="E517" s="3"/>
      <c r="F517" s="3"/>
      <c r="G517" s="3"/>
      <c r="L517" s="3" t="s">
        <v>39</v>
      </c>
      <c r="M517" s="3">
        <v>16</v>
      </c>
      <c r="N517" s="3">
        <v>0</v>
      </c>
      <c r="O517" s="3">
        <v>4</v>
      </c>
      <c r="P517" s="3">
        <v>2</v>
      </c>
      <c r="Q517" s="3">
        <v>2</v>
      </c>
      <c r="R517" s="3">
        <v>0</v>
      </c>
      <c r="S517" s="3"/>
      <c r="T517" s="3">
        <v>0</v>
      </c>
      <c r="U517" s="3">
        <v>4.5500000000000002E-3</v>
      </c>
      <c r="V517" s="3">
        <v>2.7040000000000002E-2</v>
      </c>
      <c r="W517" s="3">
        <v>0</v>
      </c>
      <c r="X517" s="3"/>
      <c r="AB517" s="3" t="str">
        <f t="shared" si="5"/>
        <v>___</v>
      </c>
      <c r="AC517" s="3" t="str">
        <f t="shared" si="4"/>
        <v>____</v>
      </c>
    </row>
    <row r="518" spans="1:32" ht="12.5">
      <c r="A518" s="12">
        <v>45489</v>
      </c>
      <c r="B518" s="3">
        <v>1500</v>
      </c>
      <c r="C518" s="3">
        <v>33</v>
      </c>
      <c r="E518" s="3"/>
      <c r="F518" s="3"/>
      <c r="G518" s="3" t="s">
        <v>35</v>
      </c>
      <c r="H518" s="3">
        <v>2</v>
      </c>
      <c r="I518" s="4">
        <v>45446</v>
      </c>
      <c r="J518" s="3">
        <v>5</v>
      </c>
      <c r="K518" s="3">
        <v>4</v>
      </c>
      <c r="L518" s="3" t="s">
        <v>36</v>
      </c>
      <c r="M518" s="3">
        <v>11</v>
      </c>
      <c r="N518" s="3">
        <v>9</v>
      </c>
      <c r="O518" s="3">
        <v>10</v>
      </c>
      <c r="R518" s="3">
        <v>0</v>
      </c>
      <c r="S518" s="3"/>
      <c r="T518" s="3">
        <v>5.8500000000000002E-3</v>
      </c>
      <c r="U518" s="3">
        <v>1.4E-3</v>
      </c>
      <c r="V518" s="3">
        <v>0</v>
      </c>
      <c r="W518" s="3">
        <v>0</v>
      </c>
      <c r="X518" s="3"/>
      <c r="AB518" s="3" t="str">
        <f t="shared" si="5"/>
        <v>1500_33__vv</v>
      </c>
      <c r="AC518" s="3" t="str">
        <f t="shared" si="4"/>
        <v>1500_33__vv_2</v>
      </c>
      <c r="AE518" s="3" t="s">
        <v>37</v>
      </c>
      <c r="AF518" s="3" t="s">
        <v>37</v>
      </c>
    </row>
    <row r="519" spans="1:32" ht="12.5">
      <c r="E519" s="3"/>
      <c r="F519" s="3"/>
      <c r="G519" s="3"/>
      <c r="L519" s="3" t="s">
        <v>38</v>
      </c>
      <c r="M519" s="3">
        <v>10</v>
      </c>
      <c r="N519" s="3">
        <v>6</v>
      </c>
      <c r="O519" s="3">
        <v>6</v>
      </c>
      <c r="R519" s="3">
        <v>0</v>
      </c>
      <c r="S519" s="3"/>
      <c r="T519" s="3">
        <v>1.985E-2</v>
      </c>
      <c r="U519" s="3">
        <v>2.5999999999999999E-3</v>
      </c>
      <c r="V519" s="3">
        <v>0</v>
      </c>
      <c r="W519" s="3">
        <v>0</v>
      </c>
      <c r="X519" s="3"/>
      <c r="AB519" s="3" t="str">
        <f t="shared" si="5"/>
        <v>___</v>
      </c>
      <c r="AC519" s="3" t="str">
        <f t="shared" si="4"/>
        <v>____</v>
      </c>
    </row>
    <row r="520" spans="1:32" ht="12.5">
      <c r="E520" s="3"/>
      <c r="F520" s="3"/>
      <c r="G520" s="3"/>
      <c r="L520" s="3" t="s">
        <v>39</v>
      </c>
      <c r="M520" s="3">
        <v>12</v>
      </c>
      <c r="N520" s="3">
        <v>3</v>
      </c>
      <c r="O520" s="3">
        <v>5</v>
      </c>
      <c r="R520" s="3">
        <v>0</v>
      </c>
      <c r="S520" s="3"/>
      <c r="T520" s="3">
        <v>7.7799999999999996E-3</v>
      </c>
      <c r="U520" s="3">
        <v>3.15E-3</v>
      </c>
      <c r="V520" s="3">
        <v>0</v>
      </c>
      <c r="W520" s="3">
        <v>0</v>
      </c>
      <c r="X520" s="3"/>
      <c r="AB520" s="3" t="str">
        <f t="shared" si="5"/>
        <v>___</v>
      </c>
      <c r="AC520" s="3" t="str">
        <f t="shared" si="4"/>
        <v>____</v>
      </c>
    </row>
    <row r="521" spans="1:32" ht="12.5">
      <c r="A521" s="12">
        <v>45489</v>
      </c>
      <c r="B521" s="3">
        <v>1500</v>
      </c>
      <c r="C521" s="3">
        <v>33</v>
      </c>
      <c r="E521" s="3"/>
      <c r="F521" s="3"/>
      <c r="G521" s="3" t="s">
        <v>35</v>
      </c>
      <c r="H521" s="3">
        <v>3</v>
      </c>
      <c r="I521" s="4">
        <v>45449</v>
      </c>
      <c r="J521" s="4">
        <v>45388</v>
      </c>
      <c r="K521" s="3">
        <v>4</v>
      </c>
      <c r="L521" s="3" t="s">
        <v>36</v>
      </c>
      <c r="M521" s="3">
        <v>16</v>
      </c>
      <c r="N521" s="3">
        <v>9</v>
      </c>
      <c r="O521" s="3">
        <v>9</v>
      </c>
      <c r="R521" s="3">
        <v>0</v>
      </c>
      <c r="S521" s="3"/>
      <c r="T521" s="3">
        <v>1.167E-2</v>
      </c>
      <c r="U521" s="3">
        <v>1.6299999999999999E-3</v>
      </c>
      <c r="V521" s="3">
        <v>0</v>
      </c>
      <c r="W521" s="3">
        <v>0</v>
      </c>
      <c r="X521" s="3"/>
      <c r="AB521" s="3" t="str">
        <f t="shared" si="5"/>
        <v>1500_33__vv</v>
      </c>
      <c r="AC521" s="3" t="str">
        <f t="shared" si="4"/>
        <v>1500_33__vv_3</v>
      </c>
      <c r="AE521" s="3" t="s">
        <v>37</v>
      </c>
      <c r="AF521" s="3" t="s">
        <v>37</v>
      </c>
    </row>
    <row r="522" spans="1:32" ht="12.5">
      <c r="E522" s="3"/>
      <c r="F522" s="3"/>
      <c r="G522" s="3"/>
      <c r="L522" s="3" t="s">
        <v>38</v>
      </c>
      <c r="M522" s="3">
        <v>10</v>
      </c>
      <c r="N522" s="3">
        <v>8</v>
      </c>
      <c r="O522" s="3">
        <v>8</v>
      </c>
      <c r="R522" s="3">
        <v>0</v>
      </c>
      <c r="S522" s="3"/>
      <c r="T522" s="3">
        <v>2.2800000000000001E-2</v>
      </c>
      <c r="U522" s="3">
        <v>2.96E-3</v>
      </c>
      <c r="V522" s="3">
        <v>0</v>
      </c>
      <c r="W522" s="3">
        <v>0</v>
      </c>
      <c r="X522" s="3"/>
      <c r="AB522" s="3" t="str">
        <f t="shared" si="5"/>
        <v>___</v>
      </c>
      <c r="AC522" s="3" t="str">
        <f t="shared" si="4"/>
        <v>____</v>
      </c>
    </row>
    <row r="523" spans="1:32" ht="12.5">
      <c r="E523" s="3"/>
      <c r="F523" s="3"/>
      <c r="G523" s="3"/>
      <c r="L523" s="3" t="s">
        <v>39</v>
      </c>
      <c r="M523" s="3">
        <v>18</v>
      </c>
      <c r="N523" s="3">
        <v>6</v>
      </c>
      <c r="O523" s="3">
        <v>9</v>
      </c>
      <c r="R523" s="3">
        <v>0</v>
      </c>
      <c r="S523" s="3"/>
      <c r="T523" s="3">
        <v>2.1420000000000002E-2</v>
      </c>
      <c r="U523" s="3">
        <v>6.1700000000000001E-3</v>
      </c>
      <c r="V523" s="3">
        <v>0</v>
      </c>
      <c r="W523" s="3">
        <v>0</v>
      </c>
      <c r="X523" s="3"/>
      <c r="AB523" s="3" t="str">
        <f t="shared" si="5"/>
        <v>___</v>
      </c>
      <c r="AC523" s="3" t="str">
        <f t="shared" si="4"/>
        <v>____</v>
      </c>
    </row>
    <row r="524" spans="1:32" ht="12.5">
      <c r="A524" s="12">
        <v>45489</v>
      </c>
      <c r="B524" s="6">
        <v>1500</v>
      </c>
      <c r="C524" s="6">
        <v>35</v>
      </c>
      <c r="E524" s="3"/>
      <c r="F524" s="3"/>
      <c r="G524" s="3" t="s">
        <v>40</v>
      </c>
      <c r="H524" s="3">
        <v>1</v>
      </c>
      <c r="I524" s="4">
        <v>45542</v>
      </c>
      <c r="J524" s="4">
        <v>45334</v>
      </c>
      <c r="K524" s="3">
        <v>7</v>
      </c>
      <c r="L524" s="3" t="s">
        <v>36</v>
      </c>
      <c r="M524" s="3">
        <v>25</v>
      </c>
      <c r="N524" s="3">
        <v>7</v>
      </c>
      <c r="O524" s="3">
        <v>7</v>
      </c>
      <c r="R524" s="3">
        <v>0</v>
      </c>
      <c r="S524" s="3"/>
      <c r="T524" s="3">
        <v>1.5990000000000001E-2</v>
      </c>
      <c r="U524" s="3">
        <v>6.3699999999999998E-3</v>
      </c>
      <c r="V524" s="3">
        <v>0</v>
      </c>
      <c r="W524" s="3">
        <v>0</v>
      </c>
      <c r="X524" s="3"/>
      <c r="AB524" s="3" t="str">
        <f t="shared" si="5"/>
        <v>1500_35__vm</v>
      </c>
      <c r="AC524" s="3" t="str">
        <f t="shared" si="4"/>
        <v>1500_35__vm_1</v>
      </c>
      <c r="AE524" s="3" t="s">
        <v>37</v>
      </c>
      <c r="AF524" s="3" t="s">
        <v>37</v>
      </c>
    </row>
    <row r="525" spans="1:32" ht="12.5">
      <c r="E525" s="3"/>
      <c r="F525" s="3"/>
      <c r="G525" s="3"/>
      <c r="L525" s="3" t="s">
        <v>38</v>
      </c>
      <c r="M525" s="3">
        <v>23</v>
      </c>
      <c r="N525" s="3">
        <v>0</v>
      </c>
      <c r="O525" s="3">
        <v>2</v>
      </c>
      <c r="P525" s="3">
        <v>4</v>
      </c>
      <c r="Q525" s="3">
        <v>4</v>
      </c>
      <c r="R525" s="3">
        <v>0</v>
      </c>
      <c r="S525" s="3"/>
      <c r="T525" s="3">
        <v>0</v>
      </c>
      <c r="U525" s="3">
        <v>1.2659999999999999E-2</v>
      </c>
      <c r="V525" s="3">
        <v>2.7400000000000001E-2</v>
      </c>
      <c r="W525" s="3">
        <v>0</v>
      </c>
      <c r="X525" s="3"/>
      <c r="AB525" s="3" t="str">
        <f t="shared" si="5"/>
        <v>___</v>
      </c>
      <c r="AC525" s="3" t="str">
        <f t="shared" si="4"/>
        <v>____</v>
      </c>
    </row>
    <row r="526" spans="1:32" ht="12.5">
      <c r="E526" s="3"/>
      <c r="F526" s="3"/>
      <c r="G526" s="3"/>
      <c r="L526" s="3" t="s">
        <v>39</v>
      </c>
      <c r="M526" s="3">
        <v>18</v>
      </c>
      <c r="N526" s="3">
        <v>0</v>
      </c>
      <c r="O526" s="3">
        <v>1</v>
      </c>
      <c r="P526" s="3">
        <v>2</v>
      </c>
      <c r="Q526" s="3">
        <v>1</v>
      </c>
      <c r="R526" s="3">
        <v>0</v>
      </c>
      <c r="S526" s="3"/>
      <c r="T526" s="3">
        <v>0</v>
      </c>
      <c r="U526" s="3">
        <v>9.5999999999999992E-3</v>
      </c>
      <c r="V526" s="3">
        <v>0</v>
      </c>
      <c r="W526" s="3">
        <v>0</v>
      </c>
      <c r="X526" s="3"/>
      <c r="Y526" s="3"/>
      <c r="Z526" s="3" t="s">
        <v>60</v>
      </c>
      <c r="AB526" s="3" t="str">
        <f t="shared" si="5"/>
        <v>___</v>
      </c>
      <c r="AC526" s="3" t="str">
        <f t="shared" si="4"/>
        <v>____</v>
      </c>
    </row>
    <row r="527" spans="1:32" ht="12.5">
      <c r="A527" s="12">
        <v>45489</v>
      </c>
      <c r="B527" s="3">
        <v>1500</v>
      </c>
      <c r="C527" s="3">
        <v>35</v>
      </c>
      <c r="E527" s="3"/>
      <c r="F527" s="3"/>
      <c r="G527" s="3" t="s">
        <v>40</v>
      </c>
      <c r="H527" s="3">
        <v>2</v>
      </c>
      <c r="I527" s="3">
        <v>8</v>
      </c>
      <c r="J527" s="4">
        <v>45334</v>
      </c>
      <c r="K527" s="3">
        <v>6</v>
      </c>
      <c r="L527" s="3" t="s">
        <v>36</v>
      </c>
      <c r="M527" s="3">
        <v>34</v>
      </c>
      <c r="N527" s="3">
        <v>8</v>
      </c>
      <c r="O527" s="3">
        <v>8</v>
      </c>
      <c r="R527" s="3">
        <v>0</v>
      </c>
      <c r="S527" s="3"/>
      <c r="T527" s="3">
        <v>2.198E-2</v>
      </c>
      <c r="U527" s="3">
        <v>1.1440000000000001E-2</v>
      </c>
      <c r="V527" s="3">
        <v>0</v>
      </c>
      <c r="W527" s="3">
        <v>0</v>
      </c>
      <c r="X527" s="3"/>
      <c r="AB527" s="3" t="str">
        <f t="shared" si="5"/>
        <v>1500_35__vm</v>
      </c>
      <c r="AC527" s="3" t="str">
        <f t="shared" si="4"/>
        <v>1500_35__vm_2</v>
      </c>
      <c r="AE527" s="3" t="s">
        <v>37</v>
      </c>
      <c r="AF527" s="3" t="s">
        <v>37</v>
      </c>
    </row>
    <row r="528" spans="1:32" ht="12.5">
      <c r="E528" s="3"/>
      <c r="F528" s="3"/>
      <c r="G528" s="3"/>
      <c r="L528" s="3" t="s">
        <v>38</v>
      </c>
      <c r="M528" s="3">
        <v>35</v>
      </c>
      <c r="N528" s="3">
        <v>0</v>
      </c>
      <c r="O528" s="3">
        <v>7</v>
      </c>
      <c r="P528" s="3">
        <v>3</v>
      </c>
      <c r="Q528" s="3">
        <v>3</v>
      </c>
      <c r="R528" s="3">
        <v>0</v>
      </c>
      <c r="S528" s="3"/>
      <c r="T528" s="3">
        <v>0</v>
      </c>
      <c r="U528" s="3">
        <v>2.8639999999999999E-2</v>
      </c>
      <c r="V528" s="3">
        <v>6.5570000000000003E-2</v>
      </c>
      <c r="W528" s="3">
        <v>0</v>
      </c>
      <c r="X528" s="3"/>
      <c r="AB528" s="3" t="str">
        <f t="shared" si="5"/>
        <v>___</v>
      </c>
      <c r="AC528" s="3" t="str">
        <f t="shared" si="4"/>
        <v>____</v>
      </c>
    </row>
    <row r="529" spans="1:32" ht="12.5">
      <c r="E529" s="3"/>
      <c r="F529" s="3"/>
      <c r="G529" s="3"/>
      <c r="L529" s="3" t="s">
        <v>39</v>
      </c>
      <c r="M529" s="3">
        <v>11</v>
      </c>
      <c r="N529" s="3">
        <v>0</v>
      </c>
      <c r="O529" s="3">
        <v>4</v>
      </c>
      <c r="R529" s="3" t="s">
        <v>47</v>
      </c>
      <c r="S529" s="3"/>
      <c r="T529" s="3" t="s">
        <v>47</v>
      </c>
      <c r="U529" s="3" t="s">
        <v>47</v>
      </c>
      <c r="V529" s="3" t="s">
        <v>47</v>
      </c>
      <c r="W529" s="3" t="s">
        <v>47</v>
      </c>
      <c r="X529" s="3"/>
      <c r="Y529" s="3"/>
      <c r="Z529" s="3" t="s">
        <v>78</v>
      </c>
      <c r="AB529" s="3" t="str">
        <f t="shared" si="5"/>
        <v>___</v>
      </c>
      <c r="AC529" s="3" t="str">
        <f t="shared" si="4"/>
        <v>____</v>
      </c>
    </row>
    <row r="530" spans="1:32" ht="12.5">
      <c r="A530" s="12">
        <v>45489</v>
      </c>
      <c r="B530" s="3">
        <v>1500</v>
      </c>
      <c r="C530" s="3">
        <v>35</v>
      </c>
      <c r="E530" s="3"/>
      <c r="F530" s="3"/>
      <c r="G530" s="3" t="s">
        <v>40</v>
      </c>
      <c r="H530" s="3">
        <v>3</v>
      </c>
      <c r="I530" s="4">
        <v>45450</v>
      </c>
      <c r="J530" s="4">
        <v>45330</v>
      </c>
      <c r="K530" s="3">
        <v>6</v>
      </c>
      <c r="L530" s="3" t="s">
        <v>36</v>
      </c>
      <c r="M530" s="3">
        <v>13</v>
      </c>
      <c r="N530" s="3">
        <v>4</v>
      </c>
      <c r="O530" s="3">
        <v>4</v>
      </c>
      <c r="R530" s="3">
        <v>0</v>
      </c>
      <c r="S530" s="3"/>
      <c r="T530" s="3">
        <v>6.2700000000000004E-3</v>
      </c>
      <c r="U530" s="3">
        <v>2.2000000000000001E-3</v>
      </c>
      <c r="V530" s="3">
        <v>0</v>
      </c>
      <c r="W530" s="3">
        <v>0</v>
      </c>
      <c r="X530" s="3"/>
      <c r="AB530" s="3" t="str">
        <f t="shared" si="5"/>
        <v>1500_35__vm</v>
      </c>
      <c r="AC530" s="3" t="str">
        <f t="shared" si="4"/>
        <v>1500_35__vm_3</v>
      </c>
      <c r="AE530" s="3" t="s">
        <v>37</v>
      </c>
      <c r="AF530" s="3" t="s">
        <v>37</v>
      </c>
    </row>
    <row r="531" spans="1:32" ht="12.5">
      <c r="E531" s="3"/>
      <c r="F531" s="3"/>
      <c r="G531" s="3"/>
      <c r="L531" s="3" t="s">
        <v>38</v>
      </c>
      <c r="M531" s="3">
        <v>25</v>
      </c>
      <c r="N531" s="3">
        <v>0</v>
      </c>
      <c r="O531" s="3">
        <v>2</v>
      </c>
      <c r="P531" s="3">
        <v>3</v>
      </c>
      <c r="Q531" s="3">
        <v>3</v>
      </c>
      <c r="R531" s="3">
        <v>0</v>
      </c>
      <c r="S531" s="3"/>
      <c r="T531" s="3">
        <v>0</v>
      </c>
      <c r="U531" s="3">
        <v>9.4199999999999996E-3</v>
      </c>
      <c r="V531" s="3">
        <v>2.2270000000000002E-2</v>
      </c>
      <c r="W531" s="3">
        <v>0</v>
      </c>
      <c r="X531" s="3"/>
      <c r="AB531" s="3" t="str">
        <f t="shared" si="5"/>
        <v>___</v>
      </c>
      <c r="AC531" s="3" t="str">
        <f t="shared" si="4"/>
        <v>____</v>
      </c>
    </row>
    <row r="532" spans="1:32" ht="12.5">
      <c r="E532" s="3"/>
      <c r="F532" s="3"/>
      <c r="G532" s="3"/>
      <c r="L532" s="3" t="s">
        <v>39</v>
      </c>
      <c r="M532" s="3">
        <v>23</v>
      </c>
      <c r="N532" s="3">
        <v>0</v>
      </c>
      <c r="O532" s="3">
        <v>2</v>
      </c>
      <c r="P532" s="3">
        <v>1</v>
      </c>
      <c r="Q532" s="3">
        <v>1</v>
      </c>
      <c r="R532" s="3">
        <v>0</v>
      </c>
      <c r="S532" s="3"/>
      <c r="T532" s="3">
        <v>0</v>
      </c>
      <c r="U532" s="3">
        <v>1.0869999999999999E-2</v>
      </c>
      <c r="V532" s="3">
        <v>0.12139999999999999</v>
      </c>
      <c r="W532" s="3">
        <v>0</v>
      </c>
      <c r="X532" s="3"/>
      <c r="AB532" s="3" t="str">
        <f t="shared" si="5"/>
        <v>___</v>
      </c>
      <c r="AC532" s="3" t="str">
        <f t="shared" si="4"/>
        <v>____</v>
      </c>
    </row>
    <row r="533" spans="1:32" ht="12.5">
      <c r="A533" s="12">
        <v>45489</v>
      </c>
      <c r="B533" s="3">
        <v>1500</v>
      </c>
      <c r="C533" s="3">
        <v>35</v>
      </c>
      <c r="E533" s="3"/>
      <c r="F533" s="3"/>
      <c r="G533" s="3" t="s">
        <v>35</v>
      </c>
      <c r="H533" s="3">
        <v>1</v>
      </c>
      <c r="I533" s="4">
        <v>45294</v>
      </c>
      <c r="J533" s="4">
        <v>45415</v>
      </c>
      <c r="K533" s="3">
        <v>3</v>
      </c>
      <c r="L533" s="3" t="s">
        <v>36</v>
      </c>
      <c r="M533" s="3">
        <v>15</v>
      </c>
      <c r="N533" s="3">
        <v>7</v>
      </c>
      <c r="O533" s="3">
        <v>8</v>
      </c>
      <c r="R533" s="3">
        <v>0</v>
      </c>
      <c r="S533" s="3"/>
      <c r="T533" s="3">
        <v>1.508E-2</v>
      </c>
      <c r="U533" s="3">
        <v>0.02</v>
      </c>
      <c r="V533" s="3">
        <v>0</v>
      </c>
      <c r="W533" s="3">
        <v>0</v>
      </c>
      <c r="X533" s="3"/>
      <c r="AB533" s="3" t="str">
        <f t="shared" si="5"/>
        <v>1500_35__vv</v>
      </c>
      <c r="AC533" s="3" t="str">
        <f t="shared" si="4"/>
        <v>1500_35__vv_1</v>
      </c>
      <c r="AE533" s="3" t="s">
        <v>37</v>
      </c>
      <c r="AF533" s="3" t="s">
        <v>37</v>
      </c>
    </row>
    <row r="534" spans="1:32" ht="12.5">
      <c r="E534" s="3"/>
      <c r="F534" s="3"/>
      <c r="G534" s="3"/>
      <c r="L534" s="3" t="s">
        <v>38</v>
      </c>
      <c r="M534" s="3">
        <v>10</v>
      </c>
      <c r="N534" s="3">
        <v>5</v>
      </c>
      <c r="O534" s="3">
        <v>6</v>
      </c>
      <c r="R534" s="3">
        <v>0</v>
      </c>
      <c r="S534" s="3"/>
      <c r="T534" s="3">
        <v>6.6600000000000001E-3</v>
      </c>
      <c r="U534" s="3">
        <v>1.49E-3</v>
      </c>
      <c r="V534" s="3">
        <v>0</v>
      </c>
      <c r="W534" s="3">
        <v>0</v>
      </c>
      <c r="X534" s="3"/>
      <c r="AB534" s="3" t="str">
        <f t="shared" si="5"/>
        <v>___</v>
      </c>
      <c r="AC534" s="3" t="str">
        <f t="shared" si="4"/>
        <v>____</v>
      </c>
    </row>
    <row r="535" spans="1:32" ht="12.5">
      <c r="E535" s="3"/>
      <c r="F535" s="3"/>
      <c r="G535" s="3"/>
      <c r="L535" s="3" t="s">
        <v>39</v>
      </c>
      <c r="M535" s="3">
        <v>13</v>
      </c>
      <c r="N535" s="3">
        <v>0</v>
      </c>
      <c r="O535" s="3">
        <v>3</v>
      </c>
      <c r="P535" s="3">
        <v>2</v>
      </c>
      <c r="Q535" s="3">
        <v>2</v>
      </c>
      <c r="R535" s="3">
        <v>0</v>
      </c>
      <c r="S535" s="3"/>
      <c r="T535" s="3">
        <v>0</v>
      </c>
      <c r="U535" s="3">
        <v>2.48E-3</v>
      </c>
      <c r="V535" s="3">
        <v>3.1919999999999997E-2</v>
      </c>
      <c r="W535" s="3">
        <v>0</v>
      </c>
      <c r="X535" s="3"/>
      <c r="AB535" s="3" t="str">
        <f t="shared" si="5"/>
        <v>___</v>
      </c>
      <c r="AC535" s="3" t="str">
        <f t="shared" si="4"/>
        <v>____</v>
      </c>
    </row>
    <row r="536" spans="1:32" ht="12.5">
      <c r="A536" s="12">
        <v>45489</v>
      </c>
      <c r="B536" s="3">
        <v>1500</v>
      </c>
      <c r="C536" s="3">
        <v>35</v>
      </c>
      <c r="E536" s="3"/>
      <c r="F536" s="3"/>
      <c r="G536" s="3" t="s">
        <v>35</v>
      </c>
      <c r="H536" s="3">
        <v>2</v>
      </c>
      <c r="I536" s="3">
        <v>2</v>
      </c>
      <c r="J536" s="3">
        <v>2</v>
      </c>
      <c r="K536" s="3">
        <v>4</v>
      </c>
      <c r="L536" s="3" t="s">
        <v>36</v>
      </c>
      <c r="M536" s="3">
        <v>7</v>
      </c>
      <c r="N536" s="3">
        <v>7</v>
      </c>
      <c r="O536" s="3">
        <v>7</v>
      </c>
      <c r="R536" s="3">
        <v>0</v>
      </c>
      <c r="S536" s="3"/>
      <c r="T536" s="3">
        <v>8.0400000000000003E-3</v>
      </c>
      <c r="U536" s="3">
        <v>4.8000000000000001E-4</v>
      </c>
      <c r="V536" s="3">
        <v>0</v>
      </c>
      <c r="W536" s="3">
        <v>0</v>
      </c>
      <c r="X536" s="3"/>
      <c r="AB536" s="3" t="str">
        <f t="shared" si="5"/>
        <v>1500_35__vv</v>
      </c>
      <c r="AC536" s="3" t="str">
        <f t="shared" si="4"/>
        <v>1500_35__vv_2</v>
      </c>
      <c r="AE536" s="3" t="s">
        <v>37</v>
      </c>
      <c r="AF536" s="3" t="s">
        <v>37</v>
      </c>
    </row>
    <row r="537" spans="1:32" ht="12.5">
      <c r="E537" s="3"/>
      <c r="F537" s="3"/>
      <c r="G537" s="3"/>
      <c r="L537" s="3" t="s">
        <v>38</v>
      </c>
      <c r="M537" s="3">
        <v>5</v>
      </c>
      <c r="N537" s="3">
        <v>4</v>
      </c>
      <c r="O537" s="3">
        <v>5</v>
      </c>
      <c r="R537" s="3">
        <v>0</v>
      </c>
      <c r="S537" s="3"/>
      <c r="T537" s="3">
        <v>4.7200000000000002E-3</v>
      </c>
      <c r="U537" s="3">
        <v>6.4000000000000005E-4</v>
      </c>
      <c r="V537" s="3">
        <v>0</v>
      </c>
      <c r="W537" s="3">
        <v>0</v>
      </c>
      <c r="X537" s="3"/>
      <c r="AB537" s="3" t="str">
        <f t="shared" si="5"/>
        <v>___</v>
      </c>
      <c r="AC537" s="3" t="str">
        <f t="shared" si="4"/>
        <v>____</v>
      </c>
    </row>
    <row r="538" spans="1:32" ht="12.5">
      <c r="E538" s="3"/>
      <c r="F538" s="3"/>
      <c r="G538" s="3"/>
      <c r="L538" s="3" t="s">
        <v>39</v>
      </c>
      <c r="M538" s="3">
        <v>5</v>
      </c>
      <c r="N538" s="3">
        <v>0</v>
      </c>
      <c r="O538" s="3">
        <v>4</v>
      </c>
      <c r="R538" s="3">
        <v>0</v>
      </c>
      <c r="S538" s="3"/>
      <c r="T538" s="3">
        <v>0</v>
      </c>
      <c r="U538" s="3">
        <v>5.9000000000000003E-4</v>
      </c>
      <c r="V538" s="3">
        <v>0</v>
      </c>
      <c r="W538" s="3">
        <v>0</v>
      </c>
      <c r="X538" s="3"/>
      <c r="AB538" s="3" t="str">
        <f t="shared" si="5"/>
        <v>___</v>
      </c>
      <c r="AC538" s="3" t="str">
        <f t="shared" si="4"/>
        <v>____</v>
      </c>
    </row>
    <row r="539" spans="1:32" ht="12.5">
      <c r="A539" s="12">
        <v>45489</v>
      </c>
      <c r="B539" s="3">
        <v>1500</v>
      </c>
      <c r="C539" s="3">
        <v>35</v>
      </c>
      <c r="E539" s="3"/>
      <c r="F539" s="3"/>
      <c r="G539" s="3" t="s">
        <v>35</v>
      </c>
      <c r="H539" s="3">
        <v>3</v>
      </c>
      <c r="I539" s="4">
        <v>45326</v>
      </c>
      <c r="J539" s="3">
        <v>4</v>
      </c>
      <c r="K539" s="3">
        <v>3</v>
      </c>
      <c r="L539" s="3" t="s">
        <v>36</v>
      </c>
      <c r="M539" s="3">
        <v>13</v>
      </c>
      <c r="N539" s="3">
        <v>7</v>
      </c>
      <c r="O539" s="3">
        <v>7</v>
      </c>
      <c r="R539" s="3">
        <v>0</v>
      </c>
      <c r="S539" s="3"/>
      <c r="T539" s="3">
        <v>8.9300000000000004E-3</v>
      </c>
      <c r="U539" s="3">
        <v>1.4499999999999999E-3</v>
      </c>
      <c r="V539" s="3">
        <v>0</v>
      </c>
      <c r="W539" s="3">
        <v>0</v>
      </c>
      <c r="X539" s="3"/>
      <c r="AB539" s="3" t="str">
        <f t="shared" si="5"/>
        <v>1500_35__vv</v>
      </c>
      <c r="AC539" s="3" t="str">
        <f t="shared" si="4"/>
        <v>1500_35__vv_3</v>
      </c>
      <c r="AE539" s="3" t="s">
        <v>37</v>
      </c>
      <c r="AF539" s="3" t="s">
        <v>37</v>
      </c>
    </row>
    <row r="540" spans="1:32" ht="12.5">
      <c r="E540" s="3"/>
      <c r="F540" s="3"/>
      <c r="G540" s="3"/>
      <c r="L540" s="3" t="s">
        <v>38</v>
      </c>
      <c r="M540" s="3">
        <v>18</v>
      </c>
      <c r="N540" s="3">
        <v>2</v>
      </c>
      <c r="O540" s="3">
        <v>10</v>
      </c>
      <c r="R540" s="3">
        <v>0</v>
      </c>
      <c r="S540" s="3"/>
      <c r="T540" s="3">
        <v>5.0200000000000002E-3</v>
      </c>
      <c r="U540" s="3">
        <v>2.5300000000000001E-3</v>
      </c>
      <c r="V540" s="3">
        <v>0</v>
      </c>
      <c r="W540" s="3">
        <v>0</v>
      </c>
      <c r="X540" s="3"/>
      <c r="AB540" s="3" t="str">
        <f t="shared" si="5"/>
        <v>___</v>
      </c>
      <c r="AC540" s="3" t="str">
        <f t="shared" si="4"/>
        <v>____</v>
      </c>
    </row>
    <row r="541" spans="1:32" ht="12.5">
      <c r="E541" s="3"/>
      <c r="F541" s="3"/>
      <c r="G541" s="3"/>
      <c r="L541" s="3" t="s">
        <v>39</v>
      </c>
      <c r="M541" s="3">
        <v>19</v>
      </c>
      <c r="N541" s="3">
        <v>3</v>
      </c>
      <c r="O541" s="3">
        <v>8</v>
      </c>
      <c r="P541" s="3">
        <v>1</v>
      </c>
      <c r="Q541" s="3">
        <v>1</v>
      </c>
      <c r="R541" s="3">
        <v>0</v>
      </c>
      <c r="S541" s="3"/>
      <c r="T541" s="3">
        <v>2.7399999999999998E-3</v>
      </c>
      <c r="U541" s="3">
        <v>2.3800000000000002E-3</v>
      </c>
      <c r="V541" s="3">
        <v>2.1129999999999999E-2</v>
      </c>
      <c r="W541" s="3">
        <v>0</v>
      </c>
      <c r="X541" s="3"/>
      <c r="AB541" s="3" t="str">
        <f t="shared" si="5"/>
        <v>___</v>
      </c>
      <c r="AC541" s="3" t="str">
        <f t="shared" si="4"/>
        <v>____</v>
      </c>
    </row>
    <row r="542" spans="1:32" ht="12.5">
      <c r="A542" s="12">
        <v>45489</v>
      </c>
      <c r="B542" s="6">
        <v>1500</v>
      </c>
      <c r="C542" s="6">
        <v>44</v>
      </c>
      <c r="E542" s="3"/>
      <c r="F542" s="3"/>
      <c r="G542" s="3" t="s">
        <v>35</v>
      </c>
      <c r="H542" s="3">
        <v>1</v>
      </c>
      <c r="I542" s="3">
        <v>2</v>
      </c>
      <c r="J542" s="4">
        <v>45294</v>
      </c>
      <c r="K542" s="3">
        <v>5</v>
      </c>
      <c r="L542" s="3" t="s">
        <v>36</v>
      </c>
      <c r="M542" s="3">
        <v>5</v>
      </c>
      <c r="N542" s="3">
        <v>6</v>
      </c>
      <c r="O542" s="3">
        <v>6</v>
      </c>
      <c r="R542" s="3">
        <v>0</v>
      </c>
      <c r="S542" s="3"/>
      <c r="T542" s="3">
        <v>9.7900000000000001E-3</v>
      </c>
      <c r="U542" s="3">
        <v>5.2999999999999998E-4</v>
      </c>
      <c r="V542" s="3">
        <v>0</v>
      </c>
      <c r="W542" s="3">
        <v>0</v>
      </c>
      <c r="X542" s="3"/>
      <c r="AB542" s="3" t="str">
        <f t="shared" si="5"/>
        <v>1500_44__vv</v>
      </c>
      <c r="AC542" s="3" t="str">
        <f t="shared" si="4"/>
        <v>1500_44__vv_1</v>
      </c>
      <c r="AE542" s="3" t="s">
        <v>37</v>
      </c>
      <c r="AF542" s="3" t="s">
        <v>37</v>
      </c>
    </row>
    <row r="543" spans="1:32" ht="12.5">
      <c r="E543" s="3"/>
      <c r="F543" s="3"/>
      <c r="G543" s="3"/>
      <c r="L543" s="3" t="s">
        <v>38</v>
      </c>
      <c r="M543" s="3">
        <v>9</v>
      </c>
      <c r="N543" s="3">
        <v>8</v>
      </c>
      <c r="O543" s="3">
        <v>8</v>
      </c>
      <c r="R543" s="3">
        <v>0</v>
      </c>
      <c r="S543" s="3"/>
      <c r="T543" s="3">
        <v>1.7729999999999999E-2</v>
      </c>
      <c r="U543" s="3">
        <v>1.8400000000000001E-3</v>
      </c>
      <c r="V543" s="3">
        <v>0</v>
      </c>
      <c r="W543" s="3">
        <v>0</v>
      </c>
      <c r="X543" s="3"/>
      <c r="AB543" s="3" t="str">
        <f t="shared" si="5"/>
        <v>___</v>
      </c>
      <c r="AC543" s="3" t="str">
        <f t="shared" si="4"/>
        <v>____</v>
      </c>
    </row>
    <row r="544" spans="1:32" ht="12.5">
      <c r="E544" s="3"/>
      <c r="F544" s="3"/>
      <c r="G544" s="3"/>
      <c r="L544" s="3" t="s">
        <v>39</v>
      </c>
      <c r="M544" s="3">
        <v>6</v>
      </c>
      <c r="N544" s="3">
        <v>1</v>
      </c>
      <c r="O544" s="3">
        <v>4</v>
      </c>
      <c r="R544" s="3">
        <v>0</v>
      </c>
      <c r="S544" s="3"/>
      <c r="T544" s="3">
        <v>8.1999999999999998E-4</v>
      </c>
      <c r="U544" s="3">
        <v>8.4999999999999995E-4</v>
      </c>
      <c r="V544" s="3">
        <v>0</v>
      </c>
      <c r="W544" s="3">
        <v>0</v>
      </c>
      <c r="X544" s="3"/>
      <c r="AB544" s="3" t="str">
        <f t="shared" si="5"/>
        <v>___</v>
      </c>
      <c r="AC544" s="3" t="str">
        <f t="shared" si="4"/>
        <v>____</v>
      </c>
    </row>
    <row r="545" spans="1:32" ht="12.5">
      <c r="A545" s="12">
        <v>45489</v>
      </c>
      <c r="B545" s="3">
        <v>1500</v>
      </c>
      <c r="C545" s="3">
        <v>44</v>
      </c>
      <c r="E545" s="3"/>
      <c r="F545" s="3"/>
      <c r="G545" s="3" t="s">
        <v>35</v>
      </c>
      <c r="H545" s="3">
        <v>2</v>
      </c>
      <c r="I545" s="4">
        <v>45353</v>
      </c>
      <c r="J545" s="4">
        <v>45539</v>
      </c>
      <c r="K545" s="3">
        <v>4</v>
      </c>
      <c r="L545" s="3" t="s">
        <v>36</v>
      </c>
      <c r="M545" s="3">
        <v>9</v>
      </c>
      <c r="N545" s="3">
        <v>7</v>
      </c>
      <c r="O545" s="3">
        <v>9</v>
      </c>
      <c r="R545" s="3">
        <v>0</v>
      </c>
      <c r="S545" s="3"/>
      <c r="T545" s="3">
        <v>1.039E-2</v>
      </c>
      <c r="U545" s="3">
        <v>1.1100000000000001E-3</v>
      </c>
      <c r="V545" s="3">
        <v>0</v>
      </c>
      <c r="W545" s="3">
        <v>0</v>
      </c>
      <c r="X545" s="3"/>
      <c r="AB545" s="3" t="str">
        <f t="shared" si="5"/>
        <v>1500_44__vv</v>
      </c>
      <c r="AC545" s="3" t="str">
        <f t="shared" si="4"/>
        <v>1500_44__vv_2</v>
      </c>
      <c r="AE545" s="3" t="s">
        <v>37</v>
      </c>
      <c r="AF545" s="3" t="s">
        <v>37</v>
      </c>
    </row>
    <row r="546" spans="1:32" ht="12.5">
      <c r="E546" s="3"/>
      <c r="F546" s="3"/>
      <c r="G546" s="3"/>
      <c r="L546" s="3" t="s">
        <v>38</v>
      </c>
      <c r="M546" s="3">
        <v>17</v>
      </c>
      <c r="N546" s="3">
        <v>3</v>
      </c>
      <c r="O546" s="3">
        <v>8</v>
      </c>
      <c r="R546" s="3">
        <v>0</v>
      </c>
      <c r="S546" s="3"/>
      <c r="T546" s="3">
        <v>6.77E-3</v>
      </c>
      <c r="U546" s="3">
        <v>3.16E-3</v>
      </c>
      <c r="V546" s="3">
        <v>0</v>
      </c>
      <c r="W546" s="3">
        <v>0</v>
      </c>
      <c r="X546" s="3"/>
      <c r="AB546" s="3" t="str">
        <f t="shared" si="5"/>
        <v>___</v>
      </c>
      <c r="AC546" s="3" t="str">
        <f t="shared" si="4"/>
        <v>____</v>
      </c>
    </row>
    <row r="547" spans="1:32" ht="12.5">
      <c r="E547" s="3"/>
      <c r="F547" s="3"/>
      <c r="G547" s="3"/>
      <c r="L547" s="3" t="s">
        <v>39</v>
      </c>
      <c r="M547" s="3">
        <v>13</v>
      </c>
      <c r="N547" s="3">
        <v>0</v>
      </c>
      <c r="O547" s="3">
        <v>0</v>
      </c>
      <c r="P547" s="3">
        <v>3</v>
      </c>
      <c r="Q547" s="3">
        <v>3</v>
      </c>
      <c r="R547" s="3">
        <v>0</v>
      </c>
      <c r="S547" s="3"/>
      <c r="T547" s="3">
        <v>0</v>
      </c>
      <c r="U547" s="3">
        <v>5.45E-3</v>
      </c>
      <c r="V547" s="3">
        <v>3.755E-2</v>
      </c>
      <c r="W547" s="3">
        <v>0</v>
      </c>
      <c r="X547" s="3"/>
      <c r="AB547" s="3" t="str">
        <f t="shared" si="5"/>
        <v>___</v>
      </c>
      <c r="AC547" s="3" t="str">
        <f t="shared" si="4"/>
        <v>____</v>
      </c>
    </row>
    <row r="548" spans="1:32" ht="12.5">
      <c r="A548" s="12">
        <v>45489</v>
      </c>
      <c r="B548" s="3">
        <v>1500</v>
      </c>
      <c r="C548" s="3">
        <v>44</v>
      </c>
      <c r="E548" s="3"/>
      <c r="F548" s="3"/>
      <c r="G548" s="3" t="s">
        <v>35</v>
      </c>
      <c r="H548" s="3">
        <v>3</v>
      </c>
      <c r="I548" s="4">
        <v>45384</v>
      </c>
      <c r="J548" s="3">
        <v>4</v>
      </c>
      <c r="K548" s="3">
        <v>6</v>
      </c>
      <c r="L548" s="3" t="s">
        <v>36</v>
      </c>
      <c r="M548" s="3">
        <v>9</v>
      </c>
      <c r="N548" s="3">
        <v>6</v>
      </c>
      <c r="O548" s="3">
        <v>6</v>
      </c>
      <c r="R548" s="3">
        <v>0</v>
      </c>
      <c r="S548" s="3"/>
      <c r="T548" s="3">
        <v>9.5300000000000003E-3</v>
      </c>
      <c r="U548" s="3">
        <v>9.2000000000000003E-4</v>
      </c>
      <c r="V548" s="3">
        <v>0</v>
      </c>
      <c r="W548" s="3">
        <v>0</v>
      </c>
      <c r="X548" s="3"/>
      <c r="AB548" s="3" t="str">
        <f t="shared" si="5"/>
        <v>1500_44__vv</v>
      </c>
      <c r="AC548" s="3" t="str">
        <f t="shared" si="4"/>
        <v>1500_44__vv_3</v>
      </c>
      <c r="AE548" s="3" t="s">
        <v>37</v>
      </c>
      <c r="AF548" s="3" t="s">
        <v>37</v>
      </c>
    </row>
    <row r="549" spans="1:32" ht="12.5">
      <c r="E549" s="3"/>
      <c r="F549" s="3"/>
      <c r="G549" s="3"/>
      <c r="L549" s="3" t="s">
        <v>38</v>
      </c>
      <c r="M549" s="3">
        <v>10</v>
      </c>
      <c r="N549" s="3">
        <v>4</v>
      </c>
      <c r="O549" s="3">
        <v>10</v>
      </c>
      <c r="R549" s="3">
        <v>0</v>
      </c>
      <c r="S549" s="3"/>
      <c r="T549" s="3">
        <v>5.2900000000000004E-3</v>
      </c>
      <c r="U549" s="3">
        <v>1.4499999999999999E-3</v>
      </c>
      <c r="V549" s="3">
        <v>0</v>
      </c>
      <c r="W549" s="3">
        <v>0</v>
      </c>
      <c r="X549" s="3"/>
      <c r="AB549" s="3" t="str">
        <f t="shared" si="5"/>
        <v>___</v>
      </c>
      <c r="AC549" s="3" t="str">
        <f t="shared" si="4"/>
        <v>____</v>
      </c>
    </row>
    <row r="550" spans="1:32" ht="12.5">
      <c r="E550" s="3"/>
      <c r="F550" s="3"/>
      <c r="G550" s="3"/>
      <c r="L550" s="3" t="s">
        <v>39</v>
      </c>
      <c r="M550" s="3">
        <v>4</v>
      </c>
      <c r="N550" s="3">
        <v>0</v>
      </c>
      <c r="O550" s="3">
        <v>1</v>
      </c>
      <c r="R550" s="3">
        <v>0</v>
      </c>
      <c r="S550" s="3"/>
      <c r="T550" s="3">
        <v>0</v>
      </c>
      <c r="U550" s="3">
        <v>7.7000000000000002E-3</v>
      </c>
      <c r="V550" s="3">
        <v>0</v>
      </c>
      <c r="W550" s="3">
        <v>0</v>
      </c>
      <c r="X550" s="3"/>
      <c r="AB550" s="3" t="str">
        <f t="shared" si="5"/>
        <v>___</v>
      </c>
      <c r="AC550" s="3" t="str">
        <f t="shared" si="4"/>
        <v>____</v>
      </c>
    </row>
    <row r="551" spans="1:32" ht="12.5">
      <c r="A551" s="12">
        <v>45493</v>
      </c>
      <c r="B551" s="6">
        <v>276</v>
      </c>
      <c r="C551" s="6">
        <v>35</v>
      </c>
      <c r="E551" s="3"/>
      <c r="F551" s="3"/>
      <c r="G551" s="3" t="s">
        <v>40</v>
      </c>
      <c r="H551" s="3">
        <v>1</v>
      </c>
      <c r="I551" s="3">
        <v>8</v>
      </c>
      <c r="J551" s="4">
        <v>45513</v>
      </c>
      <c r="K551" s="3">
        <v>8</v>
      </c>
      <c r="L551" s="3" t="s">
        <v>36</v>
      </c>
      <c r="M551" s="3">
        <v>8</v>
      </c>
      <c r="N551" s="3">
        <v>4</v>
      </c>
      <c r="O551" s="3">
        <v>4</v>
      </c>
      <c r="R551" s="3">
        <v>0</v>
      </c>
      <c r="S551" s="3"/>
      <c r="T551" s="3">
        <v>7.77E-3</v>
      </c>
      <c r="U551" s="3">
        <v>1.1299999999999999E-3</v>
      </c>
      <c r="V551" s="3">
        <v>0</v>
      </c>
      <c r="W551" s="3">
        <v>0</v>
      </c>
      <c r="X551" s="3"/>
      <c r="AB551" s="3" t="str">
        <f t="shared" si="5"/>
        <v>276_35__vm</v>
      </c>
      <c r="AC551" s="3" t="str">
        <f t="shared" si="4"/>
        <v>276_35__vm_1</v>
      </c>
      <c r="AE551" s="3" t="s">
        <v>37</v>
      </c>
      <c r="AF551" s="3" t="s">
        <v>37</v>
      </c>
    </row>
    <row r="552" spans="1:32" ht="12.5">
      <c r="E552" s="3"/>
      <c r="F552" s="3"/>
      <c r="G552" s="3"/>
      <c r="L552" s="3" t="s">
        <v>38</v>
      </c>
      <c r="M552" s="3">
        <v>7</v>
      </c>
      <c r="N552" s="3">
        <v>0</v>
      </c>
      <c r="O552" s="3">
        <v>3</v>
      </c>
      <c r="R552" s="3">
        <v>0</v>
      </c>
      <c r="S552" s="3"/>
      <c r="T552" s="3">
        <v>0</v>
      </c>
      <c r="U552" s="3">
        <v>1.2999999999999999E-3</v>
      </c>
      <c r="V552" s="3">
        <v>0</v>
      </c>
      <c r="W552" s="3">
        <v>0</v>
      </c>
      <c r="X552" s="3"/>
      <c r="AB552" s="3" t="str">
        <f t="shared" si="5"/>
        <v>___</v>
      </c>
      <c r="AC552" s="3" t="str">
        <f t="shared" si="4"/>
        <v>____</v>
      </c>
    </row>
    <row r="553" spans="1:32" ht="12.5">
      <c r="E553" s="3"/>
      <c r="F553" s="3"/>
      <c r="G553" s="3"/>
      <c r="L553" s="3" t="s">
        <v>39</v>
      </c>
      <c r="M553" s="3">
        <v>12</v>
      </c>
      <c r="N553" s="3">
        <v>0</v>
      </c>
      <c r="O553" s="3">
        <v>2</v>
      </c>
      <c r="P553" s="3">
        <v>1</v>
      </c>
      <c r="Q553" s="3">
        <v>1</v>
      </c>
      <c r="R553" s="3">
        <v>0</v>
      </c>
      <c r="S553" s="3"/>
      <c r="T553" s="3">
        <v>0</v>
      </c>
      <c r="U553" s="3">
        <v>3.5599999999999998E-3</v>
      </c>
      <c r="V553" s="3">
        <v>2.7999999999999998E-4</v>
      </c>
      <c r="W553" s="3">
        <v>0</v>
      </c>
      <c r="X553" s="3"/>
      <c r="AB553" s="3" t="str">
        <f t="shared" si="5"/>
        <v>___</v>
      </c>
      <c r="AC553" s="3" t="str">
        <f t="shared" si="4"/>
        <v>____</v>
      </c>
    </row>
    <row r="554" spans="1:32" ht="12.5">
      <c r="A554" s="12">
        <v>45493</v>
      </c>
      <c r="B554" s="3">
        <v>276</v>
      </c>
      <c r="C554" s="3">
        <v>35</v>
      </c>
      <c r="E554" s="3"/>
      <c r="F554" s="3"/>
      <c r="G554" s="3" t="s">
        <v>40</v>
      </c>
      <c r="H554" s="3">
        <v>2</v>
      </c>
      <c r="I554" s="4">
        <v>45330</v>
      </c>
      <c r="J554" s="3">
        <v>8</v>
      </c>
      <c r="K554" s="3">
        <v>4</v>
      </c>
      <c r="L554" s="3" t="s">
        <v>36</v>
      </c>
      <c r="M554" s="3">
        <v>11</v>
      </c>
      <c r="N554" s="3">
        <v>5</v>
      </c>
      <c r="O554" s="3">
        <v>5</v>
      </c>
      <c r="R554" s="3">
        <v>1</v>
      </c>
      <c r="S554" s="3"/>
      <c r="T554" s="3">
        <v>8.4600000000000005E-3</v>
      </c>
      <c r="U554" s="3">
        <v>1.56E-3</v>
      </c>
      <c r="V554" s="3">
        <v>0</v>
      </c>
      <c r="W554" s="3">
        <v>7.26E-3</v>
      </c>
      <c r="X554" s="3"/>
      <c r="AB554" s="3" t="str">
        <f t="shared" si="5"/>
        <v>276_35__vm</v>
      </c>
      <c r="AC554" s="3" t="str">
        <f t="shared" si="4"/>
        <v>276_35__vm_2</v>
      </c>
      <c r="AE554" s="3" t="s">
        <v>37</v>
      </c>
      <c r="AF554" s="3" t="s">
        <v>37</v>
      </c>
    </row>
    <row r="555" spans="1:32" ht="12.5">
      <c r="E555" s="3"/>
      <c r="F555" s="3"/>
      <c r="G555" s="3"/>
      <c r="L555" s="3" t="s">
        <v>38</v>
      </c>
      <c r="M555" s="3">
        <v>25</v>
      </c>
      <c r="N555" s="3">
        <v>0</v>
      </c>
      <c r="O555" s="3">
        <v>2</v>
      </c>
      <c r="P555" s="3">
        <v>3</v>
      </c>
      <c r="Q555" s="3">
        <v>1</v>
      </c>
      <c r="R555" s="3">
        <v>0</v>
      </c>
      <c r="S555" s="3"/>
      <c r="T555" s="3">
        <v>0</v>
      </c>
      <c r="U555" s="3">
        <v>1.0789999999999999E-2</v>
      </c>
      <c r="V555" s="3">
        <v>1.8450000000000001E-2</v>
      </c>
      <c r="W555" s="3">
        <v>0</v>
      </c>
      <c r="X555" s="3"/>
      <c r="Y555" s="3"/>
      <c r="Z555" s="3" t="s">
        <v>62</v>
      </c>
      <c r="AB555" s="3" t="str">
        <f t="shared" si="5"/>
        <v>___</v>
      </c>
      <c r="AC555" s="3" t="str">
        <f t="shared" si="4"/>
        <v>____</v>
      </c>
    </row>
    <row r="556" spans="1:32" ht="12.5">
      <c r="E556" s="3"/>
      <c r="F556" s="3"/>
      <c r="G556" s="3"/>
      <c r="L556" s="3" t="s">
        <v>39</v>
      </c>
      <c r="M556" s="3">
        <v>35</v>
      </c>
      <c r="N556" s="3">
        <v>0</v>
      </c>
      <c r="O556" s="3">
        <v>5</v>
      </c>
      <c r="P556" s="3">
        <v>3</v>
      </c>
      <c r="Q556" s="3">
        <v>3</v>
      </c>
      <c r="R556" s="3">
        <v>0</v>
      </c>
      <c r="S556" s="3"/>
      <c r="T556" s="3">
        <v>0</v>
      </c>
      <c r="U556" s="3">
        <v>2.5239999999999999E-2</v>
      </c>
      <c r="V556" s="3">
        <v>4.5969999999999997E-2</v>
      </c>
      <c r="W556" s="3">
        <v>0</v>
      </c>
      <c r="X556" s="3"/>
      <c r="AB556" s="3" t="str">
        <f t="shared" si="5"/>
        <v>___</v>
      </c>
      <c r="AC556" s="3" t="str">
        <f t="shared" si="4"/>
        <v>____</v>
      </c>
    </row>
    <row r="557" spans="1:32" ht="12.5">
      <c r="A557" s="12">
        <v>45493</v>
      </c>
      <c r="B557" s="3">
        <v>276</v>
      </c>
      <c r="C557" s="3">
        <v>35</v>
      </c>
      <c r="E557" s="3"/>
      <c r="F557" s="3"/>
      <c r="G557" s="3" t="s">
        <v>40</v>
      </c>
      <c r="H557" s="3">
        <v>3</v>
      </c>
      <c r="I557" s="4">
        <v>45296</v>
      </c>
      <c r="J557" s="3">
        <v>6</v>
      </c>
      <c r="K557" s="3">
        <v>4</v>
      </c>
      <c r="L557" s="3" t="s">
        <v>36</v>
      </c>
      <c r="M557" s="3">
        <v>14</v>
      </c>
      <c r="N557" s="3">
        <v>5</v>
      </c>
      <c r="O557" s="3">
        <v>5</v>
      </c>
      <c r="R557" s="3">
        <v>0</v>
      </c>
      <c r="S557" s="3"/>
      <c r="T557" s="3">
        <v>9.0500000000000008E-3</v>
      </c>
      <c r="U557" s="3">
        <v>2.98E-3</v>
      </c>
      <c r="V557" s="3">
        <v>0</v>
      </c>
      <c r="W557" s="3">
        <v>0</v>
      </c>
      <c r="X557" s="3"/>
      <c r="AB557" s="3" t="str">
        <f t="shared" si="5"/>
        <v>276_35__vm</v>
      </c>
      <c r="AC557" s="3" t="str">
        <f t="shared" si="4"/>
        <v>276_35__vm_3</v>
      </c>
      <c r="AE557" s="3" t="s">
        <v>37</v>
      </c>
      <c r="AF557" s="3" t="s">
        <v>37</v>
      </c>
    </row>
    <row r="558" spans="1:32" ht="12.5">
      <c r="E558" s="3"/>
      <c r="F558" s="3"/>
      <c r="G558" s="3"/>
      <c r="L558" s="3" t="s">
        <v>38</v>
      </c>
      <c r="M558" s="3">
        <v>20</v>
      </c>
      <c r="N558" s="3">
        <v>0</v>
      </c>
      <c r="O558" s="3">
        <v>4</v>
      </c>
      <c r="P558" s="3">
        <v>2</v>
      </c>
      <c r="Q558" s="3">
        <v>2</v>
      </c>
      <c r="R558" s="3">
        <v>0</v>
      </c>
      <c r="S558" s="3"/>
      <c r="T558" s="3">
        <v>0</v>
      </c>
      <c r="U558" s="3">
        <v>5.77E-3</v>
      </c>
      <c r="V558" s="3">
        <v>1.031E-2</v>
      </c>
      <c r="W558" s="3">
        <v>0</v>
      </c>
      <c r="X558" s="3"/>
      <c r="AB558" s="3" t="str">
        <f t="shared" si="5"/>
        <v>___</v>
      </c>
      <c r="AC558" s="3" t="str">
        <f t="shared" si="4"/>
        <v>____</v>
      </c>
    </row>
    <row r="559" spans="1:32" ht="12.5">
      <c r="E559" s="3"/>
      <c r="F559" s="3"/>
      <c r="G559" s="3"/>
      <c r="L559" s="3" t="s">
        <v>39</v>
      </c>
      <c r="M559" s="3">
        <v>16</v>
      </c>
      <c r="N559" s="3">
        <v>0</v>
      </c>
      <c r="O559" s="3">
        <v>5</v>
      </c>
      <c r="R559" s="3">
        <v>0</v>
      </c>
      <c r="S559" s="3"/>
      <c r="T559" s="3">
        <v>0</v>
      </c>
      <c r="U559" s="3">
        <v>4.7499999999999999E-3</v>
      </c>
      <c r="V559" s="3">
        <v>0</v>
      </c>
      <c r="W559" s="3">
        <v>0</v>
      </c>
      <c r="X559" s="3"/>
      <c r="AB559" s="3" t="str">
        <f t="shared" si="5"/>
        <v>___</v>
      </c>
      <c r="AC559" s="3" t="str">
        <f t="shared" si="4"/>
        <v>____</v>
      </c>
    </row>
    <row r="560" spans="1:32" ht="12.5">
      <c r="A560" s="12">
        <v>45493</v>
      </c>
      <c r="B560" s="3">
        <v>276</v>
      </c>
      <c r="C560" s="3">
        <v>35</v>
      </c>
      <c r="E560" s="3"/>
      <c r="F560" s="3"/>
      <c r="G560" s="3" t="s">
        <v>35</v>
      </c>
      <c r="H560" s="3">
        <v>1</v>
      </c>
      <c r="I560" s="4">
        <v>45447</v>
      </c>
      <c r="J560" s="4">
        <v>45415</v>
      </c>
      <c r="K560" s="3">
        <v>3</v>
      </c>
      <c r="L560" s="3" t="s">
        <v>36</v>
      </c>
      <c r="M560" s="3">
        <v>7</v>
      </c>
      <c r="N560" s="3">
        <v>6</v>
      </c>
      <c r="O560" s="3">
        <v>6</v>
      </c>
      <c r="R560" s="3">
        <v>0</v>
      </c>
      <c r="S560" s="3"/>
      <c r="T560" s="3">
        <v>9.3299999999999998E-3</v>
      </c>
      <c r="U560" s="3">
        <v>6.8999999999999997E-4</v>
      </c>
      <c r="V560" s="3">
        <v>0</v>
      </c>
      <c r="W560" s="3">
        <v>0</v>
      </c>
      <c r="X560" s="3"/>
      <c r="AB560" s="3" t="str">
        <f t="shared" si="5"/>
        <v>276_35__vv</v>
      </c>
      <c r="AC560" s="3" t="str">
        <f t="shared" si="4"/>
        <v>276_35__vv_1</v>
      </c>
      <c r="AE560" s="3" t="s">
        <v>37</v>
      </c>
      <c r="AF560" s="3" t="s">
        <v>37</v>
      </c>
    </row>
    <row r="561" spans="1:32" ht="12.5">
      <c r="E561" s="3"/>
      <c r="F561" s="3"/>
      <c r="G561" s="3"/>
      <c r="L561" s="3" t="s">
        <v>38</v>
      </c>
      <c r="M561" s="3">
        <v>18</v>
      </c>
      <c r="N561" s="3">
        <v>7</v>
      </c>
      <c r="O561" s="3">
        <v>7</v>
      </c>
      <c r="R561" s="3">
        <v>0</v>
      </c>
      <c r="S561" s="3"/>
      <c r="T561" s="3">
        <v>3.1640000000000001E-2</v>
      </c>
      <c r="U561" s="3">
        <v>5.4000000000000003E-3</v>
      </c>
      <c r="V561" s="3">
        <v>0</v>
      </c>
      <c r="W561" s="3">
        <v>0</v>
      </c>
      <c r="X561" s="3"/>
      <c r="AB561" s="3" t="str">
        <f t="shared" si="5"/>
        <v>___</v>
      </c>
      <c r="AC561" s="3" t="str">
        <f t="shared" si="4"/>
        <v>____</v>
      </c>
    </row>
    <row r="562" spans="1:32" ht="12.5">
      <c r="E562" s="3"/>
      <c r="F562" s="3"/>
      <c r="G562" s="3"/>
      <c r="L562" s="3" t="s">
        <v>39</v>
      </c>
      <c r="M562" s="3">
        <v>19</v>
      </c>
      <c r="N562" s="3">
        <v>0</v>
      </c>
      <c r="O562" s="3">
        <v>5</v>
      </c>
      <c r="R562" s="3">
        <v>0</v>
      </c>
      <c r="S562" s="3"/>
      <c r="T562" s="3">
        <v>0</v>
      </c>
      <c r="U562" s="3">
        <v>3.9699999999999996E-3</v>
      </c>
      <c r="V562" s="3">
        <v>0</v>
      </c>
      <c r="W562" s="3">
        <v>0</v>
      </c>
      <c r="X562" s="3"/>
      <c r="AB562" s="3" t="str">
        <f t="shared" si="5"/>
        <v>___</v>
      </c>
      <c r="AC562" s="3" t="str">
        <f t="shared" si="4"/>
        <v>____</v>
      </c>
    </row>
    <row r="563" spans="1:32" ht="12.5">
      <c r="A563" s="12">
        <v>45493</v>
      </c>
      <c r="B563" s="3">
        <v>276</v>
      </c>
      <c r="C563" s="3">
        <v>35</v>
      </c>
      <c r="E563" s="3"/>
      <c r="F563" s="3"/>
      <c r="G563" s="3" t="s">
        <v>35</v>
      </c>
      <c r="H563" s="3">
        <v>2</v>
      </c>
      <c r="I563" s="4">
        <v>45444</v>
      </c>
      <c r="J563" s="3">
        <v>1</v>
      </c>
      <c r="K563" s="3">
        <v>2</v>
      </c>
      <c r="L563" s="3" t="s">
        <v>36</v>
      </c>
      <c r="M563" s="3">
        <v>6</v>
      </c>
      <c r="N563" s="3">
        <v>6</v>
      </c>
      <c r="O563" s="3">
        <v>6</v>
      </c>
      <c r="R563" s="3">
        <v>0</v>
      </c>
      <c r="S563" s="3"/>
      <c r="T563" s="3">
        <v>1.065E-2</v>
      </c>
      <c r="U563" s="3">
        <v>1.1199999999999999E-3</v>
      </c>
      <c r="V563" s="3">
        <v>0</v>
      </c>
      <c r="W563" s="3">
        <v>0</v>
      </c>
      <c r="X563" s="3"/>
      <c r="Y563" s="3"/>
      <c r="Z563" s="3" t="s">
        <v>56</v>
      </c>
      <c r="AB563" s="3" t="str">
        <f t="shared" si="5"/>
        <v>276_35__vv</v>
      </c>
      <c r="AC563" s="3" t="str">
        <f t="shared" si="4"/>
        <v>276_35__vv_2</v>
      </c>
      <c r="AE563" s="3" t="s">
        <v>37</v>
      </c>
      <c r="AF563" s="3" t="s">
        <v>37</v>
      </c>
    </row>
    <row r="564" spans="1:32" ht="12.5">
      <c r="E564" s="3"/>
      <c r="F564" s="3"/>
      <c r="G564" s="3"/>
      <c r="L564" s="3" t="s">
        <v>38</v>
      </c>
      <c r="M564" s="3">
        <v>5</v>
      </c>
      <c r="N564" s="3">
        <v>3</v>
      </c>
      <c r="O564" s="3">
        <v>4</v>
      </c>
      <c r="R564" s="3">
        <v>0</v>
      </c>
      <c r="S564" s="3"/>
      <c r="T564" s="3">
        <v>6.3299999999999997E-3</v>
      </c>
      <c r="U564" s="3">
        <v>1.6900000000000001E-3</v>
      </c>
      <c r="V564" s="3">
        <v>0</v>
      </c>
      <c r="W564" s="3">
        <v>0</v>
      </c>
      <c r="X564" s="3"/>
      <c r="AB564" s="3" t="str">
        <f t="shared" si="5"/>
        <v>___</v>
      </c>
      <c r="AC564" s="3" t="str">
        <f t="shared" si="4"/>
        <v>____</v>
      </c>
    </row>
    <row r="565" spans="1:32" ht="12.5">
      <c r="E565" s="3"/>
      <c r="F565" s="3"/>
      <c r="G565" s="3"/>
      <c r="L565" s="3" t="s">
        <v>39</v>
      </c>
      <c r="M565" s="3" t="s">
        <v>47</v>
      </c>
      <c r="N565" s="3" t="s">
        <v>47</v>
      </c>
      <c r="O565" s="3" t="s">
        <v>47</v>
      </c>
      <c r="AB565" s="3" t="str">
        <f t="shared" si="5"/>
        <v>___</v>
      </c>
      <c r="AC565" s="3" t="str">
        <f t="shared" si="4"/>
        <v>____</v>
      </c>
    </row>
    <row r="566" spans="1:32" ht="12.5">
      <c r="A566" s="12">
        <v>45493</v>
      </c>
      <c r="B566" s="3">
        <v>276</v>
      </c>
      <c r="C566" s="3">
        <v>35</v>
      </c>
      <c r="E566" s="3"/>
      <c r="F566" s="3"/>
      <c r="G566" s="3" t="s">
        <v>35</v>
      </c>
      <c r="H566" s="3">
        <v>3</v>
      </c>
      <c r="I566" s="4">
        <v>45446</v>
      </c>
      <c r="J566" s="3">
        <v>4</v>
      </c>
      <c r="K566" s="3">
        <v>3</v>
      </c>
      <c r="L566" s="3" t="s">
        <v>36</v>
      </c>
      <c r="M566" s="3">
        <v>8</v>
      </c>
      <c r="N566" s="3">
        <v>6</v>
      </c>
      <c r="O566" s="3">
        <v>6</v>
      </c>
      <c r="R566" s="3">
        <v>0</v>
      </c>
      <c r="S566" s="3"/>
      <c r="T566" s="3">
        <v>6.96E-3</v>
      </c>
      <c r="U566" s="3">
        <v>7.6000000000000004E-4</v>
      </c>
      <c r="V566" s="3">
        <v>0</v>
      </c>
      <c r="W566" s="3">
        <v>0</v>
      </c>
      <c r="X566" s="3"/>
      <c r="AB566" s="3" t="str">
        <f t="shared" si="5"/>
        <v>276_35__vv</v>
      </c>
      <c r="AC566" s="3" t="str">
        <f t="shared" si="4"/>
        <v>276_35__vv_3</v>
      </c>
      <c r="AE566" s="3" t="s">
        <v>37</v>
      </c>
      <c r="AF566" s="3" t="s">
        <v>37</v>
      </c>
    </row>
    <row r="567" spans="1:32" ht="12.5">
      <c r="E567" s="3"/>
      <c r="F567" s="3"/>
      <c r="G567" s="3"/>
      <c r="L567" s="3" t="s">
        <v>38</v>
      </c>
      <c r="M567" s="3">
        <v>12</v>
      </c>
      <c r="N567" s="3">
        <v>6</v>
      </c>
      <c r="O567" s="3">
        <v>7</v>
      </c>
      <c r="R567" s="3">
        <v>0</v>
      </c>
      <c r="S567" s="3"/>
      <c r="T567" s="3">
        <v>3.576E-2</v>
      </c>
      <c r="U567" s="3">
        <v>3.2699999999999999E-3</v>
      </c>
      <c r="V567" s="3">
        <v>0</v>
      </c>
      <c r="W567" s="3">
        <v>0</v>
      </c>
      <c r="X567" s="3"/>
      <c r="AB567" s="3" t="str">
        <f t="shared" si="5"/>
        <v>___</v>
      </c>
      <c r="AC567" s="3" t="str">
        <f t="shared" si="4"/>
        <v>____</v>
      </c>
    </row>
    <row r="568" spans="1:32" ht="12.5">
      <c r="E568" s="3"/>
      <c r="F568" s="3"/>
      <c r="G568" s="3"/>
      <c r="L568" s="3" t="s">
        <v>39</v>
      </c>
      <c r="M568" s="3">
        <v>16</v>
      </c>
      <c r="N568" s="3">
        <v>0</v>
      </c>
      <c r="O568" s="3">
        <v>5</v>
      </c>
      <c r="R568" s="3">
        <v>0</v>
      </c>
      <c r="S568" s="3"/>
      <c r="T568" s="3">
        <v>0</v>
      </c>
      <c r="U568" s="3">
        <v>4.3800000000000002E-3</v>
      </c>
      <c r="V568" s="3">
        <v>0</v>
      </c>
      <c r="W568" s="3">
        <v>0</v>
      </c>
      <c r="X568" s="3"/>
      <c r="AB568" s="3" t="str">
        <f t="shared" si="5"/>
        <v>___</v>
      </c>
      <c r="AC568" s="3" t="str">
        <f t="shared" si="4"/>
        <v>____</v>
      </c>
    </row>
    <row r="569" spans="1:32" ht="12.5">
      <c r="A569" s="12">
        <v>45493</v>
      </c>
      <c r="B569" s="6">
        <v>276</v>
      </c>
      <c r="C569" s="6">
        <v>64</v>
      </c>
      <c r="E569" s="3"/>
      <c r="F569" s="3"/>
      <c r="G569" s="3" t="s">
        <v>40</v>
      </c>
      <c r="H569" s="3">
        <v>1</v>
      </c>
      <c r="I569" s="4">
        <v>45420</v>
      </c>
      <c r="J569" s="4">
        <v>45419</v>
      </c>
      <c r="K569" s="3">
        <v>5</v>
      </c>
      <c r="L569" s="3" t="s">
        <v>36</v>
      </c>
      <c r="M569" s="3">
        <v>11</v>
      </c>
      <c r="N569" s="3">
        <v>5</v>
      </c>
      <c r="O569" s="3">
        <v>5</v>
      </c>
      <c r="R569" s="3">
        <v>0</v>
      </c>
      <c r="S569" s="3"/>
      <c r="T569" s="3">
        <v>6.2899999999999996E-3</v>
      </c>
      <c r="U569" s="3">
        <v>1.5299999999999999E-3</v>
      </c>
      <c r="V569" s="3">
        <v>0</v>
      </c>
      <c r="W569" s="3">
        <v>0</v>
      </c>
      <c r="X569" s="3"/>
      <c r="AB569" s="3" t="str">
        <f t="shared" si="5"/>
        <v>276_64__vm</v>
      </c>
      <c r="AC569" s="3" t="str">
        <f t="shared" si="4"/>
        <v>276_64__vm_1</v>
      </c>
      <c r="AE569" s="3" t="s">
        <v>37</v>
      </c>
      <c r="AF569" s="3" t="s">
        <v>37</v>
      </c>
    </row>
    <row r="570" spans="1:32" ht="12.5">
      <c r="E570" s="3"/>
      <c r="F570" s="3"/>
      <c r="G570" s="3"/>
      <c r="L570" s="3" t="s">
        <v>38</v>
      </c>
      <c r="M570" s="3">
        <v>17</v>
      </c>
      <c r="N570" s="3">
        <v>0</v>
      </c>
      <c r="O570" s="3">
        <v>1</v>
      </c>
      <c r="P570" s="3">
        <v>3</v>
      </c>
      <c r="Q570" s="3">
        <v>3</v>
      </c>
      <c r="R570" s="3">
        <v>0</v>
      </c>
      <c r="S570" s="3"/>
      <c r="T570" s="3">
        <v>0</v>
      </c>
      <c r="U570" s="3">
        <v>4.9300000000000004E-3</v>
      </c>
      <c r="V570" s="3">
        <v>6.9300000000000004E-3</v>
      </c>
      <c r="W570" s="3">
        <v>0</v>
      </c>
      <c r="X570" s="3"/>
      <c r="AB570" s="3" t="str">
        <f t="shared" si="5"/>
        <v>___</v>
      </c>
      <c r="AC570" s="3" t="str">
        <f t="shared" si="4"/>
        <v>____</v>
      </c>
    </row>
    <row r="571" spans="1:32" ht="12.5">
      <c r="E571" s="3"/>
      <c r="F571" s="3"/>
      <c r="G571" s="3"/>
      <c r="L571" s="3" t="s">
        <v>39</v>
      </c>
      <c r="M571" s="3">
        <v>23</v>
      </c>
      <c r="N571" s="3">
        <v>0</v>
      </c>
      <c r="O571" s="3">
        <v>1</v>
      </c>
      <c r="P571" s="3">
        <v>3</v>
      </c>
      <c r="Q571" s="3">
        <v>3</v>
      </c>
      <c r="R571" s="3">
        <v>0</v>
      </c>
      <c r="S571" s="3"/>
      <c r="T571" s="3">
        <v>0</v>
      </c>
      <c r="U571" s="3">
        <v>1.0410000000000001E-2</v>
      </c>
      <c r="V571" s="3">
        <v>1.5820000000000001E-2</v>
      </c>
      <c r="W571" s="3">
        <v>0</v>
      </c>
      <c r="X571" s="3"/>
      <c r="AB571" s="3" t="str">
        <f t="shared" si="5"/>
        <v>___</v>
      </c>
      <c r="AC571" s="3" t="str">
        <f t="shared" si="4"/>
        <v>____</v>
      </c>
    </row>
    <row r="572" spans="1:32" ht="12.5">
      <c r="A572" s="12">
        <v>45493</v>
      </c>
      <c r="B572" s="3">
        <v>276</v>
      </c>
      <c r="C572" s="3">
        <v>64</v>
      </c>
      <c r="E572" s="3"/>
      <c r="F572" s="3"/>
      <c r="G572" s="3" t="s">
        <v>40</v>
      </c>
      <c r="H572" s="3">
        <v>2</v>
      </c>
      <c r="I572" s="4">
        <v>45296</v>
      </c>
      <c r="J572" s="4">
        <v>45478</v>
      </c>
      <c r="K572" s="3">
        <v>4</v>
      </c>
      <c r="L572" s="3" t="s">
        <v>36</v>
      </c>
      <c r="M572" s="3">
        <v>12</v>
      </c>
      <c r="N572" s="3">
        <v>5</v>
      </c>
      <c r="O572" s="3">
        <v>5</v>
      </c>
      <c r="R572" s="3">
        <v>0</v>
      </c>
      <c r="S572" s="3"/>
      <c r="T572" s="3">
        <v>7.79E-3</v>
      </c>
      <c r="U572" s="3">
        <v>2.5300000000000001E-3</v>
      </c>
      <c r="V572" s="3">
        <v>0</v>
      </c>
      <c r="W572" s="3">
        <v>0</v>
      </c>
      <c r="X572" s="3"/>
      <c r="AB572" s="3" t="str">
        <f t="shared" si="5"/>
        <v>276_64__vm</v>
      </c>
      <c r="AC572" s="3" t="str">
        <f t="shared" si="4"/>
        <v>276_64__vm_2</v>
      </c>
      <c r="AE572" s="3" t="s">
        <v>37</v>
      </c>
      <c r="AF572" s="3" t="s">
        <v>37</v>
      </c>
    </row>
    <row r="573" spans="1:32" ht="12.5">
      <c r="E573" s="3"/>
      <c r="F573" s="3"/>
      <c r="G573" s="3"/>
      <c r="L573" s="3" t="s">
        <v>38</v>
      </c>
      <c r="M573" s="3">
        <v>30</v>
      </c>
      <c r="N573" s="3">
        <v>0</v>
      </c>
      <c r="O573" s="3">
        <v>3</v>
      </c>
      <c r="P573" s="3">
        <v>1</v>
      </c>
      <c r="Q573" s="3">
        <v>1</v>
      </c>
      <c r="R573" s="3">
        <v>0</v>
      </c>
      <c r="S573" s="3"/>
      <c r="T573" s="3">
        <v>0</v>
      </c>
      <c r="U573" s="3">
        <v>1.082E-2</v>
      </c>
      <c r="V573" s="3">
        <v>1.026E-2</v>
      </c>
      <c r="W573" s="3">
        <v>0</v>
      </c>
      <c r="X573" s="3"/>
      <c r="AB573" s="3" t="str">
        <f t="shared" si="5"/>
        <v>___</v>
      </c>
      <c r="AC573" s="3" t="str">
        <f t="shared" si="4"/>
        <v>____</v>
      </c>
    </row>
    <row r="574" spans="1:32" ht="12.5">
      <c r="E574" s="3"/>
      <c r="F574" s="3"/>
      <c r="G574" s="3"/>
      <c r="L574" s="3" t="s">
        <v>39</v>
      </c>
      <c r="M574" s="3">
        <v>11</v>
      </c>
      <c r="N574" s="3">
        <v>0</v>
      </c>
      <c r="O574" s="3">
        <v>1</v>
      </c>
      <c r="P574" s="3">
        <v>1</v>
      </c>
      <c r="Q574" s="3">
        <v>1</v>
      </c>
      <c r="R574" s="3">
        <v>0</v>
      </c>
      <c r="S574" s="3"/>
      <c r="T574" s="3">
        <v>0</v>
      </c>
      <c r="U574" s="3">
        <v>7.7499999999999999E-3</v>
      </c>
      <c r="V574" s="3">
        <v>1.915E-2</v>
      </c>
      <c r="W574" s="3">
        <v>0</v>
      </c>
      <c r="X574" s="3"/>
      <c r="AB574" s="3" t="str">
        <f t="shared" si="5"/>
        <v>___</v>
      </c>
      <c r="AC574" s="3" t="str">
        <f t="shared" si="4"/>
        <v>____</v>
      </c>
    </row>
    <row r="575" spans="1:32" ht="12.5">
      <c r="A575" s="12">
        <v>45493</v>
      </c>
      <c r="B575" s="3">
        <v>276</v>
      </c>
      <c r="C575" s="3">
        <v>64</v>
      </c>
      <c r="E575" s="3"/>
      <c r="F575" s="3"/>
      <c r="G575" s="3" t="s">
        <v>40</v>
      </c>
      <c r="H575" s="3">
        <v>3</v>
      </c>
      <c r="I575" s="4">
        <v>45480</v>
      </c>
      <c r="J575" s="4">
        <v>45511</v>
      </c>
      <c r="K575" s="3">
        <v>6</v>
      </c>
      <c r="L575" s="3" t="s">
        <v>36</v>
      </c>
      <c r="M575" s="3">
        <v>14</v>
      </c>
      <c r="N575" s="3">
        <v>5</v>
      </c>
      <c r="O575" s="3">
        <v>5</v>
      </c>
      <c r="R575" s="3">
        <v>0</v>
      </c>
      <c r="S575" s="3"/>
      <c r="T575" s="3">
        <v>1.0059999999999999E-2</v>
      </c>
      <c r="U575" s="3">
        <v>2.8800000000000002E-3</v>
      </c>
      <c r="V575" s="3">
        <v>0</v>
      </c>
      <c r="W575" s="3">
        <v>0</v>
      </c>
      <c r="X575" s="3"/>
      <c r="AB575" s="3" t="str">
        <f t="shared" si="5"/>
        <v>276_64__vm</v>
      </c>
      <c r="AC575" s="3" t="str">
        <f t="shared" si="4"/>
        <v>276_64__vm_3</v>
      </c>
      <c r="AE575" s="3" t="s">
        <v>37</v>
      </c>
      <c r="AF575" s="3" t="s">
        <v>37</v>
      </c>
    </row>
    <row r="576" spans="1:32" ht="12.5">
      <c r="E576" s="3"/>
      <c r="F576" s="3"/>
      <c r="G576" s="3"/>
      <c r="L576" s="3" t="s">
        <v>38</v>
      </c>
      <c r="M576" s="3">
        <v>22</v>
      </c>
      <c r="N576" s="3">
        <v>0</v>
      </c>
      <c r="O576" s="3">
        <v>3</v>
      </c>
      <c r="P576" s="3">
        <v>1</v>
      </c>
      <c r="Q576" s="3">
        <v>1</v>
      </c>
      <c r="R576" s="3">
        <v>0</v>
      </c>
      <c r="S576" s="3"/>
      <c r="T576" s="3">
        <v>0</v>
      </c>
      <c r="U576" s="3">
        <v>7.6600000000000001E-3</v>
      </c>
      <c r="V576" s="3">
        <v>9.3699999999999999E-3</v>
      </c>
      <c r="W576" s="3">
        <v>0</v>
      </c>
      <c r="X576" s="3"/>
      <c r="AB576" s="3" t="str">
        <f t="shared" si="5"/>
        <v>___</v>
      </c>
      <c r="AC576" s="3" t="str">
        <f t="shared" si="4"/>
        <v>____</v>
      </c>
    </row>
    <row r="577" spans="1:32" ht="12.5">
      <c r="E577" s="3"/>
      <c r="F577" s="3"/>
      <c r="G577" s="3"/>
      <c r="L577" s="3" t="s">
        <v>39</v>
      </c>
      <c r="M577" s="3">
        <v>17</v>
      </c>
      <c r="N577" s="3">
        <v>0</v>
      </c>
      <c r="O577" s="3">
        <v>2</v>
      </c>
      <c r="P577" s="3">
        <v>3</v>
      </c>
      <c r="Q577" s="3">
        <v>3</v>
      </c>
      <c r="R577" s="3">
        <v>0</v>
      </c>
      <c r="S577" s="3"/>
      <c r="T577" s="3">
        <v>0</v>
      </c>
      <c r="U577" s="3">
        <v>9.1500000000000001E-3</v>
      </c>
      <c r="V577" s="3">
        <v>5.9159999999999997E-2</v>
      </c>
      <c r="W577" s="3">
        <v>0</v>
      </c>
      <c r="X577" s="3"/>
      <c r="AB577" s="3" t="str">
        <f t="shared" si="5"/>
        <v>___</v>
      </c>
      <c r="AC577" s="3" t="str">
        <f t="shared" si="4"/>
        <v>____</v>
      </c>
    </row>
    <row r="578" spans="1:32" ht="12.5">
      <c r="A578" s="12">
        <v>45493</v>
      </c>
      <c r="B578" s="3">
        <v>276</v>
      </c>
      <c r="C578" s="3">
        <v>64</v>
      </c>
      <c r="E578" s="3"/>
      <c r="F578" s="3"/>
      <c r="G578" s="3" t="s">
        <v>35</v>
      </c>
      <c r="H578" s="3">
        <v>1</v>
      </c>
      <c r="I578" s="4">
        <v>45415</v>
      </c>
      <c r="J578" s="4">
        <v>45538</v>
      </c>
      <c r="K578" s="3">
        <v>5</v>
      </c>
      <c r="L578" s="3" t="s">
        <v>36</v>
      </c>
      <c r="M578" s="3">
        <v>10</v>
      </c>
      <c r="N578" s="3">
        <v>8</v>
      </c>
      <c r="O578" s="3">
        <v>8</v>
      </c>
      <c r="R578" s="3">
        <v>0</v>
      </c>
      <c r="S578" s="3"/>
      <c r="T578" s="3">
        <v>2.094E-2</v>
      </c>
      <c r="U578" s="3">
        <v>1.83E-3</v>
      </c>
      <c r="V578" s="3">
        <v>0</v>
      </c>
      <c r="W578" s="3">
        <v>0</v>
      </c>
      <c r="X578" s="3"/>
      <c r="AB578" s="3" t="str">
        <f t="shared" si="5"/>
        <v>276_64__vv</v>
      </c>
      <c r="AC578" s="3" t="str">
        <f t="shared" si="4"/>
        <v>276_64__vv_1</v>
      </c>
      <c r="AE578" s="3" t="s">
        <v>37</v>
      </c>
      <c r="AF578" s="3" t="s">
        <v>37</v>
      </c>
    </row>
    <row r="579" spans="1:32" ht="12.5">
      <c r="E579" s="3"/>
      <c r="F579" s="3"/>
      <c r="G579" s="3"/>
      <c r="L579" s="3" t="s">
        <v>38</v>
      </c>
      <c r="M579" s="3">
        <v>13</v>
      </c>
      <c r="N579" s="3">
        <v>7</v>
      </c>
      <c r="O579" s="3">
        <v>7</v>
      </c>
      <c r="R579" s="3">
        <v>0</v>
      </c>
      <c r="S579" s="3"/>
      <c r="T579" s="3">
        <v>5.1950000000000003E-2</v>
      </c>
      <c r="U579" s="3">
        <v>3.7100000000000002E-3</v>
      </c>
      <c r="V579" s="3">
        <v>0</v>
      </c>
      <c r="W579" s="3">
        <v>0</v>
      </c>
      <c r="X579" s="3"/>
      <c r="AB579" s="3" t="str">
        <f t="shared" si="5"/>
        <v>___</v>
      </c>
      <c r="AC579" s="3" t="str">
        <f t="shared" si="4"/>
        <v>____</v>
      </c>
    </row>
    <row r="580" spans="1:32" ht="12.5">
      <c r="E580" s="3"/>
      <c r="F580" s="3"/>
      <c r="G580" s="3"/>
      <c r="L580" s="3" t="s">
        <v>39</v>
      </c>
      <c r="M580" s="3">
        <v>6</v>
      </c>
      <c r="N580" s="3">
        <v>4</v>
      </c>
      <c r="O580" s="3">
        <v>5</v>
      </c>
      <c r="R580" s="3">
        <v>0</v>
      </c>
      <c r="S580" s="3"/>
      <c r="T580" s="3">
        <v>1.7309999999999999E-2</v>
      </c>
      <c r="U580" s="3">
        <v>1.4499999999999999E-3</v>
      </c>
      <c r="V580" s="3">
        <v>0</v>
      </c>
      <c r="W580" s="3">
        <v>0</v>
      </c>
      <c r="X580" s="3"/>
      <c r="AB580" s="3" t="str">
        <f t="shared" si="5"/>
        <v>___</v>
      </c>
      <c r="AC580" s="3" t="str">
        <f t="shared" si="4"/>
        <v>____</v>
      </c>
    </row>
    <row r="581" spans="1:32" ht="12.5">
      <c r="A581" s="12">
        <v>45493</v>
      </c>
      <c r="B581" s="3">
        <v>276</v>
      </c>
      <c r="C581" s="3">
        <v>64</v>
      </c>
      <c r="E581" s="3"/>
      <c r="F581" s="3"/>
      <c r="G581" s="3" t="s">
        <v>35</v>
      </c>
      <c r="H581" s="3">
        <v>2</v>
      </c>
      <c r="I581" s="4">
        <v>45445</v>
      </c>
      <c r="J581" s="4">
        <v>45384</v>
      </c>
      <c r="K581" s="3">
        <v>2</v>
      </c>
      <c r="L581" s="3" t="s">
        <v>36</v>
      </c>
      <c r="M581" s="3">
        <v>10</v>
      </c>
      <c r="N581" s="3">
        <v>8</v>
      </c>
      <c r="O581" s="3">
        <v>8</v>
      </c>
      <c r="R581" s="3">
        <v>0</v>
      </c>
      <c r="S581" s="3"/>
      <c r="T581" s="3">
        <v>3.0470000000000001E-2</v>
      </c>
      <c r="U581" s="3">
        <v>1.99E-3</v>
      </c>
      <c r="V581" s="3">
        <v>0</v>
      </c>
      <c r="W581" s="3">
        <v>0</v>
      </c>
      <c r="X581" s="3"/>
      <c r="Y581" s="3"/>
      <c r="Z581" s="3" t="s">
        <v>56</v>
      </c>
      <c r="AB581" s="3" t="str">
        <f t="shared" si="5"/>
        <v>276_64__vv</v>
      </c>
      <c r="AC581" s="3" t="str">
        <f t="shared" si="4"/>
        <v>276_64__vv_2</v>
      </c>
      <c r="AE581" s="3" t="s">
        <v>37</v>
      </c>
      <c r="AF581" s="3" t="s">
        <v>37</v>
      </c>
    </row>
    <row r="582" spans="1:32" ht="12.5">
      <c r="E582" s="3"/>
      <c r="F582" s="3"/>
      <c r="G582" s="3"/>
      <c r="L582" s="3" t="s">
        <v>38</v>
      </c>
      <c r="M582" s="3">
        <v>15</v>
      </c>
      <c r="N582" s="3">
        <v>5</v>
      </c>
      <c r="O582" s="3">
        <v>8</v>
      </c>
      <c r="R582" s="3">
        <v>0</v>
      </c>
      <c r="S582" s="3"/>
      <c r="T582" s="3">
        <v>2.2409999999999999E-2</v>
      </c>
      <c r="U582" s="3">
        <v>4.7499999999999999E-3</v>
      </c>
      <c r="V582" s="3">
        <v>0</v>
      </c>
      <c r="W582" s="3">
        <v>0</v>
      </c>
      <c r="X582" s="3"/>
      <c r="AB582" s="3" t="str">
        <f t="shared" si="5"/>
        <v>___</v>
      </c>
      <c r="AC582" s="3" t="str">
        <f t="shared" si="4"/>
        <v>____</v>
      </c>
    </row>
    <row r="583" spans="1:32" ht="12.5">
      <c r="E583" s="3"/>
      <c r="F583" s="3"/>
      <c r="G583" s="3"/>
      <c r="L583" s="3" t="s">
        <v>39</v>
      </c>
      <c r="M583" s="3" t="s">
        <v>47</v>
      </c>
      <c r="N583" s="3" t="s">
        <v>47</v>
      </c>
      <c r="O583" s="3" t="s">
        <v>47</v>
      </c>
      <c r="AB583" s="3" t="str">
        <f t="shared" si="5"/>
        <v>___</v>
      </c>
      <c r="AC583" s="3" t="str">
        <f t="shared" si="4"/>
        <v>____</v>
      </c>
    </row>
    <row r="584" spans="1:32" ht="12.5">
      <c r="A584" s="12">
        <v>45493</v>
      </c>
      <c r="B584" s="3">
        <v>276</v>
      </c>
      <c r="C584" s="3">
        <v>64</v>
      </c>
      <c r="E584" s="3"/>
      <c r="F584" s="3"/>
      <c r="G584" s="3" t="s">
        <v>35</v>
      </c>
      <c r="H584" s="3">
        <v>3</v>
      </c>
      <c r="I584" s="3">
        <v>4</v>
      </c>
      <c r="J584" s="3">
        <v>4</v>
      </c>
      <c r="K584" s="3">
        <v>3</v>
      </c>
      <c r="L584" s="3" t="s">
        <v>36</v>
      </c>
      <c r="M584" s="3">
        <v>22</v>
      </c>
      <c r="N584" s="3">
        <v>7</v>
      </c>
      <c r="O584" s="3">
        <v>7</v>
      </c>
      <c r="R584" s="3">
        <v>0</v>
      </c>
      <c r="S584" s="3"/>
      <c r="T584" s="3">
        <v>4.4470000000000003E-2</v>
      </c>
      <c r="U584" s="3">
        <v>5.2599999999999999E-3</v>
      </c>
      <c r="V584" s="3">
        <v>0</v>
      </c>
      <c r="W584" s="3">
        <v>0</v>
      </c>
      <c r="X584" s="3"/>
      <c r="AB584" s="3" t="str">
        <f t="shared" si="5"/>
        <v>276_64__vv</v>
      </c>
      <c r="AC584" s="3" t="str">
        <f t="shared" si="4"/>
        <v>276_64__vv_3</v>
      </c>
      <c r="AE584" s="3" t="s">
        <v>37</v>
      </c>
      <c r="AF584" s="3" t="s">
        <v>37</v>
      </c>
    </row>
    <row r="585" spans="1:32" ht="12.5">
      <c r="E585" s="3"/>
      <c r="F585" s="3"/>
      <c r="G585" s="3"/>
      <c r="L585" s="3" t="s">
        <v>38</v>
      </c>
      <c r="M585" s="3">
        <v>13</v>
      </c>
      <c r="N585" s="3">
        <v>4</v>
      </c>
      <c r="O585" s="3">
        <v>7</v>
      </c>
      <c r="R585" s="3">
        <v>0</v>
      </c>
      <c r="S585" s="3"/>
      <c r="T585" s="3">
        <v>8.7500000000000008E-3</v>
      </c>
      <c r="U585" s="3">
        <v>3.2299999999999998E-3</v>
      </c>
      <c r="V585" s="3">
        <v>0</v>
      </c>
      <c r="W585" s="3">
        <v>0</v>
      </c>
      <c r="X585" s="3"/>
      <c r="AB585" s="3" t="str">
        <f t="shared" si="5"/>
        <v>___</v>
      </c>
      <c r="AC585" s="3" t="str">
        <f t="shared" si="4"/>
        <v>____</v>
      </c>
    </row>
    <row r="586" spans="1:32" ht="12.5">
      <c r="E586" s="3"/>
      <c r="F586" s="3"/>
      <c r="G586" s="3"/>
      <c r="L586" s="3" t="s">
        <v>39</v>
      </c>
      <c r="M586" s="3">
        <v>5</v>
      </c>
      <c r="N586" s="3">
        <v>4</v>
      </c>
      <c r="O586" s="3">
        <v>0</v>
      </c>
      <c r="R586" s="3">
        <v>0</v>
      </c>
      <c r="S586" s="3"/>
      <c r="T586" s="3">
        <v>0</v>
      </c>
      <c r="U586" s="3">
        <v>1.1999999999999999E-3</v>
      </c>
      <c r="V586" s="3">
        <v>0</v>
      </c>
      <c r="W586" s="3">
        <v>0</v>
      </c>
      <c r="X586" s="3"/>
      <c r="AB586" s="3" t="str">
        <f t="shared" si="5"/>
        <v>___</v>
      </c>
      <c r="AC586" s="3" t="str">
        <f t="shared" si="4"/>
        <v>____</v>
      </c>
    </row>
    <row r="587" spans="1:32" ht="12.5">
      <c r="A587" s="12">
        <v>45493</v>
      </c>
      <c r="B587" s="6">
        <v>276</v>
      </c>
      <c r="C587" s="6">
        <v>42</v>
      </c>
      <c r="E587" s="3"/>
      <c r="F587" s="3"/>
      <c r="G587" s="3" t="s">
        <v>40</v>
      </c>
      <c r="H587" s="3">
        <v>1</v>
      </c>
      <c r="I587" s="4">
        <v>45478</v>
      </c>
      <c r="J587" s="4">
        <v>45356</v>
      </c>
      <c r="K587" s="3">
        <v>4</v>
      </c>
      <c r="L587" s="3" t="s">
        <v>36</v>
      </c>
      <c r="M587" s="3">
        <v>30</v>
      </c>
      <c r="N587" s="3">
        <v>6</v>
      </c>
      <c r="O587" s="3">
        <v>6</v>
      </c>
      <c r="R587" s="3">
        <v>0</v>
      </c>
      <c r="S587" s="3"/>
      <c r="T587" s="3">
        <v>2.971E-2</v>
      </c>
      <c r="U587" s="3">
        <v>9.6900000000000007E-3</v>
      </c>
      <c r="V587" s="3">
        <v>0</v>
      </c>
      <c r="W587" s="3">
        <v>0</v>
      </c>
      <c r="X587" s="3"/>
      <c r="AB587" s="3" t="str">
        <f t="shared" si="5"/>
        <v>276_42__vm</v>
      </c>
      <c r="AC587" s="3" t="str">
        <f t="shared" si="4"/>
        <v>276_42__vm_1</v>
      </c>
      <c r="AE587" s="3" t="s">
        <v>37</v>
      </c>
      <c r="AF587" s="3" t="s">
        <v>37</v>
      </c>
    </row>
    <row r="588" spans="1:32" ht="12.5">
      <c r="E588" s="3"/>
      <c r="F588" s="3"/>
      <c r="G588" s="3"/>
      <c r="L588" s="3" t="s">
        <v>38</v>
      </c>
      <c r="M588" s="3">
        <v>15</v>
      </c>
      <c r="N588" s="3">
        <v>0</v>
      </c>
      <c r="O588" s="3">
        <v>3</v>
      </c>
      <c r="P588" s="3">
        <v>1</v>
      </c>
      <c r="Q588" s="3">
        <v>1</v>
      </c>
      <c r="R588" s="3">
        <v>0</v>
      </c>
      <c r="S588" s="3"/>
      <c r="T588" s="3">
        <v>0</v>
      </c>
      <c r="U588" s="3">
        <v>5.8199999999999997E-3</v>
      </c>
      <c r="V588" s="3">
        <v>1.3899999999999999E-2</v>
      </c>
      <c r="W588" s="3">
        <v>0</v>
      </c>
      <c r="X588" s="3"/>
      <c r="AB588" s="3" t="str">
        <f t="shared" si="5"/>
        <v>___</v>
      </c>
      <c r="AC588" s="3" t="str">
        <f t="shared" si="4"/>
        <v>____</v>
      </c>
    </row>
    <row r="589" spans="1:32" ht="12.5">
      <c r="E589" s="3"/>
      <c r="F589" s="3"/>
      <c r="G589" s="3"/>
      <c r="L589" s="3" t="s">
        <v>39</v>
      </c>
      <c r="M589" s="3">
        <v>8</v>
      </c>
      <c r="N589" s="3">
        <v>0</v>
      </c>
      <c r="O589" s="3">
        <v>2</v>
      </c>
      <c r="P589" s="3">
        <v>2</v>
      </c>
      <c r="Q589" s="3">
        <v>2</v>
      </c>
      <c r="R589" s="3">
        <v>0</v>
      </c>
      <c r="S589" s="3"/>
      <c r="T589" s="3">
        <v>0</v>
      </c>
      <c r="U589" s="3">
        <v>6.0800000000000003E-3</v>
      </c>
      <c r="V589" s="3">
        <v>6.0740000000000002E-2</v>
      </c>
      <c r="W589" s="3">
        <v>0</v>
      </c>
      <c r="X589" s="3"/>
      <c r="AB589" s="3" t="str">
        <f t="shared" si="5"/>
        <v>___</v>
      </c>
      <c r="AC589" s="3" t="str">
        <f t="shared" si="4"/>
        <v>____</v>
      </c>
    </row>
    <row r="590" spans="1:32" ht="12.5">
      <c r="A590" s="12">
        <v>45493</v>
      </c>
      <c r="B590" s="3">
        <v>276</v>
      </c>
      <c r="C590" s="3">
        <v>42</v>
      </c>
      <c r="E590" s="3"/>
      <c r="F590" s="3"/>
      <c r="G590" s="3" t="s">
        <v>40</v>
      </c>
      <c r="H590" s="3">
        <v>2</v>
      </c>
      <c r="I590" s="4">
        <v>45418</v>
      </c>
      <c r="J590" s="4">
        <v>45510</v>
      </c>
      <c r="K590" s="3">
        <v>3</v>
      </c>
      <c r="L590" s="3" t="s">
        <v>36</v>
      </c>
      <c r="M590" s="3">
        <v>24</v>
      </c>
      <c r="N590" s="3">
        <v>7</v>
      </c>
      <c r="O590" s="3">
        <v>7</v>
      </c>
      <c r="R590" s="3">
        <v>0</v>
      </c>
      <c r="S590" s="3"/>
      <c r="T590" s="3">
        <v>2.615E-2</v>
      </c>
      <c r="U590" s="3">
        <v>9.9599999999999994E-2</v>
      </c>
      <c r="V590" s="3">
        <v>0</v>
      </c>
      <c r="W590" s="3">
        <v>0</v>
      </c>
      <c r="X590" s="3"/>
      <c r="AB590" s="3" t="str">
        <f t="shared" si="5"/>
        <v>276_42__vm</v>
      </c>
      <c r="AC590" s="3" t="str">
        <f t="shared" si="4"/>
        <v>276_42__vm_2</v>
      </c>
      <c r="AE590" s="3" t="s">
        <v>37</v>
      </c>
      <c r="AF590" s="3" t="s">
        <v>37</v>
      </c>
    </row>
    <row r="591" spans="1:32" ht="12.5">
      <c r="E591" s="3"/>
      <c r="F591" s="3"/>
      <c r="G591" s="3"/>
      <c r="L591" s="3" t="s">
        <v>38</v>
      </c>
      <c r="M591" s="3">
        <v>39</v>
      </c>
      <c r="N591" s="3">
        <v>0</v>
      </c>
      <c r="O591" s="3">
        <v>3</v>
      </c>
      <c r="P591" s="3">
        <v>4</v>
      </c>
      <c r="Q591" s="3">
        <v>3</v>
      </c>
      <c r="R591" s="3">
        <v>0</v>
      </c>
      <c r="S591" s="3"/>
      <c r="T591" s="3">
        <v>0</v>
      </c>
      <c r="U591" s="3">
        <v>2.9080000000000002E-2</v>
      </c>
      <c r="V591" s="3">
        <v>7.1999999999999995E-2</v>
      </c>
      <c r="W591" s="3">
        <v>0</v>
      </c>
      <c r="X591" s="3"/>
      <c r="Y591" s="3"/>
      <c r="Z591" s="3" t="s">
        <v>60</v>
      </c>
      <c r="AB591" s="3" t="str">
        <f t="shared" si="5"/>
        <v>___</v>
      </c>
      <c r="AC591" s="3" t="str">
        <f t="shared" si="4"/>
        <v>____</v>
      </c>
    </row>
    <row r="592" spans="1:32" ht="12.5">
      <c r="E592" s="3"/>
      <c r="F592" s="3"/>
      <c r="G592" s="3"/>
      <c r="L592" s="3" t="s">
        <v>39</v>
      </c>
      <c r="M592" s="3">
        <v>7</v>
      </c>
      <c r="N592" s="3">
        <v>0</v>
      </c>
      <c r="O592" s="3">
        <v>1</v>
      </c>
      <c r="P592" s="3">
        <v>1</v>
      </c>
      <c r="Q592" s="3">
        <v>1</v>
      </c>
      <c r="R592" s="3">
        <v>0</v>
      </c>
      <c r="S592" s="3"/>
      <c r="T592" s="3">
        <v>0</v>
      </c>
      <c r="U592" s="3">
        <v>5.0800000000000003E-3</v>
      </c>
      <c r="V592" s="3">
        <v>4.2000000000000002E-4</v>
      </c>
      <c r="W592" s="3">
        <v>0</v>
      </c>
      <c r="X592" s="3"/>
      <c r="AB592" s="3" t="str">
        <f t="shared" si="5"/>
        <v>___</v>
      </c>
      <c r="AC592" s="3" t="str">
        <f t="shared" si="4"/>
        <v>____</v>
      </c>
    </row>
    <row r="593" spans="1:32" ht="12.5">
      <c r="A593" s="12">
        <v>45493</v>
      </c>
      <c r="B593" s="3">
        <v>276</v>
      </c>
      <c r="C593" s="3">
        <v>42</v>
      </c>
      <c r="E593" s="3"/>
      <c r="G593" s="3" t="s">
        <v>35</v>
      </c>
      <c r="H593" s="3">
        <v>2</v>
      </c>
      <c r="I593" s="4">
        <v>45414</v>
      </c>
      <c r="J593" s="4">
        <v>45414</v>
      </c>
      <c r="K593" s="3">
        <v>4</v>
      </c>
      <c r="L593" s="3" t="s">
        <v>36</v>
      </c>
      <c r="M593" s="3">
        <v>11</v>
      </c>
      <c r="N593" s="3">
        <v>6</v>
      </c>
      <c r="O593" s="3">
        <v>6</v>
      </c>
      <c r="R593" s="3">
        <v>0</v>
      </c>
      <c r="S593" s="3"/>
      <c r="T593" s="3">
        <v>3.2300000000000002E-2</v>
      </c>
      <c r="U593" s="3">
        <v>2.8999999999999998E-3</v>
      </c>
      <c r="V593" s="3">
        <v>0</v>
      </c>
      <c r="W593" s="3">
        <v>0</v>
      </c>
      <c r="X593" s="3"/>
      <c r="Z593" s="3" t="s">
        <v>79</v>
      </c>
      <c r="AB593" s="3" t="str">
        <f t="shared" si="5"/>
        <v>276_42__vv</v>
      </c>
      <c r="AC593" s="3" t="str">
        <f t="shared" si="4"/>
        <v>276_42__vv_2</v>
      </c>
      <c r="AE593" s="3" t="s">
        <v>37</v>
      </c>
      <c r="AF593" s="3" t="s">
        <v>37</v>
      </c>
    </row>
    <row r="594" spans="1:32" ht="12.5">
      <c r="E594" s="3"/>
      <c r="G594" s="3"/>
      <c r="L594" s="3" t="s">
        <v>38</v>
      </c>
      <c r="M594" s="3">
        <v>6</v>
      </c>
      <c r="N594" s="3">
        <v>0</v>
      </c>
      <c r="O594" s="3">
        <v>6</v>
      </c>
      <c r="R594" s="3">
        <v>0</v>
      </c>
      <c r="S594" s="3"/>
      <c r="T594" s="3">
        <v>5.8799999999999998E-3</v>
      </c>
      <c r="U594" s="3">
        <v>2.0500000000000002E-3</v>
      </c>
      <c r="V594" s="3">
        <v>0</v>
      </c>
      <c r="W594" s="3">
        <v>0</v>
      </c>
      <c r="X594" s="3"/>
      <c r="AB594" s="3" t="str">
        <f t="shared" si="5"/>
        <v>___</v>
      </c>
      <c r="AC594" s="3" t="str">
        <f t="shared" si="4"/>
        <v>____</v>
      </c>
    </row>
    <row r="595" spans="1:32" ht="12.5">
      <c r="E595" s="3"/>
      <c r="G595" s="3"/>
      <c r="L595" s="3" t="s">
        <v>39</v>
      </c>
      <c r="M595" s="3">
        <v>5</v>
      </c>
      <c r="N595" s="3">
        <v>0</v>
      </c>
      <c r="O595" s="3">
        <v>5</v>
      </c>
      <c r="R595" s="3">
        <v>0</v>
      </c>
      <c r="S595" s="3"/>
      <c r="T595" s="3">
        <v>0</v>
      </c>
      <c r="U595" s="3">
        <v>4.2900000000000004E-3</v>
      </c>
      <c r="V595" s="3">
        <v>7.2999999999999996E-4</v>
      </c>
      <c r="W595" s="3">
        <v>0</v>
      </c>
      <c r="X595" s="3"/>
      <c r="AB595" s="3" t="str">
        <f t="shared" si="5"/>
        <v>___</v>
      </c>
      <c r="AC595" s="3" t="str">
        <f t="shared" si="4"/>
        <v>____</v>
      </c>
    </row>
    <row r="596" spans="1:32" ht="12.5">
      <c r="A596" s="12">
        <v>45493</v>
      </c>
      <c r="B596" s="3">
        <v>276</v>
      </c>
      <c r="C596" s="3">
        <v>42</v>
      </c>
      <c r="E596" s="3"/>
      <c r="G596" s="3" t="s">
        <v>35</v>
      </c>
      <c r="H596" s="3">
        <v>3</v>
      </c>
      <c r="I596" s="4">
        <v>45293</v>
      </c>
      <c r="J596" s="4">
        <v>45384</v>
      </c>
      <c r="K596" s="3">
        <v>3</v>
      </c>
      <c r="L596" s="3" t="s">
        <v>36</v>
      </c>
      <c r="M596" s="3">
        <v>14</v>
      </c>
      <c r="N596" s="3">
        <v>7</v>
      </c>
      <c r="O596" s="3">
        <v>8</v>
      </c>
      <c r="R596" s="3">
        <v>0</v>
      </c>
      <c r="S596" s="3"/>
      <c r="T596" s="3">
        <v>3.8539999999999998E-2</v>
      </c>
      <c r="U596" s="3">
        <v>3.3400000000000001E-3</v>
      </c>
      <c r="V596" s="3">
        <v>0</v>
      </c>
      <c r="W596" s="3">
        <v>0</v>
      </c>
      <c r="X596" s="3"/>
      <c r="AB596" s="3" t="str">
        <f t="shared" si="5"/>
        <v>276_42__vv</v>
      </c>
      <c r="AC596" s="3" t="str">
        <f t="shared" si="4"/>
        <v>276_42__vv_3</v>
      </c>
      <c r="AE596" s="3" t="s">
        <v>37</v>
      </c>
      <c r="AF596" s="3" t="s">
        <v>37</v>
      </c>
    </row>
    <row r="597" spans="1:32" ht="12.5">
      <c r="E597" s="3"/>
      <c r="G597" s="3"/>
      <c r="L597" s="3" t="s">
        <v>38</v>
      </c>
      <c r="M597" s="3">
        <v>8</v>
      </c>
      <c r="N597" s="3">
        <v>1</v>
      </c>
      <c r="O597" s="3">
        <v>5</v>
      </c>
      <c r="R597" s="3">
        <v>0</v>
      </c>
      <c r="S597" s="3"/>
      <c r="T597" s="3">
        <v>0</v>
      </c>
      <c r="U597" s="3">
        <v>1.7600000000000001E-3</v>
      </c>
      <c r="V597" s="3">
        <v>0</v>
      </c>
      <c r="W597" s="3">
        <v>0</v>
      </c>
      <c r="X597" s="3"/>
      <c r="AB597" s="3" t="str">
        <f t="shared" si="5"/>
        <v>___</v>
      </c>
      <c r="AC597" s="3" t="str">
        <f t="shared" si="4"/>
        <v>____</v>
      </c>
      <c r="AF597" s="3" t="s">
        <v>37</v>
      </c>
    </row>
    <row r="598" spans="1:32" ht="12.5">
      <c r="E598" s="3"/>
      <c r="G598" s="3"/>
      <c r="L598" s="3" t="s">
        <v>39</v>
      </c>
      <c r="M598" s="3">
        <v>9</v>
      </c>
      <c r="N598" s="3">
        <v>0</v>
      </c>
      <c r="O598" s="3">
        <v>8</v>
      </c>
      <c r="P598" s="3">
        <v>2</v>
      </c>
      <c r="Q598" s="3">
        <v>1</v>
      </c>
      <c r="R598" s="3">
        <v>0</v>
      </c>
      <c r="S598" s="3"/>
      <c r="T598" s="3">
        <v>0</v>
      </c>
      <c r="U598" s="3">
        <v>2.5699999999999998E-3</v>
      </c>
      <c r="V598" s="3">
        <v>1.4189999999999999E-2</v>
      </c>
      <c r="W598" s="3">
        <v>0</v>
      </c>
      <c r="X598" s="3"/>
      <c r="Y598" s="3"/>
      <c r="Z598" s="3" t="s">
        <v>60</v>
      </c>
      <c r="AB598" s="3" t="str">
        <f t="shared" si="5"/>
        <v>___</v>
      </c>
      <c r="AC598" s="3" t="str">
        <f t="shared" si="4"/>
        <v>____</v>
      </c>
    </row>
    <row r="599" spans="1:32" ht="12.5">
      <c r="A599" s="12">
        <v>45493</v>
      </c>
      <c r="B599" s="3">
        <v>276</v>
      </c>
      <c r="C599" s="3">
        <v>42</v>
      </c>
      <c r="E599" s="3"/>
      <c r="G599" s="3" t="s">
        <v>35</v>
      </c>
      <c r="H599" s="3">
        <v>4</v>
      </c>
      <c r="I599" s="4">
        <v>45414</v>
      </c>
      <c r="J599" s="3">
        <v>2</v>
      </c>
      <c r="K599" s="3">
        <v>3</v>
      </c>
      <c r="L599" s="3" t="s">
        <v>36</v>
      </c>
      <c r="M599" s="3">
        <v>15</v>
      </c>
      <c r="N599" s="3">
        <v>8</v>
      </c>
      <c r="O599" s="3">
        <v>8</v>
      </c>
      <c r="R599" s="3">
        <v>0</v>
      </c>
      <c r="S599" s="3"/>
      <c r="T599" s="3">
        <v>2.7539999999999999E-2</v>
      </c>
      <c r="U599" s="3">
        <v>1.64E-3</v>
      </c>
      <c r="V599" s="3">
        <v>0</v>
      </c>
      <c r="W599" s="3">
        <v>0</v>
      </c>
      <c r="X599" s="3"/>
      <c r="AB599" s="3" t="str">
        <f t="shared" si="5"/>
        <v>276_42__vv</v>
      </c>
      <c r="AC599" s="3" t="str">
        <f t="shared" si="4"/>
        <v>276_42__vv_4</v>
      </c>
      <c r="AE599" s="3" t="s">
        <v>37</v>
      </c>
    </row>
    <row r="600" spans="1:32" ht="12.5">
      <c r="E600" s="3"/>
      <c r="G600" s="3"/>
      <c r="L600" s="3" t="s">
        <v>38</v>
      </c>
      <c r="M600" s="3">
        <v>6</v>
      </c>
      <c r="N600" s="3">
        <v>0</v>
      </c>
      <c r="O600" s="3">
        <v>5</v>
      </c>
      <c r="R600" s="3">
        <v>0</v>
      </c>
      <c r="S600" s="3"/>
      <c r="T600" s="3">
        <v>0</v>
      </c>
      <c r="U600" s="3">
        <v>1.0200000000000001E-3</v>
      </c>
      <c r="V600" s="3">
        <v>0</v>
      </c>
      <c r="W600" s="3">
        <v>0</v>
      </c>
      <c r="X600" s="3"/>
      <c r="AB600" s="3" t="str">
        <f t="shared" si="5"/>
        <v>___</v>
      </c>
      <c r="AC600" s="3" t="str">
        <f t="shared" si="4"/>
        <v>____</v>
      </c>
    </row>
    <row r="601" spans="1:32" ht="12.5">
      <c r="E601" s="3"/>
      <c r="G601" s="3"/>
      <c r="L601" s="3" t="s">
        <v>39</v>
      </c>
      <c r="M601" s="3">
        <v>7</v>
      </c>
      <c r="N601" s="3">
        <v>0</v>
      </c>
      <c r="O601" s="3">
        <v>3</v>
      </c>
      <c r="R601" s="3">
        <v>0</v>
      </c>
      <c r="S601" s="3"/>
      <c r="T601" s="3">
        <v>0</v>
      </c>
      <c r="U601" s="3">
        <v>1.31E-3</v>
      </c>
      <c r="V601" s="3">
        <v>0</v>
      </c>
      <c r="W601" s="3">
        <v>0</v>
      </c>
      <c r="X601" s="3"/>
      <c r="AB601" s="3" t="str">
        <f t="shared" si="5"/>
        <v>___</v>
      </c>
      <c r="AC601" s="3" t="str">
        <f t="shared" si="4"/>
        <v>____</v>
      </c>
    </row>
    <row r="602" spans="1:32" ht="12.5">
      <c r="A602" s="12">
        <v>45533</v>
      </c>
      <c r="B602" s="13" t="s">
        <v>80</v>
      </c>
      <c r="C602" s="10">
        <v>13</v>
      </c>
      <c r="D602" s="3" t="s">
        <v>81</v>
      </c>
      <c r="E602" s="3"/>
      <c r="F602" s="3" t="s">
        <v>82</v>
      </c>
      <c r="G602" s="3" t="s">
        <v>40</v>
      </c>
      <c r="H602" s="3">
        <v>1</v>
      </c>
      <c r="I602" s="4">
        <v>45431</v>
      </c>
      <c r="J602" s="4">
        <v>45464</v>
      </c>
      <c r="K602" s="3">
        <v>3</v>
      </c>
      <c r="L602" s="3" t="s">
        <v>36</v>
      </c>
      <c r="M602" s="3">
        <v>49</v>
      </c>
      <c r="N602" s="3">
        <v>7</v>
      </c>
      <c r="O602" s="3">
        <v>7</v>
      </c>
      <c r="AB602" s="3" t="str">
        <f t="shared" si="5"/>
        <v>0907_13_T4C5_vm</v>
      </c>
      <c r="AC602" s="3" t="str">
        <f t="shared" si="4"/>
        <v>0907_13_T4C5_vm_1</v>
      </c>
    </row>
    <row r="603" spans="1:32" ht="12.5">
      <c r="E603" s="3"/>
      <c r="F603" s="3"/>
      <c r="G603" s="3"/>
      <c r="L603" s="3" t="s">
        <v>38</v>
      </c>
      <c r="M603" s="3">
        <v>31</v>
      </c>
      <c r="N603" s="3">
        <v>0</v>
      </c>
      <c r="O603" s="3">
        <v>3</v>
      </c>
      <c r="Q603" s="3">
        <v>1</v>
      </c>
      <c r="AB603" s="3" t="str">
        <f t="shared" si="5"/>
        <v>___</v>
      </c>
      <c r="AC603" s="3" t="str">
        <f t="shared" si="4"/>
        <v>____</v>
      </c>
    </row>
    <row r="604" spans="1:32" ht="12.5">
      <c r="E604" s="3"/>
      <c r="F604" s="3"/>
      <c r="G604" s="3"/>
      <c r="L604" s="3" t="s">
        <v>39</v>
      </c>
      <c r="M604" s="3">
        <v>89</v>
      </c>
      <c r="N604" s="3">
        <v>0</v>
      </c>
      <c r="O604" s="3">
        <v>8</v>
      </c>
      <c r="Q604" s="3">
        <v>2</v>
      </c>
      <c r="AB604" s="3" t="str">
        <f t="shared" si="5"/>
        <v>___</v>
      </c>
      <c r="AC604" s="3" t="str">
        <f t="shared" si="4"/>
        <v>____</v>
      </c>
    </row>
    <row r="605" spans="1:32" ht="12.5">
      <c r="A605" s="12">
        <v>45533</v>
      </c>
      <c r="B605" s="14" t="s">
        <v>80</v>
      </c>
      <c r="C605" s="3">
        <v>13</v>
      </c>
      <c r="D605" s="3" t="s">
        <v>81</v>
      </c>
      <c r="E605" s="3"/>
      <c r="F605" s="3" t="s">
        <v>82</v>
      </c>
      <c r="G605" s="3" t="s">
        <v>35</v>
      </c>
      <c r="H605" s="3">
        <v>1</v>
      </c>
      <c r="I605" s="3">
        <v>18</v>
      </c>
      <c r="J605" s="4">
        <v>45402</v>
      </c>
      <c r="K605" s="3">
        <v>3</v>
      </c>
      <c r="L605" s="3" t="s">
        <v>36</v>
      </c>
      <c r="M605" s="3">
        <v>54</v>
      </c>
      <c r="N605" s="3">
        <v>14</v>
      </c>
      <c r="O605" s="3">
        <v>16</v>
      </c>
      <c r="AB605" s="3" t="str">
        <f t="shared" si="5"/>
        <v>0907_13_T4C5_vv</v>
      </c>
      <c r="AC605" s="3" t="str">
        <f t="shared" si="4"/>
        <v>0907_13_T4C5_vv_1</v>
      </c>
    </row>
    <row r="606" spans="1:32" ht="12.5">
      <c r="E606" s="3"/>
      <c r="F606" s="3"/>
      <c r="G606" s="3"/>
      <c r="L606" s="3" t="s">
        <v>38</v>
      </c>
      <c r="M606" s="3">
        <v>50</v>
      </c>
      <c r="N606" s="3">
        <v>12</v>
      </c>
      <c r="O606" s="3">
        <v>13</v>
      </c>
      <c r="Q606" s="3">
        <v>1</v>
      </c>
      <c r="AB606" s="3" t="str">
        <f t="shared" si="5"/>
        <v>___</v>
      </c>
      <c r="AC606" s="3" t="str">
        <f t="shared" si="4"/>
        <v>____</v>
      </c>
    </row>
    <row r="607" spans="1:32" ht="12.5">
      <c r="E607" s="3"/>
      <c r="F607" s="3"/>
      <c r="G607" s="3"/>
      <c r="L607" s="3" t="s">
        <v>39</v>
      </c>
      <c r="M607" s="3">
        <v>78</v>
      </c>
      <c r="N607" s="3">
        <v>1</v>
      </c>
      <c r="O607" s="3">
        <v>9</v>
      </c>
      <c r="AB607" s="3" t="str">
        <f t="shared" si="5"/>
        <v>___</v>
      </c>
      <c r="AC607" s="3" t="str">
        <f t="shared" si="4"/>
        <v>____</v>
      </c>
    </row>
    <row r="608" spans="1:32" ht="12.5">
      <c r="A608" s="12">
        <v>45533</v>
      </c>
      <c r="B608" s="14" t="s">
        <v>80</v>
      </c>
      <c r="C608" s="3">
        <v>13</v>
      </c>
      <c r="D608" s="3" t="s">
        <v>81</v>
      </c>
      <c r="E608" s="3"/>
      <c r="F608" s="3" t="s">
        <v>82</v>
      </c>
      <c r="G608" s="3" t="s">
        <v>35</v>
      </c>
      <c r="H608" s="3">
        <v>2</v>
      </c>
      <c r="I608" s="3">
        <v>24</v>
      </c>
      <c r="J608" s="3">
        <v>25</v>
      </c>
      <c r="K608" s="3">
        <v>3</v>
      </c>
      <c r="L608" s="3" t="s">
        <v>36</v>
      </c>
      <c r="M608" s="3">
        <v>52</v>
      </c>
      <c r="N608" s="3">
        <v>10</v>
      </c>
      <c r="O608" s="3">
        <v>11</v>
      </c>
      <c r="AB608" s="3" t="str">
        <f t="shared" si="5"/>
        <v>0907_13_T4C5_vv</v>
      </c>
      <c r="AC608" s="3" t="str">
        <f t="shared" si="4"/>
        <v>0907_13_T4C5_vv_2</v>
      </c>
    </row>
    <row r="609" spans="1:29" ht="12.5">
      <c r="E609" s="3"/>
      <c r="F609" s="3"/>
      <c r="G609" s="3"/>
      <c r="L609" s="3" t="s">
        <v>38</v>
      </c>
      <c r="M609" s="3">
        <v>50</v>
      </c>
      <c r="N609" s="3">
        <v>10</v>
      </c>
      <c r="O609" s="3">
        <v>10</v>
      </c>
      <c r="AB609" s="3" t="str">
        <f t="shared" si="5"/>
        <v>___</v>
      </c>
      <c r="AC609" s="3" t="str">
        <f t="shared" si="4"/>
        <v>____</v>
      </c>
    </row>
    <row r="610" spans="1:29" ht="12.5">
      <c r="E610" s="3"/>
      <c r="F610" s="3"/>
      <c r="G610" s="3"/>
      <c r="L610" s="3" t="s">
        <v>39</v>
      </c>
      <c r="M610" s="3">
        <v>71</v>
      </c>
      <c r="N610" s="3">
        <v>4</v>
      </c>
      <c r="O610" s="3">
        <v>10</v>
      </c>
      <c r="AB610" s="3" t="str">
        <f t="shared" si="5"/>
        <v>___</v>
      </c>
      <c r="AC610" s="3" t="str">
        <f t="shared" si="4"/>
        <v>____</v>
      </c>
    </row>
    <row r="611" spans="1:29" ht="12.5">
      <c r="A611" s="12">
        <v>45533</v>
      </c>
      <c r="B611" s="14" t="s">
        <v>80</v>
      </c>
      <c r="C611" s="3">
        <v>13</v>
      </c>
      <c r="D611" s="3" t="s">
        <v>81</v>
      </c>
      <c r="E611" s="3"/>
      <c r="F611" s="3" t="s">
        <v>82</v>
      </c>
      <c r="G611" s="3" t="s">
        <v>40</v>
      </c>
      <c r="H611" s="3">
        <v>2</v>
      </c>
      <c r="I611" s="4">
        <v>45341</v>
      </c>
      <c r="J611" s="4">
        <v>45402</v>
      </c>
      <c r="K611" s="3">
        <v>3</v>
      </c>
      <c r="L611" s="3" t="s">
        <v>36</v>
      </c>
      <c r="M611" s="3">
        <v>46</v>
      </c>
      <c r="N611" s="3">
        <v>5</v>
      </c>
      <c r="O611" s="3">
        <v>6</v>
      </c>
      <c r="AB611" s="3" t="str">
        <f t="shared" si="5"/>
        <v>0907_13_T4C5_vm</v>
      </c>
      <c r="AC611" s="3" t="str">
        <f t="shared" si="4"/>
        <v>0907_13_T4C5_vm_2</v>
      </c>
    </row>
    <row r="612" spans="1:29" ht="12.5">
      <c r="E612" s="3"/>
      <c r="F612" s="3"/>
      <c r="G612" s="3"/>
      <c r="L612" s="3" t="s">
        <v>38</v>
      </c>
      <c r="M612" s="3">
        <v>65</v>
      </c>
      <c r="N612" s="3">
        <v>0</v>
      </c>
      <c r="O612" s="3">
        <v>8</v>
      </c>
      <c r="AB612" s="3" t="str">
        <f t="shared" si="5"/>
        <v>___</v>
      </c>
      <c r="AC612" s="3" t="str">
        <f t="shared" si="4"/>
        <v>____</v>
      </c>
    </row>
    <row r="613" spans="1:29" ht="12.5">
      <c r="E613" s="3"/>
      <c r="F613" s="3"/>
      <c r="G613" s="3"/>
      <c r="L613" s="3" t="s">
        <v>39</v>
      </c>
      <c r="M613" s="3">
        <v>89</v>
      </c>
      <c r="N613" s="3">
        <v>0</v>
      </c>
      <c r="O613" s="3">
        <v>5</v>
      </c>
      <c r="AB613" s="3" t="str">
        <f t="shared" si="5"/>
        <v>___</v>
      </c>
      <c r="AC613" s="3" t="str">
        <f t="shared" si="4"/>
        <v>____</v>
      </c>
    </row>
    <row r="614" spans="1:29" ht="12.5">
      <c r="A614" s="12">
        <v>45533</v>
      </c>
      <c r="B614" s="13" t="s">
        <v>80</v>
      </c>
      <c r="C614" s="10">
        <v>35</v>
      </c>
      <c r="D614" s="3" t="s">
        <v>81</v>
      </c>
      <c r="E614" s="3"/>
      <c r="F614" s="3" t="s">
        <v>83</v>
      </c>
      <c r="G614" s="3" t="s">
        <v>35</v>
      </c>
      <c r="H614" s="3">
        <v>3</v>
      </c>
      <c r="I614" s="3">
        <v>15</v>
      </c>
      <c r="J614" s="4">
        <v>45523</v>
      </c>
      <c r="K614" s="3">
        <v>3</v>
      </c>
      <c r="L614" s="3" t="s">
        <v>36</v>
      </c>
      <c r="M614" s="3">
        <v>36</v>
      </c>
      <c r="N614" s="3">
        <v>6</v>
      </c>
      <c r="O614" s="3">
        <v>6</v>
      </c>
      <c r="AB614" s="3" t="str">
        <f t="shared" si="5"/>
        <v>0907_35_T32C3_vv</v>
      </c>
      <c r="AC614" s="3" t="str">
        <f t="shared" si="4"/>
        <v>0907_35_T32C3_vv_3</v>
      </c>
    </row>
    <row r="615" spans="1:29" ht="12.5">
      <c r="E615" s="3"/>
      <c r="F615" s="3"/>
      <c r="G615" s="3"/>
      <c r="L615" s="3" t="s">
        <v>38</v>
      </c>
      <c r="M615" s="3">
        <v>74</v>
      </c>
      <c r="N615" s="3">
        <v>0</v>
      </c>
      <c r="O615" s="3">
        <v>8</v>
      </c>
      <c r="Q615" s="3">
        <v>4</v>
      </c>
      <c r="AB615" s="3" t="str">
        <f t="shared" si="5"/>
        <v>___</v>
      </c>
      <c r="AC615" s="3" t="str">
        <f t="shared" si="4"/>
        <v>____</v>
      </c>
    </row>
    <row r="616" spans="1:29" ht="12.5">
      <c r="E616" s="3"/>
      <c r="F616" s="3"/>
      <c r="G616" s="3"/>
      <c r="L616" s="3" t="s">
        <v>39</v>
      </c>
      <c r="M616" s="3">
        <v>75</v>
      </c>
      <c r="N616" s="3">
        <v>0</v>
      </c>
      <c r="O616" s="3">
        <v>5</v>
      </c>
      <c r="Q616" s="3">
        <v>2</v>
      </c>
      <c r="AB616" s="3" t="str">
        <f t="shared" si="5"/>
        <v>___</v>
      </c>
      <c r="AC616" s="3" t="str">
        <f t="shared" si="4"/>
        <v>____</v>
      </c>
    </row>
    <row r="617" spans="1:29" ht="12.5">
      <c r="A617" s="12">
        <v>45533</v>
      </c>
      <c r="B617" s="14" t="s">
        <v>80</v>
      </c>
      <c r="C617" s="3">
        <v>35</v>
      </c>
      <c r="D617" s="3" t="s">
        <v>81</v>
      </c>
      <c r="E617" s="3"/>
      <c r="F617" s="3" t="s">
        <v>83</v>
      </c>
      <c r="G617" s="3" t="s">
        <v>40</v>
      </c>
      <c r="H617" s="3">
        <v>2</v>
      </c>
      <c r="I617" s="4">
        <v>45396</v>
      </c>
      <c r="J617" s="4">
        <v>45460</v>
      </c>
      <c r="K617" s="3">
        <v>3</v>
      </c>
      <c r="L617" s="3" t="s">
        <v>36</v>
      </c>
      <c r="M617" s="3">
        <v>22</v>
      </c>
      <c r="N617" s="3">
        <v>5</v>
      </c>
      <c r="O617" s="3">
        <v>6</v>
      </c>
      <c r="AB617" s="3" t="str">
        <f t="shared" si="5"/>
        <v>0907_35_T32C3_vm</v>
      </c>
      <c r="AC617" s="3" t="str">
        <f t="shared" si="4"/>
        <v>0907_35_T32C3_vm_2</v>
      </c>
    </row>
    <row r="618" spans="1:29" ht="12.5">
      <c r="E618" s="3"/>
      <c r="F618" s="3"/>
      <c r="G618" s="3"/>
      <c r="L618" s="3" t="s">
        <v>38</v>
      </c>
      <c r="M618" s="3">
        <v>64</v>
      </c>
      <c r="N618" s="3">
        <v>0</v>
      </c>
      <c r="O618" s="3">
        <v>7</v>
      </c>
      <c r="Q618" s="3">
        <v>5</v>
      </c>
      <c r="AB618" s="3" t="str">
        <f t="shared" si="5"/>
        <v>___</v>
      </c>
      <c r="AC618" s="3" t="str">
        <f t="shared" si="4"/>
        <v>____</v>
      </c>
    </row>
    <row r="619" spans="1:29" ht="12.5">
      <c r="E619" s="3"/>
      <c r="F619" s="3"/>
      <c r="G619" s="3"/>
      <c r="L619" s="3" t="s">
        <v>39</v>
      </c>
      <c r="M619" s="3">
        <v>105</v>
      </c>
      <c r="N619" s="3">
        <v>0</v>
      </c>
      <c r="O619" s="3">
        <v>8</v>
      </c>
      <c r="Q619" s="3">
        <v>4</v>
      </c>
      <c r="AB619" s="3" t="str">
        <f t="shared" si="5"/>
        <v>___</v>
      </c>
      <c r="AC619" s="3" t="str">
        <f t="shared" si="4"/>
        <v>____</v>
      </c>
    </row>
    <row r="620" spans="1:29" ht="12.5">
      <c r="A620" s="12">
        <v>45533</v>
      </c>
      <c r="B620" s="14" t="s">
        <v>80</v>
      </c>
      <c r="C620" s="3">
        <v>35</v>
      </c>
      <c r="D620" s="3" t="s">
        <v>81</v>
      </c>
      <c r="E620" s="3"/>
      <c r="F620" s="3" t="s">
        <v>83</v>
      </c>
      <c r="G620" s="3" t="s">
        <v>40</v>
      </c>
      <c r="H620" s="3">
        <v>1</v>
      </c>
      <c r="I620" s="4">
        <v>45426</v>
      </c>
      <c r="J620" s="4">
        <v>45368</v>
      </c>
      <c r="K620" s="3">
        <v>3</v>
      </c>
      <c r="L620" s="3" t="s">
        <v>36</v>
      </c>
      <c r="M620" s="3">
        <v>23</v>
      </c>
      <c r="N620" s="3">
        <v>4</v>
      </c>
      <c r="O620" s="3">
        <v>4</v>
      </c>
      <c r="AB620" s="3" t="str">
        <f t="shared" si="5"/>
        <v>0907_35_T32C3_vm</v>
      </c>
      <c r="AC620" s="3" t="str">
        <f t="shared" si="4"/>
        <v>0907_35_T32C3_vm_1</v>
      </c>
    </row>
    <row r="621" spans="1:29" ht="12.5">
      <c r="E621" s="3"/>
      <c r="F621" s="3"/>
      <c r="G621" s="3"/>
      <c r="L621" s="3" t="s">
        <v>38</v>
      </c>
      <c r="M621" s="3">
        <v>65</v>
      </c>
      <c r="N621" s="3">
        <v>0</v>
      </c>
      <c r="O621" s="3">
        <v>7</v>
      </c>
      <c r="Q621" s="3">
        <v>3</v>
      </c>
      <c r="AB621" s="3" t="str">
        <f t="shared" si="5"/>
        <v>___</v>
      </c>
      <c r="AC621" s="3" t="str">
        <f t="shared" si="4"/>
        <v>____</v>
      </c>
    </row>
    <row r="622" spans="1:29" ht="12.5">
      <c r="E622" s="3"/>
      <c r="F622" s="3"/>
      <c r="G622" s="3"/>
      <c r="L622" s="3" t="s">
        <v>39</v>
      </c>
      <c r="M622" s="3">
        <v>138</v>
      </c>
      <c r="N622" s="3">
        <v>0</v>
      </c>
      <c r="O622" s="3">
        <v>12</v>
      </c>
      <c r="Q622" s="3">
        <v>6</v>
      </c>
      <c r="AB622" s="3" t="str">
        <f t="shared" si="5"/>
        <v>___</v>
      </c>
      <c r="AC622" s="3" t="str">
        <f t="shared" si="4"/>
        <v>____</v>
      </c>
    </row>
    <row r="623" spans="1:29" ht="12.5">
      <c r="A623" s="12">
        <v>45533</v>
      </c>
      <c r="B623" s="14" t="s">
        <v>80</v>
      </c>
      <c r="C623" s="3">
        <v>35</v>
      </c>
      <c r="D623" s="3" t="s">
        <v>81</v>
      </c>
      <c r="E623" s="3"/>
      <c r="F623" s="3" t="s">
        <v>83</v>
      </c>
      <c r="G623" s="3" t="s">
        <v>40</v>
      </c>
      <c r="H623" s="3">
        <v>1</v>
      </c>
      <c r="I623" s="4">
        <v>45429</v>
      </c>
      <c r="J623" s="4">
        <v>45400</v>
      </c>
      <c r="K623" s="3">
        <v>3</v>
      </c>
      <c r="L623" s="3" t="s">
        <v>36</v>
      </c>
      <c r="M623" s="3">
        <v>51</v>
      </c>
      <c r="N623" s="3">
        <v>11</v>
      </c>
      <c r="O623" s="3">
        <v>12</v>
      </c>
      <c r="AB623" s="3" t="str">
        <f t="shared" si="5"/>
        <v>0907_35_T32C3_vm</v>
      </c>
      <c r="AC623" s="3" t="str">
        <f t="shared" si="4"/>
        <v>0907_35_T32C3_vm_1</v>
      </c>
    </row>
    <row r="624" spans="1:29" ht="12.5">
      <c r="E624" s="3"/>
      <c r="F624" s="3"/>
      <c r="G624" s="3"/>
      <c r="L624" s="3" t="s">
        <v>38</v>
      </c>
      <c r="M624" s="3">
        <v>61</v>
      </c>
      <c r="N624" s="3">
        <v>10</v>
      </c>
      <c r="O624" s="3">
        <v>11</v>
      </c>
      <c r="Q624" s="3">
        <v>1</v>
      </c>
      <c r="AB624" s="3" t="str">
        <f t="shared" si="5"/>
        <v>___</v>
      </c>
      <c r="AC624" s="3" t="str">
        <f t="shared" si="4"/>
        <v>____</v>
      </c>
    </row>
    <row r="625" spans="1:29" ht="12.5">
      <c r="E625" s="3"/>
      <c r="F625" s="3"/>
      <c r="G625" s="3"/>
      <c r="L625" s="3" t="s">
        <v>39</v>
      </c>
      <c r="M625" s="3">
        <v>48</v>
      </c>
      <c r="N625" s="3">
        <v>4</v>
      </c>
      <c r="O625" s="3">
        <v>11</v>
      </c>
      <c r="AB625" s="3" t="str">
        <f t="shared" si="5"/>
        <v>___</v>
      </c>
      <c r="AC625" s="3" t="str">
        <f t="shared" si="4"/>
        <v>____</v>
      </c>
    </row>
    <row r="626" spans="1:29" ht="12.5">
      <c r="A626" s="15">
        <v>45531</v>
      </c>
      <c r="C626" s="3" t="s">
        <v>84</v>
      </c>
      <c r="D626" s="3" t="s">
        <v>81</v>
      </c>
      <c r="E626" s="3" t="s">
        <v>42</v>
      </c>
      <c r="F626" s="3"/>
      <c r="G626" s="3" t="s">
        <v>35</v>
      </c>
      <c r="H626" s="3">
        <v>4</v>
      </c>
      <c r="I626" s="4">
        <v>45335</v>
      </c>
      <c r="J626" s="4">
        <v>45455</v>
      </c>
      <c r="K626" s="3">
        <v>4</v>
      </c>
      <c r="L626" s="3" t="s">
        <v>36</v>
      </c>
      <c r="M626" s="3">
        <v>3</v>
      </c>
      <c r="N626" s="3">
        <v>5</v>
      </c>
      <c r="O626" s="3">
        <v>5</v>
      </c>
      <c r="Q626" s="3">
        <v>0</v>
      </c>
      <c r="R626" s="3">
        <v>0</v>
      </c>
      <c r="S626" s="3"/>
      <c r="AB626" s="3" t="str">
        <f t="shared" si="5"/>
        <v>_MK8_4__vv</v>
      </c>
      <c r="AC626" s="3" t="str">
        <f t="shared" si="4"/>
        <v>_MK8_4__vv_4</v>
      </c>
    </row>
    <row r="627" spans="1:29" ht="12.5">
      <c r="E627" s="3"/>
      <c r="F627" s="3"/>
      <c r="G627" s="3"/>
      <c r="L627" s="3" t="s">
        <v>38</v>
      </c>
      <c r="M627" s="3">
        <v>17</v>
      </c>
      <c r="N627" s="3">
        <v>5</v>
      </c>
      <c r="O627" s="3">
        <v>7</v>
      </c>
      <c r="Q627" s="3">
        <v>0</v>
      </c>
      <c r="R627" s="3">
        <v>0</v>
      </c>
      <c r="S627" s="3"/>
      <c r="AB627" s="3" t="str">
        <f t="shared" si="5"/>
        <v>___</v>
      </c>
      <c r="AC627" s="3" t="str">
        <f t="shared" si="4"/>
        <v>____</v>
      </c>
    </row>
    <row r="628" spans="1:29" ht="12.5">
      <c r="E628" s="3"/>
      <c r="F628" s="3"/>
      <c r="G628" s="3"/>
      <c r="L628" s="3" t="s">
        <v>39</v>
      </c>
      <c r="M628" s="3">
        <v>53</v>
      </c>
      <c r="N628" s="3">
        <v>12</v>
      </c>
      <c r="O628" s="3">
        <v>14</v>
      </c>
      <c r="Q628" s="3">
        <v>0</v>
      </c>
      <c r="R628" s="3">
        <v>0</v>
      </c>
      <c r="S628" s="3"/>
      <c r="AB628" s="3" t="str">
        <f t="shared" si="5"/>
        <v>___</v>
      </c>
      <c r="AC628" s="3" t="str">
        <f t="shared" si="4"/>
        <v>____</v>
      </c>
    </row>
    <row r="629" spans="1:29" ht="12.5">
      <c r="A629" s="15">
        <v>45531</v>
      </c>
      <c r="C629" s="3" t="s">
        <v>85</v>
      </c>
      <c r="D629" s="3" t="s">
        <v>81</v>
      </c>
      <c r="E629" s="3" t="s">
        <v>42</v>
      </c>
      <c r="F629" s="3"/>
      <c r="G629" s="3" t="s">
        <v>35</v>
      </c>
      <c r="H629" s="3">
        <v>2</v>
      </c>
      <c r="I629" s="4">
        <v>45460</v>
      </c>
      <c r="J629" s="4">
        <v>45399</v>
      </c>
      <c r="K629" s="3">
        <v>5</v>
      </c>
      <c r="L629" s="3" t="s">
        <v>36</v>
      </c>
      <c r="M629" s="3">
        <v>35</v>
      </c>
      <c r="N629" s="3">
        <v>10</v>
      </c>
      <c r="O629" s="3">
        <v>17</v>
      </c>
      <c r="Q629" s="3">
        <v>0</v>
      </c>
      <c r="R629" s="3">
        <v>0</v>
      </c>
      <c r="S629" s="3"/>
      <c r="AB629" s="3" t="str">
        <f t="shared" si="5"/>
        <v>_MK9_2__vv</v>
      </c>
      <c r="AC629" s="3" t="str">
        <f t="shared" si="4"/>
        <v>_MK9_2__vv_2</v>
      </c>
    </row>
    <row r="630" spans="1:29" ht="12.5">
      <c r="E630" s="3"/>
      <c r="F630" s="3"/>
      <c r="G630" s="3"/>
      <c r="L630" s="3" t="s">
        <v>38</v>
      </c>
      <c r="M630" s="3">
        <v>22</v>
      </c>
      <c r="N630" s="3">
        <v>5</v>
      </c>
      <c r="O630" s="3">
        <v>10</v>
      </c>
      <c r="Q630" s="3">
        <v>0</v>
      </c>
      <c r="R630" s="3">
        <v>0</v>
      </c>
      <c r="S630" s="3"/>
      <c r="AB630" s="3" t="str">
        <f t="shared" si="5"/>
        <v>___</v>
      </c>
      <c r="AC630" s="3" t="str">
        <f t="shared" si="4"/>
        <v>____</v>
      </c>
    </row>
    <row r="631" spans="1:29" ht="12.5">
      <c r="E631" s="3"/>
      <c r="F631" s="3"/>
      <c r="G631" s="3"/>
      <c r="L631" s="3" t="s">
        <v>39</v>
      </c>
      <c r="M631" s="3">
        <v>34</v>
      </c>
      <c r="N631" s="3">
        <v>1</v>
      </c>
      <c r="O631" s="3">
        <v>9</v>
      </c>
      <c r="Q631" s="3">
        <v>1</v>
      </c>
      <c r="R631" s="3">
        <v>0</v>
      </c>
      <c r="S631" s="3"/>
      <c r="AB631" s="3" t="str">
        <f t="shared" si="5"/>
        <v>___</v>
      </c>
      <c r="AC631" s="3" t="str">
        <f t="shared" si="4"/>
        <v>____</v>
      </c>
    </row>
    <row r="632" spans="1:29" ht="12.5">
      <c r="A632" s="15">
        <v>45531</v>
      </c>
      <c r="C632" s="3" t="s">
        <v>86</v>
      </c>
      <c r="D632" s="3" t="s">
        <v>81</v>
      </c>
      <c r="E632" s="3" t="s">
        <v>42</v>
      </c>
      <c r="F632" s="3"/>
      <c r="G632" s="3" t="s">
        <v>35</v>
      </c>
      <c r="H632" s="3">
        <v>2</v>
      </c>
      <c r="I632" s="4">
        <v>45517</v>
      </c>
      <c r="J632" s="4">
        <v>45335</v>
      </c>
      <c r="K632" s="3">
        <v>3</v>
      </c>
      <c r="L632" s="3" t="s">
        <v>36</v>
      </c>
      <c r="M632" s="3">
        <v>57</v>
      </c>
      <c r="N632" s="3">
        <v>9</v>
      </c>
      <c r="O632" s="3">
        <v>14</v>
      </c>
      <c r="Q632" s="3">
        <v>0</v>
      </c>
      <c r="R632" s="3">
        <v>0</v>
      </c>
      <c r="S632" s="3"/>
      <c r="T632" s="3"/>
      <c r="U632" s="3"/>
      <c r="V632" s="3"/>
      <c r="W632" s="3"/>
      <c r="X632" s="3"/>
      <c r="Y632" s="3"/>
      <c r="Z632" s="3" t="s">
        <v>87</v>
      </c>
      <c r="AB632" s="3" t="str">
        <f t="shared" si="5"/>
        <v>_MK8_2__vv</v>
      </c>
      <c r="AC632" s="3" t="str">
        <f t="shared" si="4"/>
        <v>_MK8_2__vv_2</v>
      </c>
    </row>
    <row r="633" spans="1:29" ht="12.5">
      <c r="E633" s="3"/>
      <c r="F633" s="3"/>
      <c r="G633" s="3"/>
      <c r="L633" s="3" t="s">
        <v>38</v>
      </c>
      <c r="M633" s="3">
        <v>77</v>
      </c>
      <c r="N633" s="3">
        <v>7</v>
      </c>
      <c r="O633" s="3">
        <v>14</v>
      </c>
      <c r="Q633" s="3">
        <v>0</v>
      </c>
      <c r="R633" s="3">
        <v>0</v>
      </c>
      <c r="S633" s="3"/>
      <c r="AB633" s="3" t="str">
        <f t="shared" si="5"/>
        <v>___</v>
      </c>
      <c r="AC633" s="3" t="str">
        <f t="shared" si="4"/>
        <v>____</v>
      </c>
    </row>
    <row r="634" spans="1:29" ht="12.5">
      <c r="E634" s="3"/>
      <c r="F634" s="3"/>
      <c r="G634" s="3"/>
      <c r="L634" s="3"/>
      <c r="AB634" s="3" t="str">
        <f t="shared" si="5"/>
        <v>___</v>
      </c>
      <c r="AC634" s="3" t="str">
        <f t="shared" si="4"/>
        <v>____</v>
      </c>
    </row>
    <row r="635" spans="1:29" ht="12.5">
      <c r="A635" s="15">
        <v>45534</v>
      </c>
      <c r="C635" s="3" t="s">
        <v>88</v>
      </c>
      <c r="D635" s="3" t="s">
        <v>81</v>
      </c>
      <c r="E635" s="3" t="s">
        <v>34</v>
      </c>
      <c r="F635" s="3"/>
      <c r="G635" s="3" t="s">
        <v>35</v>
      </c>
      <c r="H635" s="3">
        <v>1</v>
      </c>
      <c r="I635" s="4">
        <v>45421</v>
      </c>
      <c r="J635" s="3" t="s">
        <v>89</v>
      </c>
      <c r="K635" s="3">
        <v>4</v>
      </c>
      <c r="L635" s="3" t="s">
        <v>36</v>
      </c>
      <c r="M635" s="3">
        <v>26</v>
      </c>
      <c r="N635" s="3">
        <v>7</v>
      </c>
      <c r="O635" s="3">
        <v>11</v>
      </c>
      <c r="Q635" s="3">
        <v>0</v>
      </c>
      <c r="R635" s="3">
        <v>0</v>
      </c>
      <c r="S635" s="3"/>
      <c r="T635" s="3"/>
      <c r="U635" s="3"/>
      <c r="V635" s="3"/>
      <c r="W635" s="3"/>
      <c r="X635" s="3"/>
      <c r="Y635" s="3"/>
      <c r="Z635" s="3" t="s">
        <v>90</v>
      </c>
      <c r="AB635" s="3" t="str">
        <f t="shared" si="5"/>
        <v>_MK19_1__vv</v>
      </c>
      <c r="AC635" s="3" t="str">
        <f t="shared" si="4"/>
        <v>_MK19_1__vv_1</v>
      </c>
    </row>
    <row r="636" spans="1:29" ht="12.5">
      <c r="E636" s="3"/>
      <c r="F636" s="3"/>
      <c r="G636" s="3"/>
      <c r="L636" s="3" t="s">
        <v>38</v>
      </c>
      <c r="M636" s="3">
        <v>29</v>
      </c>
      <c r="N636" s="3">
        <v>8</v>
      </c>
      <c r="O636" s="3">
        <v>11</v>
      </c>
      <c r="Q636" s="3">
        <v>0</v>
      </c>
      <c r="R636" s="3">
        <v>0</v>
      </c>
      <c r="S636" s="3"/>
      <c r="AB636" s="3" t="str">
        <f t="shared" si="5"/>
        <v>___</v>
      </c>
      <c r="AC636" s="3" t="str">
        <f t="shared" si="4"/>
        <v>____</v>
      </c>
    </row>
    <row r="637" spans="1:29" ht="12.5">
      <c r="E637" s="3"/>
      <c r="F637" s="3"/>
      <c r="G637" s="3"/>
      <c r="L637" s="3" t="s">
        <v>39</v>
      </c>
      <c r="M637" s="3">
        <v>36</v>
      </c>
      <c r="N637" s="3">
        <v>2</v>
      </c>
      <c r="O637" s="3">
        <v>11</v>
      </c>
      <c r="Q637" s="3">
        <v>0</v>
      </c>
      <c r="R637" s="3">
        <v>0</v>
      </c>
      <c r="S637" s="3"/>
      <c r="AB637" s="3" t="str">
        <f t="shared" si="5"/>
        <v>___</v>
      </c>
      <c r="AC637" s="3" t="str">
        <f t="shared" si="4"/>
        <v>____</v>
      </c>
    </row>
    <row r="638" spans="1:29" ht="12.5">
      <c r="A638" s="15">
        <v>45531</v>
      </c>
      <c r="C638" s="3" t="s">
        <v>91</v>
      </c>
      <c r="D638" s="3" t="s">
        <v>81</v>
      </c>
      <c r="E638" s="3" t="s">
        <v>42</v>
      </c>
      <c r="F638" s="3"/>
      <c r="G638" s="3" t="s">
        <v>35</v>
      </c>
      <c r="H638" s="3">
        <v>3</v>
      </c>
      <c r="I638" s="4">
        <v>45426</v>
      </c>
      <c r="J638" s="4">
        <v>45551</v>
      </c>
      <c r="K638" s="3">
        <v>4</v>
      </c>
      <c r="L638" s="3" t="s">
        <v>36</v>
      </c>
      <c r="M638" s="3">
        <v>34</v>
      </c>
      <c r="N638" s="3">
        <v>11</v>
      </c>
      <c r="O638" s="3">
        <v>11</v>
      </c>
      <c r="Q638" s="3">
        <v>0</v>
      </c>
      <c r="R638" s="3">
        <v>0</v>
      </c>
      <c r="S638" s="3"/>
      <c r="AB638" s="3" t="str">
        <f t="shared" si="5"/>
        <v>_MK8_3__vv</v>
      </c>
      <c r="AC638" s="3" t="str">
        <f t="shared" si="4"/>
        <v>_MK8_3__vv_3</v>
      </c>
    </row>
    <row r="639" spans="1:29" ht="12.5">
      <c r="E639" s="3"/>
      <c r="F639" s="3"/>
      <c r="G639" s="3"/>
      <c r="L639" s="3" t="s">
        <v>38</v>
      </c>
      <c r="M639" s="3">
        <v>47</v>
      </c>
      <c r="N639" s="3">
        <v>9</v>
      </c>
      <c r="O639" s="3">
        <v>13</v>
      </c>
      <c r="Q639" s="3">
        <v>0</v>
      </c>
      <c r="R639" s="3">
        <v>0</v>
      </c>
      <c r="S639" s="3"/>
      <c r="AB639" s="3" t="str">
        <f t="shared" si="5"/>
        <v>___</v>
      </c>
      <c r="AC639" s="3" t="str">
        <f t="shared" si="4"/>
        <v>____</v>
      </c>
    </row>
    <row r="640" spans="1:29" ht="12.5">
      <c r="E640" s="3"/>
      <c r="F640" s="3"/>
      <c r="G640" s="3"/>
      <c r="L640" s="3" t="s">
        <v>39</v>
      </c>
      <c r="M640" s="3">
        <v>69</v>
      </c>
      <c r="N640" s="3">
        <v>6</v>
      </c>
      <c r="O640" s="3">
        <v>12</v>
      </c>
      <c r="Q640" s="3">
        <v>1</v>
      </c>
      <c r="R640" s="3">
        <v>0</v>
      </c>
      <c r="S640" s="3"/>
      <c r="AB640" s="3" t="str">
        <f t="shared" si="5"/>
        <v>___</v>
      </c>
      <c r="AC640" s="3" t="str">
        <f t="shared" si="4"/>
        <v>____</v>
      </c>
    </row>
    <row r="641" spans="1:29" ht="12.5">
      <c r="A641" s="15">
        <v>45531</v>
      </c>
      <c r="C641" s="3" t="s">
        <v>92</v>
      </c>
      <c r="D641" s="3" t="s">
        <v>81</v>
      </c>
      <c r="E641" s="3" t="s">
        <v>42</v>
      </c>
      <c r="F641" s="3"/>
      <c r="G641" s="3" t="s">
        <v>35</v>
      </c>
      <c r="H641" s="3">
        <v>1</v>
      </c>
      <c r="I641" s="4">
        <v>45333</v>
      </c>
      <c r="J641" s="4">
        <v>45515</v>
      </c>
      <c r="K641" s="3">
        <v>3</v>
      </c>
      <c r="L641" s="3" t="s">
        <v>36</v>
      </c>
      <c r="M641" s="3">
        <v>61</v>
      </c>
      <c r="N641" s="3">
        <v>11</v>
      </c>
      <c r="O641" s="3">
        <v>12</v>
      </c>
      <c r="Q641" s="3">
        <v>0</v>
      </c>
      <c r="R641" s="3">
        <v>0</v>
      </c>
      <c r="S641" s="3"/>
      <c r="AB641" s="3" t="str">
        <f t="shared" si="5"/>
        <v>_MK8_1__vv</v>
      </c>
      <c r="AC641" s="3" t="str">
        <f t="shared" si="4"/>
        <v>_MK8_1__vv_1</v>
      </c>
    </row>
    <row r="642" spans="1:29" ht="12.5">
      <c r="E642" s="3"/>
      <c r="F642" s="3"/>
      <c r="G642" s="3"/>
      <c r="L642" s="3" t="s">
        <v>38</v>
      </c>
      <c r="M642" s="3">
        <v>40</v>
      </c>
      <c r="N642" s="3">
        <v>4</v>
      </c>
      <c r="O642" s="3">
        <v>11</v>
      </c>
      <c r="Q642" s="3">
        <v>0</v>
      </c>
      <c r="R642" s="3">
        <v>0</v>
      </c>
      <c r="S642" s="3"/>
      <c r="AB642" s="3" t="str">
        <f t="shared" si="5"/>
        <v>___</v>
      </c>
      <c r="AC642" s="3" t="str">
        <f t="shared" si="4"/>
        <v>____</v>
      </c>
    </row>
    <row r="643" spans="1:29" ht="12.5">
      <c r="C643" s="3" t="s">
        <v>93</v>
      </c>
      <c r="E643" s="3"/>
      <c r="F643" s="3"/>
      <c r="G643" s="3"/>
      <c r="L643" s="3" t="s">
        <v>39</v>
      </c>
      <c r="M643" s="3">
        <v>28</v>
      </c>
      <c r="N643" s="3">
        <v>0</v>
      </c>
      <c r="O643" s="3">
        <v>6</v>
      </c>
      <c r="Q643" s="3">
        <v>1</v>
      </c>
      <c r="R643" s="3">
        <v>0</v>
      </c>
      <c r="S643" s="3"/>
      <c r="AB643" s="3" t="str">
        <f t="shared" si="5"/>
        <v>_frequent__</v>
      </c>
      <c r="AC643" s="3" t="str">
        <f t="shared" si="4"/>
        <v>_frequent___</v>
      </c>
    </row>
    <row r="644" spans="1:29" ht="12.5">
      <c r="A644" s="15">
        <v>45531</v>
      </c>
      <c r="C644" s="3" t="s">
        <v>94</v>
      </c>
      <c r="D644" s="3" t="s">
        <v>81</v>
      </c>
      <c r="E644" s="3" t="s">
        <v>34</v>
      </c>
      <c r="F644" s="3"/>
      <c r="G644" s="3" t="s">
        <v>35</v>
      </c>
      <c r="H644" s="3">
        <v>4</v>
      </c>
      <c r="I644" s="3">
        <v>13</v>
      </c>
      <c r="J644" s="4">
        <v>45457</v>
      </c>
      <c r="K644" s="3">
        <v>4</v>
      </c>
      <c r="L644" s="3" t="s">
        <v>36</v>
      </c>
      <c r="M644" s="3">
        <v>38</v>
      </c>
      <c r="N644" s="3">
        <v>9</v>
      </c>
      <c r="O644" s="3">
        <v>11</v>
      </c>
      <c r="Q644" s="3">
        <v>0</v>
      </c>
      <c r="R644" s="3">
        <v>0</v>
      </c>
      <c r="S644" s="3"/>
      <c r="AB644" s="3" t="str">
        <f t="shared" si="5"/>
        <v>_MK9_4__vv</v>
      </c>
      <c r="AC644" s="3" t="str">
        <f t="shared" si="4"/>
        <v>_MK9_4__vv_4</v>
      </c>
    </row>
    <row r="645" spans="1:29" ht="12.5">
      <c r="E645" s="3"/>
      <c r="F645" s="3"/>
      <c r="G645" s="3"/>
      <c r="L645" s="3" t="s">
        <v>38</v>
      </c>
      <c r="M645" s="3">
        <v>30</v>
      </c>
      <c r="N645" s="3">
        <v>4</v>
      </c>
      <c r="O645" s="3">
        <v>10</v>
      </c>
      <c r="Q645" s="3">
        <v>0</v>
      </c>
      <c r="R645" s="3">
        <v>0</v>
      </c>
      <c r="S645" s="3"/>
      <c r="AB645" s="3" t="str">
        <f t="shared" si="5"/>
        <v>___</v>
      </c>
      <c r="AC645" s="3" t="str">
        <f t="shared" si="4"/>
        <v>____</v>
      </c>
    </row>
    <row r="646" spans="1:29" ht="12.5">
      <c r="E646" s="3"/>
      <c r="F646" s="3"/>
      <c r="G646" s="3"/>
      <c r="L646" s="3" t="s">
        <v>39</v>
      </c>
      <c r="M646" s="3">
        <v>46</v>
      </c>
      <c r="N646" s="3">
        <v>0</v>
      </c>
      <c r="O646" s="3">
        <v>7</v>
      </c>
      <c r="Q646" s="3">
        <v>0</v>
      </c>
      <c r="R646" s="3">
        <v>0</v>
      </c>
      <c r="S646" s="3"/>
      <c r="AB646" s="3" t="str">
        <f t="shared" si="5"/>
        <v>___</v>
      </c>
      <c r="AC646" s="3" t="str">
        <f t="shared" si="4"/>
        <v>____</v>
      </c>
    </row>
    <row r="647" spans="1:29" ht="12.5">
      <c r="A647" s="16">
        <v>45531</v>
      </c>
      <c r="C647" s="3" t="s">
        <v>95</v>
      </c>
      <c r="D647" s="3" t="s">
        <v>81</v>
      </c>
      <c r="E647" s="3" t="s">
        <v>34</v>
      </c>
      <c r="F647" s="3"/>
      <c r="G647" s="3" t="s">
        <v>35</v>
      </c>
      <c r="H647" s="3">
        <v>3</v>
      </c>
      <c r="I647" s="4">
        <v>45425</v>
      </c>
      <c r="J647" s="4">
        <v>45394</v>
      </c>
      <c r="K647" s="3">
        <v>2</v>
      </c>
      <c r="L647" s="3" t="s">
        <v>36</v>
      </c>
      <c r="M647" s="3">
        <v>46</v>
      </c>
      <c r="N647" s="3">
        <v>11</v>
      </c>
      <c r="O647" s="3">
        <v>17</v>
      </c>
      <c r="Q647" s="3">
        <v>0</v>
      </c>
      <c r="R647" s="3">
        <v>0</v>
      </c>
      <c r="S647" s="3"/>
      <c r="AB647" s="3" t="str">
        <f t="shared" si="5"/>
        <v>_MK9_3__vv</v>
      </c>
      <c r="AC647" s="3" t="str">
        <f t="shared" si="4"/>
        <v>_MK9_3__vv_3</v>
      </c>
    </row>
    <row r="648" spans="1:29" ht="12.5">
      <c r="E648" s="3"/>
      <c r="F648" s="3"/>
      <c r="G648" s="3"/>
      <c r="L648" s="3" t="s">
        <v>38</v>
      </c>
      <c r="M648" s="3">
        <v>78</v>
      </c>
      <c r="N648" s="3">
        <v>2</v>
      </c>
      <c r="O648" s="3">
        <v>14</v>
      </c>
      <c r="Q648" s="3">
        <v>1</v>
      </c>
      <c r="R648" s="3">
        <v>0</v>
      </c>
      <c r="S648" s="3"/>
      <c r="AB648" s="3" t="str">
        <f t="shared" si="5"/>
        <v>___</v>
      </c>
      <c r="AC648" s="3" t="str">
        <f t="shared" si="4"/>
        <v>____</v>
      </c>
    </row>
    <row r="649" spans="1:29" ht="12.5">
      <c r="E649" s="3"/>
      <c r="F649" s="3"/>
      <c r="G649" s="3"/>
      <c r="L649" s="3"/>
      <c r="AB649" s="3" t="str">
        <f t="shared" si="5"/>
        <v>___</v>
      </c>
      <c r="AC649" s="3" t="str">
        <f t="shared" si="4"/>
        <v>____</v>
      </c>
    </row>
    <row r="650" spans="1:29" ht="12.5">
      <c r="A650" s="12">
        <v>45533</v>
      </c>
      <c r="B650" s="13" t="s">
        <v>80</v>
      </c>
      <c r="C650" s="10">
        <v>35</v>
      </c>
      <c r="D650" s="3" t="s">
        <v>81</v>
      </c>
      <c r="E650" s="3"/>
      <c r="F650" s="3" t="s">
        <v>83</v>
      </c>
      <c r="G650" s="3" t="s">
        <v>35</v>
      </c>
      <c r="H650" s="3">
        <v>2</v>
      </c>
      <c r="I650" s="4">
        <v>45521</v>
      </c>
      <c r="J650" s="4">
        <v>45428</v>
      </c>
      <c r="K650" s="3">
        <v>3</v>
      </c>
      <c r="L650" s="3" t="s">
        <v>36</v>
      </c>
      <c r="M650" s="3">
        <v>61</v>
      </c>
      <c r="N650" s="3">
        <v>12</v>
      </c>
      <c r="O650" s="3">
        <v>14</v>
      </c>
      <c r="AB650" s="3" t="str">
        <f t="shared" si="5"/>
        <v>0907_35_T32C3_vv</v>
      </c>
      <c r="AC650" s="3" t="str">
        <f t="shared" si="4"/>
        <v>0907_35_T32C3_vv_2</v>
      </c>
    </row>
    <row r="651" spans="1:29" ht="12.5">
      <c r="E651" s="3"/>
      <c r="F651" s="3"/>
      <c r="G651" s="3"/>
      <c r="L651" s="3" t="s">
        <v>38</v>
      </c>
      <c r="M651" s="3">
        <v>26</v>
      </c>
      <c r="N651" s="3">
        <v>8</v>
      </c>
      <c r="O651" s="3">
        <v>9</v>
      </c>
      <c r="AB651" s="3" t="str">
        <f t="shared" si="5"/>
        <v>___</v>
      </c>
      <c r="AC651" s="3" t="str">
        <f t="shared" si="4"/>
        <v>____</v>
      </c>
    </row>
    <row r="652" spans="1:29" ht="12.5">
      <c r="E652" s="3"/>
      <c r="F652" s="3"/>
      <c r="G652" s="3"/>
      <c r="L652" s="3" t="s">
        <v>39</v>
      </c>
      <c r="M652" s="3">
        <v>125</v>
      </c>
      <c r="N652" s="3">
        <v>0</v>
      </c>
      <c r="O652" s="3">
        <v>13</v>
      </c>
      <c r="AB652" s="3" t="str">
        <f t="shared" si="5"/>
        <v>___</v>
      </c>
      <c r="AC652" s="3" t="str">
        <f t="shared" si="4"/>
        <v>____</v>
      </c>
    </row>
    <row r="653" spans="1:29" ht="12.5">
      <c r="A653" s="12">
        <v>45533</v>
      </c>
      <c r="B653" s="14" t="s">
        <v>80</v>
      </c>
      <c r="C653" s="3">
        <v>35</v>
      </c>
      <c r="D653" s="3" t="s">
        <v>81</v>
      </c>
      <c r="E653" s="3"/>
      <c r="F653" s="3" t="s">
        <v>83</v>
      </c>
      <c r="G653" s="3" t="s">
        <v>40</v>
      </c>
      <c r="H653" s="3">
        <v>1</v>
      </c>
      <c r="I653" s="4">
        <v>45429</v>
      </c>
      <c r="J653" s="4">
        <v>45400</v>
      </c>
      <c r="K653" s="3">
        <v>3</v>
      </c>
      <c r="L653" s="3" t="s">
        <v>36</v>
      </c>
      <c r="M653" s="3">
        <v>57</v>
      </c>
      <c r="N653" s="3">
        <v>10</v>
      </c>
      <c r="O653" s="3">
        <v>12</v>
      </c>
      <c r="AB653" s="3" t="str">
        <f t="shared" si="5"/>
        <v>0907_35_T32C3_vm</v>
      </c>
      <c r="AC653" s="3" t="str">
        <f t="shared" si="4"/>
        <v>0907_35_T32C3_vm_1</v>
      </c>
    </row>
    <row r="654" spans="1:29" ht="12.5">
      <c r="E654" s="3"/>
      <c r="F654" s="3"/>
      <c r="G654" s="3"/>
      <c r="L654" s="3" t="s">
        <v>38</v>
      </c>
      <c r="M654" s="3">
        <v>37</v>
      </c>
      <c r="N654" s="3">
        <v>2</v>
      </c>
      <c r="O654" s="3">
        <v>8</v>
      </c>
      <c r="AB654" s="3" t="str">
        <f t="shared" si="5"/>
        <v>___</v>
      </c>
      <c r="AC654" s="3" t="str">
        <f t="shared" si="4"/>
        <v>____</v>
      </c>
    </row>
    <row r="655" spans="1:29" ht="12.5">
      <c r="E655" s="3"/>
      <c r="F655" s="3"/>
      <c r="G655" s="3"/>
      <c r="L655" s="3" t="s">
        <v>39</v>
      </c>
      <c r="M655" s="3">
        <v>82</v>
      </c>
      <c r="N655" s="3">
        <v>0</v>
      </c>
      <c r="O655" s="3">
        <v>8</v>
      </c>
      <c r="AB655" s="3" t="str">
        <f t="shared" si="5"/>
        <v>___</v>
      </c>
      <c r="AC655" s="3" t="str">
        <f t="shared" si="4"/>
        <v>____</v>
      </c>
    </row>
    <row r="656" spans="1:29" ht="12.5">
      <c r="A656" s="17">
        <v>45565</v>
      </c>
      <c r="B656" s="10">
        <v>1296</v>
      </c>
      <c r="C656" s="10">
        <v>66</v>
      </c>
      <c r="D656" s="3" t="s">
        <v>81</v>
      </c>
      <c r="E656" s="3"/>
      <c r="F656" s="3"/>
      <c r="G656" s="3" t="s">
        <v>40</v>
      </c>
      <c r="H656" s="3">
        <v>2</v>
      </c>
      <c r="I656" s="4">
        <v>45484</v>
      </c>
      <c r="J656" s="4">
        <v>45366</v>
      </c>
      <c r="K656" s="3">
        <v>3</v>
      </c>
      <c r="L656" s="3" t="s">
        <v>36</v>
      </c>
      <c r="M656" s="3">
        <v>66</v>
      </c>
      <c r="N656" s="3">
        <v>7</v>
      </c>
      <c r="O656" s="3">
        <v>7</v>
      </c>
      <c r="AB656" s="3" t="str">
        <f t="shared" si="5"/>
        <v>1296_66__vm</v>
      </c>
      <c r="AC656" s="3" t="str">
        <f t="shared" si="4"/>
        <v>1296_66__vm_2</v>
      </c>
    </row>
    <row r="657" spans="1:31" ht="12.5">
      <c r="E657" s="3"/>
      <c r="F657" s="3"/>
      <c r="G657" s="3"/>
      <c r="L657" s="3" t="s">
        <v>38</v>
      </c>
      <c r="M657" s="3">
        <v>46</v>
      </c>
      <c r="N657" s="3">
        <v>0</v>
      </c>
      <c r="O657" s="3">
        <v>4</v>
      </c>
      <c r="Q657" s="3">
        <v>2</v>
      </c>
      <c r="AB657" s="3" t="str">
        <f t="shared" si="5"/>
        <v>___</v>
      </c>
      <c r="AC657" s="3" t="str">
        <f t="shared" si="4"/>
        <v>____</v>
      </c>
    </row>
    <row r="658" spans="1:31" ht="12.5">
      <c r="E658" s="3"/>
      <c r="F658" s="3"/>
      <c r="G658" s="3"/>
      <c r="L658" s="3" t="s">
        <v>39</v>
      </c>
      <c r="M658" s="3">
        <v>47</v>
      </c>
      <c r="N658" s="3">
        <v>0</v>
      </c>
      <c r="O658" s="3">
        <v>5</v>
      </c>
      <c r="AB658" s="3" t="str">
        <f t="shared" si="5"/>
        <v>___</v>
      </c>
      <c r="AC658" s="3" t="str">
        <f t="shared" si="4"/>
        <v>____</v>
      </c>
    </row>
    <row r="659" spans="1:31" ht="12.5">
      <c r="A659" s="17">
        <v>45565</v>
      </c>
      <c r="B659" s="3">
        <v>1296</v>
      </c>
      <c r="C659" s="3">
        <v>66</v>
      </c>
      <c r="D659" s="3" t="s">
        <v>81</v>
      </c>
      <c r="E659" s="3"/>
      <c r="F659" s="3"/>
      <c r="G659" s="3" t="s">
        <v>40</v>
      </c>
      <c r="H659" s="3">
        <v>1</v>
      </c>
      <c r="I659" s="4">
        <v>45428</v>
      </c>
      <c r="J659" s="4">
        <v>45396</v>
      </c>
      <c r="K659" s="3">
        <v>3</v>
      </c>
      <c r="L659" s="3" t="s">
        <v>36</v>
      </c>
      <c r="M659" s="3">
        <v>43</v>
      </c>
      <c r="N659" s="3">
        <v>7</v>
      </c>
      <c r="O659" s="3">
        <v>7</v>
      </c>
      <c r="AB659" s="3" t="str">
        <f t="shared" si="5"/>
        <v>1296_66__vm</v>
      </c>
      <c r="AC659" s="3" t="str">
        <f t="shared" si="4"/>
        <v>1296_66__vm_1</v>
      </c>
    </row>
    <row r="660" spans="1:31" ht="12.5">
      <c r="E660" s="3"/>
      <c r="F660" s="3"/>
      <c r="G660" s="3"/>
      <c r="L660" s="3" t="s">
        <v>38</v>
      </c>
      <c r="M660" s="3">
        <v>57</v>
      </c>
      <c r="N660" s="3">
        <v>0</v>
      </c>
      <c r="O660" s="3">
        <v>6</v>
      </c>
      <c r="Q660" s="3">
        <v>3</v>
      </c>
      <c r="AB660" s="3" t="str">
        <f t="shared" si="5"/>
        <v>___</v>
      </c>
      <c r="AC660" s="3" t="str">
        <f t="shared" si="4"/>
        <v>____</v>
      </c>
    </row>
    <row r="661" spans="1:31" ht="12.5">
      <c r="E661" s="3"/>
      <c r="F661" s="3"/>
      <c r="G661" s="3"/>
      <c r="L661" s="3" t="s">
        <v>39</v>
      </c>
      <c r="M661" s="3">
        <v>49</v>
      </c>
      <c r="N661" s="3">
        <v>0</v>
      </c>
      <c r="O661" s="3">
        <v>4</v>
      </c>
      <c r="Q661" s="3">
        <v>3</v>
      </c>
      <c r="AB661" s="3" t="str">
        <f t="shared" si="5"/>
        <v>___</v>
      </c>
      <c r="AC661" s="3" t="str">
        <f t="shared" si="4"/>
        <v>____</v>
      </c>
    </row>
    <row r="662" spans="1:31" ht="12.5">
      <c r="A662" s="17">
        <v>45565</v>
      </c>
      <c r="B662" s="3">
        <v>1296</v>
      </c>
      <c r="C662" s="3">
        <v>66</v>
      </c>
      <c r="D662" s="3" t="s">
        <v>81</v>
      </c>
      <c r="E662" s="3"/>
      <c r="F662" s="3"/>
      <c r="G662" s="3" t="s">
        <v>35</v>
      </c>
      <c r="H662" s="3">
        <v>2</v>
      </c>
      <c r="I662" s="4">
        <v>45423</v>
      </c>
      <c r="J662" s="4">
        <v>45364</v>
      </c>
      <c r="K662" s="3">
        <v>3</v>
      </c>
      <c r="L662" s="3" t="s">
        <v>36</v>
      </c>
      <c r="M662" s="3">
        <v>65</v>
      </c>
      <c r="N662" s="3">
        <v>11</v>
      </c>
      <c r="O662" s="3">
        <v>13</v>
      </c>
      <c r="AB662" s="3" t="str">
        <f t="shared" si="5"/>
        <v>1296_66__vv</v>
      </c>
      <c r="AC662" s="3" t="str">
        <f t="shared" si="4"/>
        <v>1296_66__vv_2</v>
      </c>
    </row>
    <row r="663" spans="1:31" ht="12.5">
      <c r="E663" s="3"/>
      <c r="F663" s="3"/>
      <c r="G663" s="3"/>
      <c r="L663" s="3" t="s">
        <v>38</v>
      </c>
      <c r="M663" s="3">
        <v>38</v>
      </c>
      <c r="N663" s="3">
        <v>5</v>
      </c>
      <c r="O663" s="3">
        <v>8</v>
      </c>
      <c r="AB663" s="3" t="str">
        <f t="shared" si="5"/>
        <v>___</v>
      </c>
      <c r="AC663" s="3" t="str">
        <f t="shared" si="4"/>
        <v>____</v>
      </c>
    </row>
    <row r="664" spans="1:31" ht="12.5">
      <c r="E664" s="3"/>
      <c r="F664" s="3"/>
      <c r="G664" s="3"/>
      <c r="L664" s="3" t="s">
        <v>39</v>
      </c>
      <c r="M664" s="3">
        <v>35</v>
      </c>
      <c r="N664" s="3">
        <v>0</v>
      </c>
      <c r="O664" s="3">
        <v>3</v>
      </c>
      <c r="AB664" s="3" t="str">
        <f t="shared" si="5"/>
        <v>___</v>
      </c>
      <c r="AC664" s="3" t="str">
        <f t="shared" si="4"/>
        <v>____</v>
      </c>
    </row>
    <row r="665" spans="1:31" ht="12.5">
      <c r="A665" s="17">
        <v>45565</v>
      </c>
      <c r="B665" s="3">
        <v>1296</v>
      </c>
      <c r="C665" s="3">
        <v>66</v>
      </c>
      <c r="D665" s="3" t="s">
        <v>81</v>
      </c>
      <c r="E665" s="3"/>
      <c r="F665" s="3"/>
      <c r="G665" s="3" t="s">
        <v>35</v>
      </c>
      <c r="H665" s="3">
        <v>1</v>
      </c>
      <c r="I665" s="4">
        <v>45368</v>
      </c>
      <c r="J665" s="3">
        <v>18</v>
      </c>
      <c r="K665" s="3">
        <v>3</v>
      </c>
      <c r="L665" s="3" t="s">
        <v>36</v>
      </c>
      <c r="M665" s="3">
        <v>82</v>
      </c>
      <c r="N665" s="3">
        <v>14</v>
      </c>
      <c r="O665" s="3">
        <v>15</v>
      </c>
      <c r="AB665" s="3" t="str">
        <f t="shared" si="5"/>
        <v>1296_66__vv</v>
      </c>
      <c r="AC665" s="3" t="str">
        <f t="shared" si="4"/>
        <v>1296_66__vv_1</v>
      </c>
    </row>
    <row r="666" spans="1:31" ht="12.5">
      <c r="E666" s="3"/>
      <c r="F666" s="3"/>
      <c r="G666" s="3"/>
      <c r="L666" s="3" t="s">
        <v>38</v>
      </c>
      <c r="M666" s="3">
        <v>60</v>
      </c>
      <c r="N666" s="3">
        <v>8</v>
      </c>
      <c r="AB666" s="3" t="str">
        <f t="shared" si="5"/>
        <v>___</v>
      </c>
      <c r="AC666" s="3" t="str">
        <f t="shared" si="4"/>
        <v>____</v>
      </c>
    </row>
    <row r="667" spans="1:31" ht="12.5">
      <c r="E667" s="3"/>
      <c r="F667" s="3"/>
      <c r="G667" s="3"/>
      <c r="L667" s="3" t="s">
        <v>39</v>
      </c>
      <c r="M667" s="3">
        <v>25</v>
      </c>
      <c r="N667" s="3">
        <v>0</v>
      </c>
      <c r="O667" s="3">
        <v>3</v>
      </c>
      <c r="Q667" s="3">
        <v>1</v>
      </c>
      <c r="AB667" s="3" t="str">
        <f t="shared" si="5"/>
        <v>___</v>
      </c>
      <c r="AC667" s="3" t="str">
        <f t="shared" si="4"/>
        <v>____</v>
      </c>
    </row>
    <row r="668" spans="1:31" ht="12.5">
      <c r="A668" s="17">
        <v>45544</v>
      </c>
      <c r="B668" s="5" t="s">
        <v>96</v>
      </c>
      <c r="C668" s="5"/>
      <c r="D668" s="3" t="s">
        <v>97</v>
      </c>
      <c r="E668" s="3" t="s">
        <v>34</v>
      </c>
      <c r="F668" s="3"/>
      <c r="G668" s="3" t="s">
        <v>40</v>
      </c>
      <c r="H668" s="3">
        <v>1</v>
      </c>
      <c r="I668" s="4">
        <v>45359</v>
      </c>
      <c r="J668" s="4">
        <v>45361</v>
      </c>
      <c r="K668" s="3">
        <v>4</v>
      </c>
      <c r="L668" s="3" t="s">
        <v>36</v>
      </c>
      <c r="M668" s="3">
        <v>23</v>
      </c>
      <c r="N668" s="3">
        <v>6</v>
      </c>
      <c r="O668" s="3">
        <v>6</v>
      </c>
      <c r="Q668" s="3">
        <v>0</v>
      </c>
      <c r="R668" s="9">
        <v>0</v>
      </c>
      <c r="S668" s="9"/>
      <c r="T668" s="8">
        <v>0.19400000000000001</v>
      </c>
      <c r="U668" s="8">
        <v>8.4799999999999997E-3</v>
      </c>
      <c r="V668" s="8">
        <v>0</v>
      </c>
      <c r="W668" s="8">
        <v>0</v>
      </c>
      <c r="X668" s="8"/>
      <c r="AB668" s="3" t="str">
        <f t="shared" si="5"/>
        <v>LY_O___vm</v>
      </c>
      <c r="AC668" s="3" t="str">
        <f t="shared" si="4"/>
        <v>LY_O___vm_1</v>
      </c>
      <c r="AE668" s="3" t="s">
        <v>37</v>
      </c>
    </row>
    <row r="669" spans="1:31" ht="12.5">
      <c r="E669" s="3"/>
      <c r="F669" s="3"/>
      <c r="G669" s="3"/>
      <c r="L669" s="3" t="s">
        <v>38</v>
      </c>
      <c r="M669" s="3">
        <v>33</v>
      </c>
      <c r="N669" s="3">
        <v>0</v>
      </c>
      <c r="O669" s="3">
        <v>7</v>
      </c>
      <c r="Q669" s="3">
        <v>1</v>
      </c>
      <c r="R669" s="9">
        <v>0</v>
      </c>
      <c r="S669" s="9"/>
      <c r="T669" s="8">
        <v>0</v>
      </c>
      <c r="U669" s="8">
        <v>2.4709999999999999E-2</v>
      </c>
      <c r="V669" s="8">
        <v>1.447E-2</v>
      </c>
      <c r="W669" s="8">
        <v>0</v>
      </c>
      <c r="X669" s="8"/>
      <c r="AB669" s="3" t="str">
        <f t="shared" si="5"/>
        <v>___</v>
      </c>
      <c r="AC669" s="3" t="str">
        <f t="shared" si="4"/>
        <v>____</v>
      </c>
    </row>
    <row r="670" spans="1:31" ht="12.5">
      <c r="E670" s="3"/>
      <c r="F670" s="3"/>
      <c r="G670" s="3"/>
      <c r="L670" s="3" t="s">
        <v>39</v>
      </c>
      <c r="M670" s="3">
        <v>22</v>
      </c>
      <c r="N670" s="3">
        <v>0</v>
      </c>
      <c r="O670" s="3">
        <v>6</v>
      </c>
      <c r="Q670" s="3">
        <v>2</v>
      </c>
      <c r="R670" s="9">
        <v>0</v>
      </c>
      <c r="S670" s="9"/>
      <c r="T670" s="8">
        <v>0</v>
      </c>
      <c r="U670" s="8">
        <v>1.9220000000000001E-2</v>
      </c>
      <c r="V670" s="8">
        <v>5.0200000000000002E-3</v>
      </c>
      <c r="W670" s="8">
        <v>0</v>
      </c>
      <c r="X670" s="8"/>
      <c r="AB670" s="3" t="str">
        <f t="shared" si="5"/>
        <v>___</v>
      </c>
      <c r="AC670" s="3" t="str">
        <f t="shared" si="4"/>
        <v>____</v>
      </c>
    </row>
    <row r="671" spans="1:31" ht="12.5">
      <c r="A671" s="17">
        <v>45544</v>
      </c>
      <c r="B671" s="3" t="s">
        <v>96</v>
      </c>
      <c r="D671" s="3" t="s">
        <v>97</v>
      </c>
      <c r="E671" s="3" t="s">
        <v>34</v>
      </c>
      <c r="F671" s="3"/>
      <c r="G671" s="3" t="s">
        <v>40</v>
      </c>
      <c r="H671" s="3">
        <v>2</v>
      </c>
      <c r="I671" s="4">
        <v>45545</v>
      </c>
      <c r="J671" s="4">
        <v>45484</v>
      </c>
      <c r="K671" s="3">
        <v>6</v>
      </c>
      <c r="L671" s="3" t="s">
        <v>36</v>
      </c>
      <c r="M671" s="3">
        <v>31</v>
      </c>
      <c r="N671" s="3">
        <v>4</v>
      </c>
      <c r="O671" s="3">
        <v>5</v>
      </c>
      <c r="Q671" s="3">
        <v>0</v>
      </c>
      <c r="R671" s="9">
        <v>0</v>
      </c>
      <c r="S671" s="9"/>
      <c r="T671" s="8">
        <v>2.2679999999999999E-2</v>
      </c>
      <c r="U671" s="8">
        <v>1.2239999999999999E-2</v>
      </c>
      <c r="V671" s="8">
        <v>0</v>
      </c>
      <c r="W671" s="8">
        <v>0</v>
      </c>
      <c r="X671" s="8"/>
      <c r="Y671" s="3"/>
      <c r="Z671" s="3" t="s">
        <v>98</v>
      </c>
      <c r="AB671" s="3" t="str">
        <f t="shared" si="5"/>
        <v>LY_O___vm</v>
      </c>
      <c r="AC671" s="3" t="str">
        <f t="shared" si="4"/>
        <v>LY_O___vm_2</v>
      </c>
      <c r="AE671" s="3" t="s">
        <v>37</v>
      </c>
    </row>
    <row r="672" spans="1:31" ht="12.5">
      <c r="E672" s="3"/>
      <c r="F672" s="3"/>
      <c r="G672" s="3"/>
      <c r="L672" s="3" t="s">
        <v>38</v>
      </c>
      <c r="M672" s="3">
        <v>22</v>
      </c>
      <c r="N672" s="3">
        <v>0</v>
      </c>
      <c r="O672" s="3">
        <v>6</v>
      </c>
      <c r="Q672" s="3">
        <v>2</v>
      </c>
      <c r="R672" s="9">
        <v>0</v>
      </c>
      <c r="S672" s="9"/>
      <c r="T672" s="8">
        <v>0</v>
      </c>
      <c r="U672" s="8">
        <v>1.2540000000000001E-2</v>
      </c>
      <c r="V672" s="8">
        <v>3.594E-2</v>
      </c>
      <c r="W672" s="8">
        <v>0</v>
      </c>
      <c r="X672" s="8"/>
      <c r="AB672" s="3" t="str">
        <f t="shared" si="5"/>
        <v>___</v>
      </c>
      <c r="AC672" s="3" t="str">
        <f t="shared" si="4"/>
        <v>____</v>
      </c>
    </row>
    <row r="673" spans="1:31" ht="12.5">
      <c r="E673" s="3"/>
      <c r="F673" s="3"/>
      <c r="G673" s="3"/>
      <c r="L673" s="3" t="s">
        <v>39</v>
      </c>
      <c r="M673" s="3">
        <v>24</v>
      </c>
      <c r="N673" s="3">
        <v>0</v>
      </c>
      <c r="O673" s="3">
        <v>5</v>
      </c>
      <c r="Q673" s="3">
        <v>0</v>
      </c>
      <c r="R673" s="9">
        <v>0</v>
      </c>
      <c r="S673" s="9"/>
      <c r="T673" s="8">
        <v>0</v>
      </c>
      <c r="U673" s="8">
        <v>2.681E-2</v>
      </c>
      <c r="V673" s="8">
        <v>0</v>
      </c>
      <c r="W673" s="8">
        <v>0</v>
      </c>
      <c r="X673" s="8"/>
      <c r="AB673" s="3" t="str">
        <f t="shared" si="5"/>
        <v>___</v>
      </c>
      <c r="AC673" s="3" t="str">
        <f t="shared" si="4"/>
        <v>____</v>
      </c>
    </row>
    <row r="674" spans="1:31" ht="12.5">
      <c r="A674" s="17">
        <v>45544</v>
      </c>
      <c r="B674" s="3" t="s">
        <v>96</v>
      </c>
      <c r="D674" s="3" t="s">
        <v>97</v>
      </c>
      <c r="E674" s="3" t="s">
        <v>34</v>
      </c>
      <c r="F674" s="3"/>
      <c r="G674" s="3" t="s">
        <v>35</v>
      </c>
      <c r="H674" s="3">
        <v>2</v>
      </c>
      <c r="I674" s="4">
        <v>45361</v>
      </c>
      <c r="J674" s="4">
        <v>45335</v>
      </c>
      <c r="K674" s="3">
        <v>5</v>
      </c>
      <c r="L674" s="3" t="s">
        <v>36</v>
      </c>
      <c r="M674" s="3">
        <v>37</v>
      </c>
      <c r="N674" s="3">
        <v>11</v>
      </c>
      <c r="O674" s="3">
        <v>13</v>
      </c>
      <c r="Q674" s="3">
        <v>0</v>
      </c>
      <c r="R674" s="9">
        <v>0</v>
      </c>
      <c r="S674" s="9"/>
      <c r="T674" s="8">
        <v>0.11860999999999999</v>
      </c>
      <c r="U674" s="8">
        <v>1.831E-2</v>
      </c>
      <c r="V674" s="8">
        <v>0</v>
      </c>
      <c r="W674" s="8">
        <v>0</v>
      </c>
      <c r="X674" s="8"/>
      <c r="AB674" s="3" t="str">
        <f t="shared" si="5"/>
        <v>LY_O___vv</v>
      </c>
      <c r="AC674" s="3" t="str">
        <f t="shared" si="4"/>
        <v>LY_O___vv_2</v>
      </c>
      <c r="AE674" s="3" t="s">
        <v>37</v>
      </c>
    </row>
    <row r="675" spans="1:31" ht="12.5">
      <c r="E675" s="3"/>
      <c r="F675" s="3"/>
      <c r="G675" s="3"/>
      <c r="L675" s="3" t="s">
        <v>38</v>
      </c>
      <c r="M675" s="3">
        <v>32</v>
      </c>
      <c r="N675" s="3">
        <v>6</v>
      </c>
      <c r="O675" s="3">
        <v>10</v>
      </c>
      <c r="Q675" s="3">
        <v>0</v>
      </c>
      <c r="R675" s="9">
        <v>0</v>
      </c>
      <c r="S675" s="9"/>
      <c r="T675" s="8">
        <v>5.5550000000000002E-2</v>
      </c>
      <c r="U675" s="8">
        <v>2.2960000000000001E-2</v>
      </c>
      <c r="V675" s="8">
        <v>0</v>
      </c>
      <c r="W675" s="8">
        <v>0</v>
      </c>
      <c r="X675" s="8"/>
      <c r="AB675" s="3" t="str">
        <f t="shared" si="5"/>
        <v>___</v>
      </c>
      <c r="AC675" s="3" t="str">
        <f t="shared" si="4"/>
        <v>____</v>
      </c>
    </row>
    <row r="676" spans="1:31" ht="12.5">
      <c r="E676" s="3"/>
      <c r="F676" s="3"/>
      <c r="G676" s="3"/>
      <c r="L676" s="3" t="s">
        <v>39</v>
      </c>
      <c r="M676" s="3">
        <v>29</v>
      </c>
      <c r="N676" s="3">
        <v>0</v>
      </c>
      <c r="O676" s="3">
        <v>8</v>
      </c>
      <c r="Q676" s="3">
        <v>0</v>
      </c>
      <c r="R676" s="9">
        <v>0</v>
      </c>
      <c r="S676" s="9"/>
      <c r="T676" s="8">
        <v>0</v>
      </c>
      <c r="U676" s="8">
        <v>2.2610000000000002E-2</v>
      </c>
      <c r="V676" s="8">
        <v>0</v>
      </c>
      <c r="W676" s="8">
        <v>0</v>
      </c>
      <c r="X676" s="8"/>
      <c r="Y676" s="3"/>
      <c r="Z676" s="3" t="s">
        <v>99</v>
      </c>
      <c r="AB676" s="3" t="str">
        <f t="shared" si="5"/>
        <v>___</v>
      </c>
      <c r="AC676" s="3" t="str">
        <f t="shared" si="4"/>
        <v>____</v>
      </c>
    </row>
    <row r="677" spans="1:31" ht="12.5">
      <c r="A677" s="17">
        <v>45544</v>
      </c>
      <c r="B677" s="3" t="s">
        <v>96</v>
      </c>
      <c r="D677" s="3" t="s">
        <v>97</v>
      </c>
      <c r="E677" s="3" t="s">
        <v>34</v>
      </c>
      <c r="F677" s="3"/>
      <c r="G677" s="3" t="s">
        <v>40</v>
      </c>
      <c r="H677" s="3">
        <v>3</v>
      </c>
      <c r="I677" s="4">
        <v>45480</v>
      </c>
      <c r="J677" s="3" t="s">
        <v>100</v>
      </c>
      <c r="K677" s="3">
        <v>3</v>
      </c>
      <c r="L677" s="3" t="s">
        <v>36</v>
      </c>
      <c r="M677" s="3">
        <v>27</v>
      </c>
      <c r="N677" s="3">
        <v>6</v>
      </c>
      <c r="O677" s="3">
        <v>7</v>
      </c>
      <c r="Q677" s="3">
        <v>0</v>
      </c>
      <c r="R677" s="9">
        <v>0</v>
      </c>
      <c r="S677" s="9"/>
      <c r="T677" s="8">
        <v>2.4639999999999999E-2</v>
      </c>
      <c r="U677" s="8">
        <v>1.2E-2</v>
      </c>
      <c r="V677" s="8">
        <v>0</v>
      </c>
      <c r="W677" s="8">
        <v>0</v>
      </c>
      <c r="X677" s="8"/>
      <c r="AB677" s="3" t="str">
        <f t="shared" si="5"/>
        <v>LY_O___vm</v>
      </c>
      <c r="AC677" s="3" t="str">
        <f t="shared" si="4"/>
        <v>LY_O___vm_3</v>
      </c>
      <c r="AE677" s="3" t="s">
        <v>37</v>
      </c>
    </row>
    <row r="678" spans="1:31" ht="12.5">
      <c r="E678" s="3"/>
      <c r="F678" s="3"/>
      <c r="G678" s="3"/>
      <c r="L678" s="3" t="s">
        <v>38</v>
      </c>
      <c r="M678" s="3">
        <v>35</v>
      </c>
      <c r="N678" s="3">
        <v>0</v>
      </c>
      <c r="O678" s="3">
        <v>9</v>
      </c>
      <c r="Q678" s="3">
        <v>2</v>
      </c>
      <c r="R678" s="9">
        <v>0</v>
      </c>
      <c r="S678" s="9"/>
      <c r="T678" s="8">
        <v>0</v>
      </c>
      <c r="U678" s="8">
        <v>3.1199999999999999E-2</v>
      </c>
      <c r="V678" s="8">
        <v>0.42630000000000001</v>
      </c>
      <c r="W678" s="8">
        <v>0</v>
      </c>
      <c r="X678" s="8"/>
      <c r="AB678" s="3" t="str">
        <f t="shared" si="5"/>
        <v>___</v>
      </c>
      <c r="AC678" s="3" t="str">
        <f t="shared" si="4"/>
        <v>____</v>
      </c>
    </row>
    <row r="679" spans="1:31" ht="12.5">
      <c r="E679" s="3"/>
      <c r="F679" s="3"/>
      <c r="G679" s="3"/>
      <c r="L679" s="3" t="s">
        <v>39</v>
      </c>
      <c r="M679" s="3">
        <v>29</v>
      </c>
      <c r="N679" s="3">
        <v>0</v>
      </c>
      <c r="O679" s="3">
        <v>8</v>
      </c>
      <c r="Q679" s="3">
        <v>0</v>
      </c>
      <c r="R679" s="9">
        <v>0</v>
      </c>
      <c r="S679" s="9"/>
      <c r="T679" s="8">
        <v>0</v>
      </c>
      <c r="U679" s="8">
        <v>2.681E-2</v>
      </c>
      <c r="V679" s="8">
        <v>0</v>
      </c>
      <c r="W679" s="8">
        <v>0</v>
      </c>
      <c r="X679" s="8"/>
      <c r="AB679" s="3" t="str">
        <f t="shared" si="5"/>
        <v>___</v>
      </c>
      <c r="AC679" s="3" t="str">
        <f t="shared" si="4"/>
        <v>____</v>
      </c>
    </row>
    <row r="680" spans="1:31" ht="12.5">
      <c r="A680" s="17">
        <v>45544</v>
      </c>
      <c r="B680" s="3" t="s">
        <v>96</v>
      </c>
      <c r="D680" s="3" t="s">
        <v>97</v>
      </c>
      <c r="E680" s="3" t="s">
        <v>34</v>
      </c>
      <c r="F680" s="3"/>
      <c r="G680" s="3" t="s">
        <v>35</v>
      </c>
      <c r="H680" s="3">
        <v>3</v>
      </c>
      <c r="I680" s="4">
        <v>45360</v>
      </c>
      <c r="J680" s="4">
        <v>45299</v>
      </c>
      <c r="K680" s="3">
        <v>3</v>
      </c>
      <c r="L680" s="3" t="s">
        <v>36</v>
      </c>
      <c r="M680" s="3">
        <v>15</v>
      </c>
      <c r="N680" s="3">
        <v>12</v>
      </c>
      <c r="O680" s="3">
        <v>12</v>
      </c>
      <c r="Q680" s="3">
        <v>0</v>
      </c>
      <c r="R680" s="9">
        <v>0</v>
      </c>
      <c r="S680" s="9"/>
      <c r="T680" s="8">
        <v>4.5830000000000003E-2</v>
      </c>
      <c r="U680" s="8">
        <v>3.9699999999999996E-3</v>
      </c>
      <c r="V680" s="8">
        <v>0</v>
      </c>
      <c r="W680" s="8">
        <v>0</v>
      </c>
      <c r="X680" s="8"/>
      <c r="AB680" s="3" t="str">
        <f t="shared" si="5"/>
        <v>LY_O___vv</v>
      </c>
      <c r="AC680" s="3" t="str">
        <f t="shared" si="4"/>
        <v>LY_O___vv_3</v>
      </c>
      <c r="AE680" s="3" t="s">
        <v>37</v>
      </c>
    </row>
    <row r="681" spans="1:31" ht="12.5">
      <c r="E681" s="3"/>
      <c r="F681" s="3"/>
      <c r="G681" s="3"/>
      <c r="L681" s="3" t="s">
        <v>38</v>
      </c>
      <c r="M681" s="3" t="s">
        <v>101</v>
      </c>
      <c r="N681" s="3">
        <v>7</v>
      </c>
      <c r="O681" s="3">
        <v>16</v>
      </c>
      <c r="Q681" s="3">
        <v>0</v>
      </c>
      <c r="R681" s="9">
        <v>0</v>
      </c>
      <c r="S681" s="9"/>
      <c r="T681" s="8">
        <v>3.619E-2</v>
      </c>
      <c r="U681" s="8">
        <v>3.1850000000000003E-2</v>
      </c>
      <c r="V681" s="8">
        <v>0</v>
      </c>
      <c r="W681" s="8">
        <v>0</v>
      </c>
      <c r="X681" s="8"/>
      <c r="AB681" s="3" t="str">
        <f t="shared" si="5"/>
        <v>___</v>
      </c>
      <c r="AC681" s="3" t="str">
        <f t="shared" si="4"/>
        <v>____</v>
      </c>
    </row>
    <row r="682" spans="1:31" ht="12.5">
      <c r="E682" s="3"/>
      <c r="F682" s="3"/>
      <c r="G682" s="3"/>
      <c r="L682" s="3" t="s">
        <v>39</v>
      </c>
      <c r="M682" s="3">
        <v>3</v>
      </c>
      <c r="N682" s="3">
        <v>0</v>
      </c>
      <c r="O682" s="3">
        <v>1</v>
      </c>
      <c r="Q682" s="3">
        <v>0</v>
      </c>
      <c r="R682" s="9">
        <v>0</v>
      </c>
      <c r="S682" s="9"/>
      <c r="T682" s="8">
        <v>0</v>
      </c>
      <c r="U682" s="8">
        <v>1.6000000000000001E-3</v>
      </c>
      <c r="V682" s="8">
        <v>0</v>
      </c>
      <c r="W682" s="11">
        <v>0</v>
      </c>
      <c r="X682" s="11"/>
      <c r="AB682" s="3" t="str">
        <f t="shared" si="5"/>
        <v>___</v>
      </c>
      <c r="AC682" s="3" t="str">
        <f t="shared" si="4"/>
        <v>____</v>
      </c>
    </row>
    <row r="683" spans="1:31" ht="12.5">
      <c r="A683" s="17">
        <v>45544</v>
      </c>
      <c r="B683" s="3" t="s">
        <v>102</v>
      </c>
      <c r="D683" s="3" t="s">
        <v>97</v>
      </c>
      <c r="E683" s="3" t="s">
        <v>42</v>
      </c>
      <c r="F683" s="3"/>
      <c r="G683" s="3" t="s">
        <v>35</v>
      </c>
      <c r="H683" s="3">
        <v>1</v>
      </c>
      <c r="I683" s="4">
        <v>45518</v>
      </c>
      <c r="J683" s="4">
        <v>45532</v>
      </c>
      <c r="K683" s="3">
        <v>8</v>
      </c>
      <c r="L683" s="3" t="s">
        <v>36</v>
      </c>
      <c r="M683" s="3">
        <v>20</v>
      </c>
      <c r="N683" s="3">
        <v>8</v>
      </c>
      <c r="O683" s="3">
        <v>9</v>
      </c>
      <c r="Q683" s="3">
        <v>0</v>
      </c>
      <c r="R683" s="9">
        <v>0</v>
      </c>
      <c r="S683" s="9"/>
      <c r="T683" s="11">
        <v>3.7589999999999998E-2</v>
      </c>
      <c r="U683" s="11">
        <v>3.48E-3</v>
      </c>
      <c r="V683" s="11">
        <v>0</v>
      </c>
      <c r="W683" s="11">
        <v>0</v>
      </c>
      <c r="X683" s="11"/>
      <c r="Y683" s="3"/>
      <c r="Z683" s="3" t="s">
        <v>103</v>
      </c>
      <c r="AB683" s="3" t="str">
        <f t="shared" si="5"/>
        <v>LY_F___vv</v>
      </c>
      <c r="AC683" s="3" t="str">
        <f t="shared" si="4"/>
        <v>LY_F___vv_1</v>
      </c>
      <c r="AE683" s="3" t="s">
        <v>37</v>
      </c>
    </row>
    <row r="684" spans="1:31" ht="12.5">
      <c r="E684" s="3"/>
      <c r="F684" s="3"/>
      <c r="G684" s="3"/>
      <c r="L684" s="3" t="s">
        <v>38</v>
      </c>
      <c r="M684" s="3">
        <v>35</v>
      </c>
      <c r="N684" s="3">
        <v>5</v>
      </c>
      <c r="O684" s="3">
        <v>11</v>
      </c>
      <c r="Q684" s="3">
        <v>0</v>
      </c>
      <c r="R684" s="9">
        <v>0</v>
      </c>
      <c r="S684" s="9"/>
      <c r="T684" s="18">
        <v>6.2170000000000003E-2</v>
      </c>
      <c r="U684" s="11">
        <v>1.512E-2</v>
      </c>
      <c r="V684" s="11">
        <v>0</v>
      </c>
      <c r="W684" s="11">
        <v>0</v>
      </c>
      <c r="X684" s="11"/>
      <c r="AB684" s="3" t="str">
        <f t="shared" si="5"/>
        <v>___</v>
      </c>
      <c r="AC684" s="3" t="str">
        <f t="shared" si="4"/>
        <v>____</v>
      </c>
    </row>
    <row r="685" spans="1:31" ht="12.5">
      <c r="E685" s="3"/>
      <c r="F685" s="3"/>
      <c r="G685" s="3"/>
      <c r="L685" s="3" t="s">
        <v>39</v>
      </c>
      <c r="M685" s="3">
        <v>58</v>
      </c>
      <c r="N685" s="3">
        <v>1</v>
      </c>
      <c r="O685" s="3">
        <v>13</v>
      </c>
      <c r="Q685" s="3">
        <v>0</v>
      </c>
      <c r="R685" s="9">
        <v>0</v>
      </c>
      <c r="S685" s="9"/>
      <c r="T685" s="11">
        <v>1.2630000000000001E-2</v>
      </c>
      <c r="U685" s="11">
        <v>4.5370000000000001E-2</v>
      </c>
      <c r="V685" s="11">
        <v>0</v>
      </c>
      <c r="W685" s="11">
        <v>0</v>
      </c>
      <c r="X685" s="11"/>
      <c r="AB685" s="3" t="str">
        <f t="shared" si="5"/>
        <v>___</v>
      </c>
      <c r="AC685" s="3" t="str">
        <f t="shared" si="4"/>
        <v>____</v>
      </c>
    </row>
    <row r="686" spans="1:31" ht="12.5">
      <c r="A686" s="17">
        <v>45544</v>
      </c>
      <c r="B686" s="3" t="s">
        <v>102</v>
      </c>
      <c r="D686" s="3" t="s">
        <v>97</v>
      </c>
      <c r="E686" s="3" t="s">
        <v>42</v>
      </c>
      <c r="F686" s="3"/>
      <c r="G686" s="3" t="s">
        <v>40</v>
      </c>
      <c r="H686" s="3">
        <v>1</v>
      </c>
      <c r="I686" s="4">
        <v>45443</v>
      </c>
      <c r="J686" s="3" t="s">
        <v>104</v>
      </c>
      <c r="K686" s="3">
        <v>5</v>
      </c>
      <c r="L686" s="3" t="s">
        <v>36</v>
      </c>
      <c r="M686" s="3">
        <v>41</v>
      </c>
      <c r="N686" s="3">
        <v>4</v>
      </c>
      <c r="O686" s="3">
        <v>6</v>
      </c>
      <c r="Q686" s="3">
        <v>0</v>
      </c>
      <c r="R686" s="9">
        <v>0</v>
      </c>
      <c r="S686" s="9"/>
      <c r="T686" s="11">
        <v>3.5290000000000002E-2</v>
      </c>
      <c r="U686" s="11">
        <v>2.554E-2</v>
      </c>
      <c r="V686" s="11">
        <v>0</v>
      </c>
      <c r="W686" s="11">
        <v>0</v>
      </c>
      <c r="X686" s="11"/>
      <c r="AB686" s="3" t="str">
        <f t="shared" si="5"/>
        <v>LY_F___vm</v>
      </c>
      <c r="AC686" s="3" t="str">
        <f t="shared" si="4"/>
        <v>LY_F___vm_1</v>
      </c>
      <c r="AE686" s="3" t="s">
        <v>37</v>
      </c>
    </row>
    <row r="687" spans="1:31" ht="12.5">
      <c r="E687" s="3"/>
      <c r="F687" s="3"/>
      <c r="G687" s="3"/>
      <c r="L687" s="3" t="s">
        <v>38</v>
      </c>
      <c r="M687" s="3">
        <v>91</v>
      </c>
      <c r="N687" s="3">
        <v>0</v>
      </c>
      <c r="O687" s="3">
        <v>9</v>
      </c>
      <c r="Q687" s="3">
        <v>3</v>
      </c>
      <c r="R687" s="9">
        <v>0</v>
      </c>
      <c r="S687" s="9"/>
      <c r="T687" s="11">
        <v>0</v>
      </c>
      <c r="U687" s="11">
        <v>9.0679999999999997E-2</v>
      </c>
      <c r="V687" s="11">
        <v>0.10592</v>
      </c>
      <c r="W687" s="11">
        <v>0</v>
      </c>
      <c r="X687" s="11"/>
      <c r="AB687" s="3" t="str">
        <f t="shared" si="5"/>
        <v>___</v>
      </c>
      <c r="AC687" s="3" t="str">
        <f t="shared" si="4"/>
        <v>____</v>
      </c>
    </row>
    <row r="688" spans="1:31" ht="12.5">
      <c r="E688" s="3"/>
      <c r="F688" s="3"/>
      <c r="G688" s="3"/>
      <c r="L688" s="3" t="s">
        <v>39</v>
      </c>
      <c r="M688" s="3">
        <v>156</v>
      </c>
      <c r="N688" s="3">
        <v>0</v>
      </c>
      <c r="O688" s="3">
        <v>13</v>
      </c>
      <c r="Q688" s="3">
        <v>7</v>
      </c>
      <c r="R688" s="9">
        <v>0</v>
      </c>
      <c r="S688" s="9"/>
      <c r="T688" s="11">
        <v>0</v>
      </c>
      <c r="U688" s="11">
        <v>0.41421000000000002</v>
      </c>
      <c r="V688" s="11">
        <v>0.51893999999999996</v>
      </c>
      <c r="W688" s="11">
        <v>0</v>
      </c>
      <c r="X688" s="11"/>
      <c r="AB688" s="3" t="str">
        <f t="shared" si="5"/>
        <v>___</v>
      </c>
      <c r="AC688" s="3" t="str">
        <f t="shared" si="4"/>
        <v>____</v>
      </c>
    </row>
    <row r="689" spans="1:31" ht="12.5">
      <c r="A689" s="17">
        <v>45544</v>
      </c>
      <c r="B689" s="3" t="s">
        <v>102</v>
      </c>
      <c r="D689" s="3" t="s">
        <v>97</v>
      </c>
      <c r="E689" s="3" t="s">
        <v>42</v>
      </c>
      <c r="F689" s="3"/>
      <c r="G689" s="3" t="s">
        <v>40</v>
      </c>
      <c r="H689" s="3">
        <v>3</v>
      </c>
      <c r="I689" s="3" t="s">
        <v>105</v>
      </c>
      <c r="J689" s="3" t="s">
        <v>106</v>
      </c>
      <c r="K689" s="3">
        <v>12</v>
      </c>
      <c r="L689" s="3" t="s">
        <v>36</v>
      </c>
      <c r="M689" s="3">
        <v>45</v>
      </c>
      <c r="N689" s="3">
        <v>7</v>
      </c>
      <c r="O689" s="3">
        <v>7</v>
      </c>
      <c r="Q689" s="3">
        <v>0</v>
      </c>
      <c r="R689" s="9">
        <v>0</v>
      </c>
      <c r="S689" s="9"/>
      <c r="T689" s="11">
        <v>5.6210000000000003E-2</v>
      </c>
      <c r="U689" s="11">
        <v>2.308E-2</v>
      </c>
      <c r="V689" s="11">
        <v>0</v>
      </c>
      <c r="W689" s="11">
        <v>0</v>
      </c>
      <c r="X689" s="11"/>
      <c r="Y689" s="3"/>
      <c r="Z689" s="3" t="s">
        <v>107</v>
      </c>
      <c r="AB689" s="3" t="str">
        <f t="shared" si="5"/>
        <v>LY_F___vm</v>
      </c>
      <c r="AC689" s="3" t="str">
        <f t="shared" si="4"/>
        <v>LY_F___vm_3</v>
      </c>
      <c r="AE689" s="3" t="s">
        <v>37</v>
      </c>
    </row>
    <row r="690" spans="1:31" ht="12.5">
      <c r="E690" s="3"/>
      <c r="F690" s="3"/>
      <c r="G690" s="3"/>
      <c r="L690" s="3" t="s">
        <v>38</v>
      </c>
      <c r="M690" s="3">
        <v>113</v>
      </c>
      <c r="N690" s="3">
        <v>0</v>
      </c>
      <c r="O690" s="3">
        <v>11</v>
      </c>
      <c r="Q690" s="3">
        <v>3</v>
      </c>
      <c r="R690" s="9">
        <v>0</v>
      </c>
      <c r="S690" s="9"/>
      <c r="T690" s="11">
        <v>0</v>
      </c>
      <c r="U690" s="11">
        <v>0.14939</v>
      </c>
      <c r="V690" s="11">
        <v>0.21045</v>
      </c>
      <c r="W690" s="11">
        <v>0</v>
      </c>
      <c r="X690" s="11"/>
      <c r="AB690" s="3" t="str">
        <f t="shared" si="5"/>
        <v>___</v>
      </c>
      <c r="AC690" s="3" t="str">
        <f t="shared" si="4"/>
        <v>____</v>
      </c>
    </row>
    <row r="691" spans="1:31" ht="12.5">
      <c r="E691" s="3"/>
      <c r="F691" s="3"/>
      <c r="G691" s="3"/>
      <c r="L691" s="3" t="s">
        <v>39</v>
      </c>
      <c r="M691" s="3">
        <v>58</v>
      </c>
      <c r="N691" s="3">
        <v>0</v>
      </c>
      <c r="O691" s="3">
        <v>6</v>
      </c>
      <c r="Q691" s="3">
        <v>3</v>
      </c>
      <c r="R691" s="9">
        <v>0</v>
      </c>
      <c r="S691" s="9"/>
      <c r="T691" s="11">
        <v>0</v>
      </c>
      <c r="U691" s="11">
        <v>0.13572000000000001</v>
      </c>
      <c r="V691" s="11">
        <v>0.44151000000000001</v>
      </c>
      <c r="W691" s="11">
        <v>0</v>
      </c>
      <c r="X691" s="11"/>
      <c r="AB691" s="3" t="str">
        <f t="shared" si="5"/>
        <v>___</v>
      </c>
      <c r="AC691" s="3" t="str">
        <f t="shared" si="4"/>
        <v>____</v>
      </c>
    </row>
    <row r="692" spans="1:31" ht="12.5">
      <c r="A692" s="17">
        <v>45544</v>
      </c>
      <c r="B692" s="3" t="s">
        <v>102</v>
      </c>
      <c r="D692" s="3" t="s">
        <v>97</v>
      </c>
      <c r="E692" s="3" t="s">
        <v>42</v>
      </c>
      <c r="F692" s="3"/>
      <c r="G692" s="3" t="s">
        <v>35</v>
      </c>
      <c r="H692" s="3">
        <v>3</v>
      </c>
      <c r="I692" s="4">
        <v>45437</v>
      </c>
      <c r="J692" s="3" t="s">
        <v>108</v>
      </c>
      <c r="K692" s="3">
        <v>7</v>
      </c>
      <c r="L692" s="3" t="s">
        <v>36</v>
      </c>
      <c r="M692" s="3">
        <v>37</v>
      </c>
      <c r="N692" s="3">
        <v>11</v>
      </c>
      <c r="O692" s="3">
        <v>13</v>
      </c>
      <c r="Q692" s="3">
        <v>0</v>
      </c>
      <c r="R692" s="9">
        <v>0</v>
      </c>
      <c r="S692" s="9"/>
      <c r="T692" s="11">
        <v>8.4229999999999999E-2</v>
      </c>
      <c r="U692" s="11">
        <v>1.042E-2</v>
      </c>
      <c r="V692" s="11">
        <v>0</v>
      </c>
      <c r="W692" s="11">
        <v>0</v>
      </c>
      <c r="X692" s="11"/>
      <c r="Z692" s="3" t="s">
        <v>109</v>
      </c>
      <c r="AB692" s="3" t="str">
        <f t="shared" si="5"/>
        <v>LY_F___vv</v>
      </c>
      <c r="AC692" s="3" t="str">
        <f t="shared" si="4"/>
        <v>LY_F___vv_3</v>
      </c>
      <c r="AE692" s="3" t="s">
        <v>37</v>
      </c>
    </row>
    <row r="693" spans="1:31" ht="12.5">
      <c r="E693" s="3"/>
      <c r="F693" s="3"/>
      <c r="G693" s="3"/>
      <c r="L693" s="3" t="s">
        <v>38</v>
      </c>
      <c r="M693" s="3">
        <v>61</v>
      </c>
      <c r="N693" s="3">
        <v>9</v>
      </c>
      <c r="O693" s="3">
        <v>15</v>
      </c>
      <c r="Q693" s="3">
        <v>0</v>
      </c>
      <c r="R693" s="9">
        <v>0</v>
      </c>
      <c r="S693" s="9"/>
      <c r="T693" s="11">
        <v>0.18951000000000001</v>
      </c>
      <c r="U693" s="11">
        <v>3.8780000000000002E-2</v>
      </c>
      <c r="V693" s="11">
        <v>0</v>
      </c>
      <c r="W693" s="11">
        <v>0</v>
      </c>
      <c r="X693" s="11"/>
      <c r="AB693" s="3" t="str">
        <f t="shared" si="5"/>
        <v>___</v>
      </c>
      <c r="AC693" s="3" t="str">
        <f t="shared" si="4"/>
        <v>____</v>
      </c>
    </row>
    <row r="694" spans="1:31" ht="12.5">
      <c r="E694" s="3"/>
      <c r="F694" s="3"/>
      <c r="G694" s="3"/>
      <c r="L694" s="3" t="s">
        <v>39</v>
      </c>
      <c r="M694" s="3">
        <v>56</v>
      </c>
      <c r="N694" s="3">
        <v>5</v>
      </c>
      <c r="O694" s="3">
        <v>13</v>
      </c>
      <c r="Q694" s="3">
        <v>1</v>
      </c>
      <c r="R694" s="9">
        <v>0</v>
      </c>
      <c r="S694" s="9"/>
      <c r="T694" s="11">
        <v>9.4390000000000002E-2</v>
      </c>
      <c r="U694" s="11">
        <v>5.3100000000000001E-2</v>
      </c>
      <c r="V694" s="11">
        <v>0</v>
      </c>
      <c r="W694" s="11">
        <v>0</v>
      </c>
      <c r="X694" s="11"/>
      <c r="AB694" s="3" t="str">
        <f t="shared" si="5"/>
        <v>___</v>
      </c>
      <c r="AC694" s="3" t="str">
        <f t="shared" si="4"/>
        <v>____</v>
      </c>
    </row>
    <row r="695" spans="1:31" ht="12.5">
      <c r="A695" s="17">
        <v>45544</v>
      </c>
      <c r="B695" s="3" t="s">
        <v>102</v>
      </c>
      <c r="D695" s="3" t="s">
        <v>97</v>
      </c>
      <c r="E695" s="3" t="s">
        <v>42</v>
      </c>
      <c r="F695" s="3"/>
      <c r="G695" s="3" t="s">
        <v>40</v>
      </c>
      <c r="H695" s="3">
        <v>2</v>
      </c>
      <c r="I695" s="3" t="s">
        <v>110</v>
      </c>
      <c r="J695" s="3" t="s">
        <v>111</v>
      </c>
      <c r="K695" s="3">
        <v>9</v>
      </c>
      <c r="L695" s="3" t="s">
        <v>36</v>
      </c>
      <c r="M695" s="3">
        <v>78</v>
      </c>
      <c r="N695" s="3">
        <v>9</v>
      </c>
      <c r="O695" s="3">
        <v>10</v>
      </c>
      <c r="Q695" s="3">
        <v>0</v>
      </c>
      <c r="R695" s="9">
        <v>2</v>
      </c>
      <c r="S695" s="9"/>
      <c r="T695" s="11">
        <v>8.4750000000000006E-2</v>
      </c>
      <c r="U695" s="11">
        <v>7.6109999999999997E-2</v>
      </c>
      <c r="V695" s="11">
        <v>0</v>
      </c>
      <c r="W695" s="11">
        <v>6.7580000000000001E-2</v>
      </c>
      <c r="X695" s="11"/>
      <c r="AB695" s="3" t="str">
        <f t="shared" si="5"/>
        <v>LY_F___vm</v>
      </c>
      <c r="AC695" s="3" t="str">
        <f t="shared" si="4"/>
        <v>LY_F___vm_2</v>
      </c>
      <c r="AE695" s="3" t="s">
        <v>37</v>
      </c>
    </row>
    <row r="696" spans="1:31" ht="12.5">
      <c r="E696" s="3"/>
      <c r="F696" s="3"/>
      <c r="G696" s="3"/>
      <c r="L696" s="3" t="s">
        <v>38</v>
      </c>
      <c r="M696" s="3">
        <v>75</v>
      </c>
      <c r="N696" s="3">
        <v>0</v>
      </c>
      <c r="O696" s="3">
        <v>8</v>
      </c>
      <c r="Q696" s="3">
        <v>1</v>
      </c>
      <c r="R696" s="9">
        <v>0</v>
      </c>
      <c r="S696" s="9"/>
      <c r="T696" s="11">
        <v>0</v>
      </c>
      <c r="U696" s="11">
        <v>0.1545</v>
      </c>
      <c r="V696" s="11">
        <v>0.17025999999999999</v>
      </c>
      <c r="W696" s="11">
        <v>0</v>
      </c>
      <c r="X696" s="11"/>
      <c r="AB696" s="3" t="str">
        <f t="shared" si="5"/>
        <v>___</v>
      </c>
      <c r="AC696" s="3" t="str">
        <f t="shared" si="4"/>
        <v>____</v>
      </c>
    </row>
    <row r="697" spans="1:31" ht="12.5">
      <c r="E697" s="3"/>
      <c r="F697" s="3"/>
      <c r="G697" s="3"/>
      <c r="L697" s="3" t="s">
        <v>39</v>
      </c>
      <c r="M697" s="3">
        <v>43</v>
      </c>
      <c r="N697" s="3">
        <v>0</v>
      </c>
      <c r="O697" s="3">
        <v>5</v>
      </c>
      <c r="Q697" s="3">
        <v>3</v>
      </c>
      <c r="R697" s="9">
        <v>0</v>
      </c>
      <c r="S697" s="9"/>
      <c r="T697" s="11">
        <v>0</v>
      </c>
      <c r="U697" s="11">
        <v>0.14843999999999999</v>
      </c>
      <c r="V697" s="11">
        <v>0.82399999999999995</v>
      </c>
      <c r="W697" s="11">
        <v>0</v>
      </c>
      <c r="X697" s="11"/>
      <c r="AB697" s="3" t="str">
        <f t="shared" si="5"/>
        <v>___</v>
      </c>
      <c r="AC697" s="3" t="str">
        <f t="shared" si="4"/>
        <v>____</v>
      </c>
    </row>
    <row r="698" spans="1:31" ht="12.5">
      <c r="A698" s="17">
        <v>45544</v>
      </c>
      <c r="B698" s="3" t="s">
        <v>102</v>
      </c>
      <c r="D698" s="3" t="s">
        <v>97</v>
      </c>
      <c r="E698" s="3" t="s">
        <v>42</v>
      </c>
      <c r="F698" s="3"/>
      <c r="G698" s="3" t="s">
        <v>35</v>
      </c>
      <c r="H698" s="3">
        <v>2</v>
      </c>
      <c r="I698" s="4">
        <v>45313</v>
      </c>
      <c r="J698" s="4">
        <v>45408</v>
      </c>
      <c r="K698" s="3">
        <v>7</v>
      </c>
      <c r="L698" s="3" t="s">
        <v>36</v>
      </c>
      <c r="M698" s="3">
        <v>57</v>
      </c>
      <c r="N698" s="3">
        <v>11</v>
      </c>
      <c r="O698" s="3">
        <v>16</v>
      </c>
      <c r="Q698" s="3">
        <v>0</v>
      </c>
      <c r="R698" s="9">
        <v>0</v>
      </c>
      <c r="S698" s="9"/>
      <c r="T698" s="11">
        <v>0.11138000000000001</v>
      </c>
      <c r="U698" s="11">
        <v>2.452E-2</v>
      </c>
      <c r="V698" s="11">
        <v>0</v>
      </c>
      <c r="W698" s="11">
        <v>0</v>
      </c>
      <c r="X698" s="11"/>
      <c r="Z698" s="5" t="s">
        <v>112</v>
      </c>
      <c r="AB698" s="3" t="str">
        <f t="shared" si="5"/>
        <v>LY_F___vv</v>
      </c>
      <c r="AC698" s="3" t="str">
        <f t="shared" si="4"/>
        <v>LY_F___vv_2</v>
      </c>
      <c r="AE698" s="3" t="s">
        <v>37</v>
      </c>
    </row>
    <row r="699" spans="1:31" ht="12.5">
      <c r="E699" s="3"/>
      <c r="F699" s="3"/>
      <c r="G699" s="3"/>
      <c r="L699" s="3" t="s">
        <v>38</v>
      </c>
      <c r="M699" s="3">
        <v>48</v>
      </c>
      <c r="N699" s="3">
        <v>8</v>
      </c>
      <c r="O699" s="3">
        <v>10</v>
      </c>
      <c r="Q699" s="3">
        <v>0</v>
      </c>
      <c r="R699" s="9">
        <v>0</v>
      </c>
      <c r="S699" s="9"/>
      <c r="T699" s="11">
        <v>6.4119999999999996E-2</v>
      </c>
      <c r="U699" s="11">
        <v>2.717E-2</v>
      </c>
      <c r="V699" s="11">
        <v>0</v>
      </c>
      <c r="W699" s="11">
        <v>0</v>
      </c>
      <c r="X699" s="11"/>
      <c r="AB699" s="3" t="str">
        <f t="shared" si="5"/>
        <v>___</v>
      </c>
      <c r="AC699" s="3" t="str">
        <f t="shared" si="4"/>
        <v>____</v>
      </c>
    </row>
    <row r="700" spans="1:31" ht="12.5">
      <c r="E700" s="3"/>
      <c r="F700" s="3"/>
      <c r="G700" s="3"/>
      <c r="L700" s="3" t="s">
        <v>39</v>
      </c>
      <c r="M700" s="3">
        <v>31</v>
      </c>
      <c r="N700" s="3">
        <v>2</v>
      </c>
      <c r="O700" s="3">
        <v>11</v>
      </c>
      <c r="Q700" s="3">
        <v>1</v>
      </c>
      <c r="R700" s="9">
        <v>0</v>
      </c>
      <c r="S700" s="9"/>
      <c r="T700" s="11">
        <v>3.8600000000000001E-3</v>
      </c>
      <c r="U700" s="11">
        <v>3.0509999999999999E-2</v>
      </c>
      <c r="V700" s="11">
        <v>2.1160000000000002E-2</v>
      </c>
      <c r="W700" s="11">
        <v>0</v>
      </c>
      <c r="X700" s="11"/>
      <c r="AB700" s="3" t="str">
        <f t="shared" si="5"/>
        <v>___</v>
      </c>
      <c r="AC700" s="3" t="str">
        <f t="shared" si="4"/>
        <v>____</v>
      </c>
    </row>
    <row r="701" spans="1:31" ht="12.5">
      <c r="B701" s="3" t="s">
        <v>113</v>
      </c>
      <c r="D701" s="3" t="s">
        <v>97</v>
      </c>
      <c r="E701" s="3" t="s">
        <v>42</v>
      </c>
      <c r="F701" s="3"/>
      <c r="G701" s="3" t="s">
        <v>35</v>
      </c>
      <c r="H701" s="3">
        <v>1</v>
      </c>
      <c r="I701" s="3" t="s">
        <v>114</v>
      </c>
      <c r="J701" s="4">
        <v>45310</v>
      </c>
      <c r="K701" s="3">
        <v>3</v>
      </c>
      <c r="L701" s="3" t="s">
        <v>36</v>
      </c>
      <c r="M701" s="3">
        <v>48</v>
      </c>
      <c r="N701" s="3">
        <v>13</v>
      </c>
      <c r="O701" s="3">
        <v>14</v>
      </c>
      <c r="Q701" s="3">
        <v>0</v>
      </c>
      <c r="R701" s="9">
        <v>0</v>
      </c>
      <c r="S701" s="9"/>
      <c r="T701" s="11">
        <v>0.20931</v>
      </c>
      <c r="U701" s="11">
        <v>2.7480000000000001E-2</v>
      </c>
      <c r="V701" s="11">
        <v>0</v>
      </c>
      <c r="W701" s="11">
        <v>0</v>
      </c>
      <c r="X701" s="11"/>
      <c r="AB701" s="3" t="str">
        <f t="shared" si="5"/>
        <v>SO_F___vv</v>
      </c>
      <c r="AC701" s="3" t="str">
        <f t="shared" si="4"/>
        <v>SO_F___vv_1</v>
      </c>
      <c r="AD701" s="3" t="s">
        <v>49</v>
      </c>
      <c r="AE701" s="3" t="s">
        <v>37</v>
      </c>
    </row>
    <row r="702" spans="1:31" ht="12.5">
      <c r="E702" s="3"/>
      <c r="F702" s="3"/>
      <c r="G702" s="3"/>
      <c r="L702" s="3" t="s">
        <v>38</v>
      </c>
      <c r="M702" s="3">
        <v>62</v>
      </c>
      <c r="N702" s="3">
        <v>10</v>
      </c>
      <c r="O702" s="3">
        <v>17</v>
      </c>
      <c r="Q702" s="3">
        <v>0</v>
      </c>
      <c r="R702" s="9">
        <v>0</v>
      </c>
      <c r="S702" s="9"/>
      <c r="T702" s="11">
        <v>0.15336</v>
      </c>
      <c r="U702" s="11">
        <v>5.5100000000000003E-2</v>
      </c>
      <c r="V702" s="11">
        <v>0</v>
      </c>
      <c r="W702" s="11">
        <v>0</v>
      </c>
      <c r="X702" s="11"/>
      <c r="AB702" s="3" t="str">
        <f t="shared" si="5"/>
        <v>___</v>
      </c>
      <c r="AC702" s="3" t="str">
        <f t="shared" si="4"/>
        <v>____</v>
      </c>
    </row>
    <row r="703" spans="1:31" ht="12.5">
      <c r="E703" s="3"/>
      <c r="F703" s="3"/>
      <c r="G703" s="3"/>
      <c r="L703" s="3" t="s">
        <v>39</v>
      </c>
      <c r="M703" s="3">
        <v>75</v>
      </c>
      <c r="N703" s="3">
        <v>7</v>
      </c>
      <c r="O703" s="3">
        <v>13</v>
      </c>
      <c r="Q703" s="3">
        <v>0</v>
      </c>
      <c r="R703" s="9">
        <v>0</v>
      </c>
      <c r="S703" s="9"/>
      <c r="T703" s="11">
        <v>8.5360000000000005E-2</v>
      </c>
      <c r="U703" s="11">
        <v>7.5170000000000001E-2</v>
      </c>
      <c r="V703" s="11">
        <v>0</v>
      </c>
      <c r="W703" s="11">
        <v>0</v>
      </c>
      <c r="X703" s="11"/>
      <c r="AB703" s="3" t="str">
        <f t="shared" si="5"/>
        <v>___</v>
      </c>
      <c r="AC703" s="3" t="str">
        <f t="shared" si="4"/>
        <v>____</v>
      </c>
    </row>
    <row r="704" spans="1:31" ht="12.5">
      <c r="B704" s="3" t="s">
        <v>113</v>
      </c>
      <c r="D704" s="3" t="s">
        <v>97</v>
      </c>
      <c r="E704" s="3" t="s">
        <v>42</v>
      </c>
      <c r="F704" s="3"/>
      <c r="G704" s="3" t="s">
        <v>35</v>
      </c>
      <c r="H704" s="3">
        <v>2</v>
      </c>
      <c r="I704" s="4">
        <v>45346</v>
      </c>
      <c r="J704" s="4">
        <v>45407</v>
      </c>
      <c r="K704" s="3">
        <v>3</v>
      </c>
      <c r="L704" s="3" t="s">
        <v>36</v>
      </c>
      <c r="M704" s="3">
        <v>60</v>
      </c>
      <c r="N704" s="3">
        <v>10</v>
      </c>
      <c r="O704" s="3">
        <v>18</v>
      </c>
      <c r="Q704" s="3">
        <v>0</v>
      </c>
      <c r="R704" s="9">
        <v>0</v>
      </c>
      <c r="S704" s="9"/>
      <c r="T704" s="11">
        <v>0.21646000000000001</v>
      </c>
      <c r="U704" s="11">
        <v>4.4990000000000002E-2</v>
      </c>
      <c r="V704" s="11">
        <v>0</v>
      </c>
      <c r="W704" s="11">
        <v>0</v>
      </c>
      <c r="X704" s="11"/>
      <c r="AB704" s="3" t="str">
        <f t="shared" si="5"/>
        <v>SO_F___vv</v>
      </c>
      <c r="AC704" s="3" t="str">
        <f t="shared" si="4"/>
        <v>SO_F___vv_2</v>
      </c>
      <c r="AD704" s="3" t="s">
        <v>49</v>
      </c>
      <c r="AE704" s="3" t="s">
        <v>37</v>
      </c>
    </row>
    <row r="705" spans="2:31" ht="12.5">
      <c r="E705" s="3"/>
      <c r="F705" s="3"/>
      <c r="G705" s="3"/>
      <c r="L705" s="3" t="s">
        <v>38</v>
      </c>
      <c r="M705" s="3">
        <v>77</v>
      </c>
      <c r="N705" s="3">
        <v>10</v>
      </c>
      <c r="O705" s="3">
        <v>21</v>
      </c>
      <c r="Q705" s="3">
        <v>0</v>
      </c>
      <c r="R705" s="9">
        <v>0</v>
      </c>
      <c r="S705" s="9"/>
      <c r="T705" s="11">
        <v>0.32058999999999999</v>
      </c>
      <c r="U705" s="11">
        <v>0.10019</v>
      </c>
      <c r="V705" s="11">
        <v>0</v>
      </c>
      <c r="W705" s="11">
        <v>0</v>
      </c>
      <c r="X705" s="11"/>
      <c r="AB705" s="3" t="str">
        <f t="shared" si="5"/>
        <v>___</v>
      </c>
      <c r="AC705" s="3" t="str">
        <f t="shared" si="4"/>
        <v>____</v>
      </c>
    </row>
    <row r="706" spans="2:31" ht="12.5">
      <c r="E706" s="3"/>
      <c r="F706" s="3"/>
      <c r="G706" s="3"/>
      <c r="L706" s="3" t="s">
        <v>39</v>
      </c>
      <c r="M706" s="3">
        <v>111</v>
      </c>
      <c r="N706" s="3">
        <v>3</v>
      </c>
      <c r="O706" s="3">
        <v>12</v>
      </c>
      <c r="Q706" s="3">
        <v>0</v>
      </c>
      <c r="R706" s="9">
        <v>0</v>
      </c>
      <c r="S706" s="9"/>
      <c r="T706" s="11">
        <v>5.0799999999999998E-2</v>
      </c>
      <c r="U706" s="11">
        <v>0.20755000000000001</v>
      </c>
      <c r="V706" s="11">
        <v>0</v>
      </c>
      <c r="W706" s="11">
        <v>0</v>
      </c>
      <c r="X706" s="11"/>
      <c r="AB706" s="3" t="str">
        <f t="shared" si="5"/>
        <v>___</v>
      </c>
      <c r="AC706" s="3" t="str">
        <f t="shared" si="4"/>
        <v>____</v>
      </c>
    </row>
    <row r="707" spans="2:31" ht="12.5">
      <c r="B707" s="3" t="s">
        <v>113</v>
      </c>
      <c r="D707" s="3" t="s">
        <v>97</v>
      </c>
      <c r="E707" s="3" t="s">
        <v>42</v>
      </c>
      <c r="F707" s="3"/>
      <c r="G707" s="3" t="s">
        <v>35</v>
      </c>
      <c r="H707" s="3">
        <v>3</v>
      </c>
      <c r="I707" s="4">
        <v>45398</v>
      </c>
      <c r="J707" s="4">
        <v>45315</v>
      </c>
      <c r="K707" s="3">
        <v>4</v>
      </c>
      <c r="L707" s="3" t="s">
        <v>36</v>
      </c>
      <c r="M707" s="3">
        <v>56</v>
      </c>
      <c r="N707" s="3">
        <v>12</v>
      </c>
      <c r="O707" s="3">
        <v>14</v>
      </c>
      <c r="Q707" s="3">
        <v>0</v>
      </c>
      <c r="R707" s="9">
        <v>0</v>
      </c>
      <c r="S707" s="9"/>
      <c r="T707" s="11">
        <v>0.20039999999999999</v>
      </c>
      <c r="U707" s="11">
        <v>3.5889999999999998E-2</v>
      </c>
      <c r="V707" s="11">
        <v>0</v>
      </c>
      <c r="W707" s="11">
        <v>0</v>
      </c>
      <c r="X707" s="11"/>
      <c r="AB707" s="3" t="str">
        <f t="shared" si="5"/>
        <v>SO_F___vv</v>
      </c>
      <c r="AC707" s="3" t="str">
        <f t="shared" si="4"/>
        <v>SO_F___vv_3</v>
      </c>
      <c r="AD707" s="3" t="s">
        <v>37</v>
      </c>
      <c r="AE707" s="3" t="s">
        <v>37</v>
      </c>
    </row>
    <row r="708" spans="2:31" ht="12.5">
      <c r="E708" s="3"/>
      <c r="F708" s="3"/>
      <c r="G708" s="3"/>
      <c r="L708" s="3" t="s">
        <v>38</v>
      </c>
      <c r="M708" s="3">
        <v>70</v>
      </c>
      <c r="N708" s="3">
        <v>10</v>
      </c>
      <c r="O708" s="3">
        <v>16</v>
      </c>
      <c r="Q708" s="3">
        <v>0</v>
      </c>
      <c r="R708" s="9">
        <v>0</v>
      </c>
      <c r="S708" s="9"/>
      <c r="T708" s="11">
        <v>0.18160999999999999</v>
      </c>
      <c r="U708" s="11">
        <v>6.7089999999999997E-2</v>
      </c>
      <c r="V708" s="11">
        <v>0</v>
      </c>
      <c r="W708" s="11">
        <v>0</v>
      </c>
      <c r="X708" s="11"/>
      <c r="AB708" s="3" t="str">
        <f t="shared" si="5"/>
        <v>___</v>
      </c>
      <c r="AC708" s="3" t="str">
        <f t="shared" si="4"/>
        <v>____</v>
      </c>
    </row>
    <row r="709" spans="2:31" ht="12.5">
      <c r="E709" s="3"/>
      <c r="F709" s="3"/>
      <c r="G709" s="3"/>
      <c r="L709" s="3" t="s">
        <v>39</v>
      </c>
      <c r="M709" s="3">
        <v>46</v>
      </c>
      <c r="N709" s="3">
        <v>2</v>
      </c>
      <c r="O709" s="3">
        <v>9</v>
      </c>
      <c r="Q709" s="3">
        <v>0</v>
      </c>
      <c r="R709" s="9">
        <v>0</v>
      </c>
      <c r="S709" s="9"/>
      <c r="T709" s="11">
        <v>8.9599999999999992E-3</v>
      </c>
      <c r="U709" s="11">
        <v>4.1910000000000003E-2</v>
      </c>
      <c r="V709" s="11">
        <v>0</v>
      </c>
      <c r="W709" s="11">
        <v>0</v>
      </c>
      <c r="X709" s="11"/>
      <c r="AB709" s="3" t="str">
        <f t="shared" si="5"/>
        <v>___</v>
      </c>
      <c r="AC709" s="3" t="str">
        <f t="shared" si="4"/>
        <v>____</v>
      </c>
    </row>
    <row r="710" spans="2:31" ht="12.5">
      <c r="B710" s="3" t="s">
        <v>113</v>
      </c>
      <c r="D710" s="3" t="s">
        <v>97</v>
      </c>
      <c r="E710" s="3" t="s">
        <v>42</v>
      </c>
      <c r="F710" s="3"/>
      <c r="G710" s="3" t="s">
        <v>40</v>
      </c>
      <c r="H710" s="3">
        <v>1</v>
      </c>
      <c r="I710" s="4">
        <v>45346</v>
      </c>
      <c r="J710" s="4">
        <v>45410</v>
      </c>
      <c r="K710" s="3">
        <v>7</v>
      </c>
      <c r="L710" s="3" t="s">
        <v>36</v>
      </c>
      <c r="M710" s="3">
        <v>52</v>
      </c>
      <c r="N710" s="3">
        <v>7</v>
      </c>
      <c r="O710" s="3">
        <v>7</v>
      </c>
      <c r="Q710" s="3">
        <v>0</v>
      </c>
      <c r="R710" s="9">
        <v>0</v>
      </c>
      <c r="S710" s="9"/>
      <c r="T710" s="11">
        <v>5.083E-2</v>
      </c>
      <c r="U710" s="11">
        <v>3.6909999999999998E-2</v>
      </c>
      <c r="V710" s="11">
        <v>0</v>
      </c>
      <c r="W710" s="11">
        <v>0</v>
      </c>
      <c r="X710" s="11"/>
      <c r="AB710" s="3" t="str">
        <f t="shared" si="5"/>
        <v>SO_F___vm</v>
      </c>
      <c r="AC710" s="3" t="str">
        <f t="shared" si="4"/>
        <v>SO_F___vm_1</v>
      </c>
      <c r="AD710" s="3" t="s">
        <v>37</v>
      </c>
      <c r="AE710" s="3" t="s">
        <v>37</v>
      </c>
    </row>
    <row r="711" spans="2:31" ht="12.5">
      <c r="E711" s="3"/>
      <c r="F711" s="3"/>
      <c r="G711" s="3"/>
      <c r="L711" s="3" t="s">
        <v>38</v>
      </c>
      <c r="M711" s="3">
        <v>66</v>
      </c>
      <c r="N711" s="3">
        <v>0</v>
      </c>
      <c r="O711" s="3">
        <v>7</v>
      </c>
      <c r="Q711" s="3">
        <v>2</v>
      </c>
      <c r="R711" s="9">
        <v>0</v>
      </c>
      <c r="S711" s="9"/>
      <c r="T711" s="11">
        <v>0</v>
      </c>
      <c r="U711" s="11">
        <v>8.8679999999999995E-2</v>
      </c>
      <c r="V711" s="11">
        <v>0.14548</v>
      </c>
      <c r="W711" s="11">
        <v>0</v>
      </c>
      <c r="X711" s="11"/>
      <c r="AB711" s="3" t="str">
        <f t="shared" si="5"/>
        <v>___</v>
      </c>
      <c r="AC711" s="3" t="str">
        <f t="shared" si="4"/>
        <v>____</v>
      </c>
    </row>
    <row r="712" spans="2:31" ht="12.5">
      <c r="E712" s="3"/>
      <c r="F712" s="3"/>
      <c r="G712" s="3"/>
      <c r="L712" s="3" t="s">
        <v>39</v>
      </c>
      <c r="M712" s="3">
        <v>54</v>
      </c>
      <c r="N712" s="3">
        <v>0</v>
      </c>
      <c r="O712" s="3">
        <v>6</v>
      </c>
      <c r="Q712" s="3">
        <v>2</v>
      </c>
      <c r="R712" s="9">
        <v>0</v>
      </c>
      <c r="S712" s="9"/>
      <c r="T712" s="11">
        <v>0</v>
      </c>
      <c r="U712" s="11">
        <v>0.1179</v>
      </c>
      <c r="V712" s="11">
        <v>0.32052999999999998</v>
      </c>
      <c r="W712" s="11">
        <v>0</v>
      </c>
      <c r="X712" s="11"/>
      <c r="AB712" s="3" t="str">
        <f t="shared" si="5"/>
        <v>___</v>
      </c>
      <c r="AC712" s="3" t="str">
        <f t="shared" si="4"/>
        <v>____</v>
      </c>
    </row>
    <row r="713" spans="2:31" ht="12.5">
      <c r="B713" s="3" t="s">
        <v>113</v>
      </c>
      <c r="D713" s="3" t="s">
        <v>97</v>
      </c>
      <c r="E713" s="3" t="s">
        <v>42</v>
      </c>
      <c r="F713" s="3"/>
      <c r="G713" s="3" t="s">
        <v>40</v>
      </c>
      <c r="H713" s="3">
        <v>2</v>
      </c>
      <c r="I713" s="4">
        <v>45407</v>
      </c>
      <c r="J713" s="4">
        <v>45346</v>
      </c>
      <c r="K713" s="3">
        <v>4</v>
      </c>
      <c r="L713" s="3" t="s">
        <v>36</v>
      </c>
      <c r="M713" s="3">
        <v>57</v>
      </c>
      <c r="N713" s="3">
        <v>7</v>
      </c>
      <c r="O713" s="3">
        <v>7</v>
      </c>
      <c r="Q713" s="3">
        <v>0</v>
      </c>
      <c r="R713" s="9">
        <v>0</v>
      </c>
      <c r="S713" s="9"/>
      <c r="T713" s="11">
        <v>5.8930000000000003E-2</v>
      </c>
      <c r="U713" s="11">
        <v>3.8530000000000002E-2</v>
      </c>
      <c r="V713" s="11">
        <v>0</v>
      </c>
      <c r="W713" s="11">
        <v>0</v>
      </c>
      <c r="X713" s="11"/>
      <c r="AB713" s="3" t="str">
        <f t="shared" si="5"/>
        <v>SO_F___vm</v>
      </c>
      <c r="AC713" s="3" t="str">
        <f t="shared" si="4"/>
        <v>SO_F___vm_2</v>
      </c>
      <c r="AD713" s="3" t="s">
        <v>37</v>
      </c>
      <c r="AE713" s="3" t="s">
        <v>37</v>
      </c>
    </row>
    <row r="714" spans="2:31" ht="12.5">
      <c r="E714" s="3"/>
      <c r="F714" s="3"/>
      <c r="G714" s="3"/>
      <c r="L714" s="3" t="s">
        <v>38</v>
      </c>
      <c r="M714" s="3">
        <v>81</v>
      </c>
      <c r="N714" s="3">
        <v>0</v>
      </c>
      <c r="O714" s="3">
        <v>7</v>
      </c>
      <c r="Q714" s="3">
        <v>2</v>
      </c>
      <c r="R714" s="9">
        <v>0</v>
      </c>
      <c r="S714" s="9"/>
      <c r="T714" s="11">
        <v>0</v>
      </c>
      <c r="U714" s="11">
        <v>0.11514000000000001</v>
      </c>
      <c r="V714" s="11">
        <v>0.15311</v>
      </c>
      <c r="W714" s="11">
        <v>0</v>
      </c>
      <c r="X714" s="11"/>
      <c r="AB714" s="3" t="str">
        <f t="shared" si="5"/>
        <v>___</v>
      </c>
      <c r="AC714" s="3" t="str">
        <f t="shared" si="4"/>
        <v>____</v>
      </c>
    </row>
    <row r="715" spans="2:31" ht="12.5">
      <c r="E715" s="3"/>
      <c r="F715" s="3"/>
      <c r="G715" s="3"/>
      <c r="L715" s="3" t="s">
        <v>39</v>
      </c>
      <c r="M715" s="3">
        <v>67</v>
      </c>
      <c r="N715" s="3">
        <v>0</v>
      </c>
      <c r="O715" s="3">
        <v>7</v>
      </c>
      <c r="Q715" s="3">
        <v>2</v>
      </c>
      <c r="R715" s="9">
        <v>0</v>
      </c>
      <c r="S715" s="9"/>
      <c r="T715" s="11">
        <v>0</v>
      </c>
      <c r="U715" s="11">
        <v>0.11584</v>
      </c>
      <c r="V715" s="11">
        <v>0.10695</v>
      </c>
      <c r="W715" s="11">
        <v>0</v>
      </c>
      <c r="X715" s="11"/>
      <c r="AB715" s="3" t="str">
        <f t="shared" si="5"/>
        <v>___</v>
      </c>
      <c r="AC715" s="3" t="str">
        <f t="shared" si="4"/>
        <v>____</v>
      </c>
    </row>
    <row r="716" spans="2:31" ht="12.5">
      <c r="B716" s="3" t="s">
        <v>113</v>
      </c>
      <c r="D716" s="3" t="s">
        <v>97</v>
      </c>
      <c r="E716" s="3" t="s">
        <v>42</v>
      </c>
      <c r="F716" s="3"/>
      <c r="G716" s="3" t="s">
        <v>40</v>
      </c>
      <c r="H716" s="3">
        <v>3</v>
      </c>
      <c r="I716" s="4">
        <v>45373</v>
      </c>
      <c r="J716" s="4">
        <v>45463</v>
      </c>
      <c r="K716" s="3">
        <v>5</v>
      </c>
      <c r="L716" s="3" t="s">
        <v>36</v>
      </c>
      <c r="M716" s="3">
        <v>22</v>
      </c>
      <c r="N716" s="3">
        <v>4</v>
      </c>
      <c r="O716" s="3">
        <v>5</v>
      </c>
      <c r="Q716" s="3">
        <v>0</v>
      </c>
      <c r="R716" s="9">
        <v>0</v>
      </c>
      <c r="S716" s="9"/>
      <c r="T716" s="11">
        <v>2.1190000000000001E-2</v>
      </c>
      <c r="U716" s="11">
        <v>7.3299999999999997E-3</v>
      </c>
      <c r="V716" s="11">
        <v>0</v>
      </c>
      <c r="W716" s="11">
        <v>0</v>
      </c>
      <c r="X716" s="11"/>
      <c r="AB716" s="3" t="str">
        <f t="shared" si="5"/>
        <v>SO_F___vm</v>
      </c>
      <c r="AC716" s="3" t="str">
        <f t="shared" si="4"/>
        <v>SO_F___vm_3</v>
      </c>
      <c r="AD716" s="3" t="s">
        <v>37</v>
      </c>
      <c r="AE716" s="3" t="s">
        <v>37</v>
      </c>
    </row>
    <row r="717" spans="2:31" ht="12.5">
      <c r="E717" s="3"/>
      <c r="F717" s="3"/>
      <c r="G717" s="3"/>
      <c r="L717" s="3" t="s">
        <v>38</v>
      </c>
      <c r="M717" s="3">
        <v>30</v>
      </c>
      <c r="N717" s="3">
        <v>0</v>
      </c>
      <c r="O717" s="3">
        <v>5</v>
      </c>
      <c r="Q717" s="3">
        <v>1</v>
      </c>
      <c r="R717" s="9">
        <v>0</v>
      </c>
      <c r="S717" s="9"/>
      <c r="T717" s="11">
        <v>0</v>
      </c>
      <c r="U717" s="11">
        <v>1.4630000000000001E-2</v>
      </c>
      <c r="V717" s="11">
        <v>1.6400000000000001E-2</v>
      </c>
      <c r="W717" s="11">
        <v>0</v>
      </c>
      <c r="X717" s="11"/>
      <c r="AB717" s="3" t="str">
        <f t="shared" si="5"/>
        <v>___</v>
      </c>
      <c r="AC717" s="3" t="str">
        <f t="shared" si="4"/>
        <v>____</v>
      </c>
    </row>
    <row r="718" spans="2:31" ht="12.5">
      <c r="E718" s="3"/>
      <c r="F718" s="3"/>
      <c r="G718" s="3"/>
      <c r="L718" s="3" t="s">
        <v>39</v>
      </c>
      <c r="M718" s="3">
        <v>42</v>
      </c>
      <c r="N718" s="3">
        <v>0</v>
      </c>
      <c r="O718" s="3">
        <v>5</v>
      </c>
      <c r="Q718" s="3">
        <v>2</v>
      </c>
      <c r="R718" s="9">
        <v>0</v>
      </c>
      <c r="S718" s="9"/>
      <c r="T718" s="11">
        <v>0</v>
      </c>
      <c r="U718" s="11">
        <v>2.9579999999999999E-2</v>
      </c>
      <c r="V718" s="11">
        <v>6.6470000000000001E-2</v>
      </c>
      <c r="W718" s="11">
        <v>0</v>
      </c>
      <c r="X718" s="11"/>
      <c r="AB718" s="3" t="str">
        <f t="shared" si="5"/>
        <v>___</v>
      </c>
      <c r="AC718" s="3" t="str">
        <f t="shared" si="4"/>
        <v>____</v>
      </c>
    </row>
    <row r="719" spans="2:31" ht="12.5">
      <c r="B719" s="3" t="s">
        <v>115</v>
      </c>
      <c r="D719" s="3" t="s">
        <v>97</v>
      </c>
      <c r="E719" s="3" t="s">
        <v>42</v>
      </c>
      <c r="F719" s="3"/>
      <c r="G719" s="3" t="s">
        <v>40</v>
      </c>
      <c r="H719" s="3">
        <v>1</v>
      </c>
      <c r="I719" s="4">
        <v>45433</v>
      </c>
      <c r="J719" s="4">
        <v>45405</v>
      </c>
      <c r="K719" s="3">
        <v>6</v>
      </c>
      <c r="L719" s="3" t="s">
        <v>36</v>
      </c>
      <c r="M719" s="3">
        <v>28</v>
      </c>
      <c r="N719" s="3">
        <v>6</v>
      </c>
      <c r="O719" s="3">
        <v>6</v>
      </c>
      <c r="Q719" s="3">
        <v>0</v>
      </c>
      <c r="R719" s="9">
        <v>0</v>
      </c>
      <c r="S719" s="9"/>
      <c r="T719" s="11">
        <v>2.521E-2</v>
      </c>
      <c r="U719" s="11">
        <v>1.0189999999999999E-2</v>
      </c>
      <c r="V719" s="11">
        <v>0</v>
      </c>
      <c r="W719" s="11">
        <v>0</v>
      </c>
      <c r="X719" s="11"/>
      <c r="AB719" s="3" t="str">
        <f t="shared" si="5"/>
        <v>KK_F___vm</v>
      </c>
      <c r="AC719" s="3" t="str">
        <f t="shared" si="4"/>
        <v>KK_F___vm_1</v>
      </c>
      <c r="AE719" s="3" t="s">
        <v>37</v>
      </c>
    </row>
    <row r="720" spans="2:31" ht="12.5">
      <c r="E720" s="3"/>
      <c r="F720" s="3"/>
      <c r="G720" s="3"/>
      <c r="L720" s="3" t="s">
        <v>38</v>
      </c>
      <c r="M720" s="3">
        <v>14</v>
      </c>
      <c r="N720" s="3">
        <v>0</v>
      </c>
      <c r="O720" s="3">
        <v>1</v>
      </c>
      <c r="Q720" s="3">
        <v>1</v>
      </c>
      <c r="R720" s="9">
        <v>0</v>
      </c>
      <c r="S720" s="9"/>
      <c r="T720" s="11">
        <v>0</v>
      </c>
      <c r="U720" s="11">
        <v>8.1799999999999998E-3</v>
      </c>
      <c r="V720" s="11">
        <v>0</v>
      </c>
      <c r="W720" s="11">
        <v>0</v>
      </c>
      <c r="X720" s="11"/>
      <c r="AB720" s="3" t="str">
        <f t="shared" si="5"/>
        <v>___</v>
      </c>
      <c r="AC720" s="3" t="str">
        <f t="shared" si="4"/>
        <v>____</v>
      </c>
    </row>
    <row r="721" spans="2:31" ht="12.5">
      <c r="E721" s="3"/>
      <c r="F721" s="3"/>
      <c r="G721" s="3"/>
      <c r="L721" s="3" t="s">
        <v>39</v>
      </c>
      <c r="M721" s="3">
        <v>32</v>
      </c>
      <c r="N721" s="3">
        <v>0</v>
      </c>
      <c r="O721" s="3">
        <v>6</v>
      </c>
      <c r="Q721" s="3">
        <v>1</v>
      </c>
      <c r="R721" s="9">
        <v>0</v>
      </c>
      <c r="S721" s="9"/>
      <c r="T721" s="11">
        <v>0</v>
      </c>
      <c r="U721" s="11">
        <v>2.325E-2</v>
      </c>
      <c r="V721" s="11">
        <v>2.8670000000000001E-2</v>
      </c>
      <c r="W721" s="11">
        <v>0</v>
      </c>
      <c r="X721" s="11"/>
      <c r="AB721" s="3" t="str">
        <f t="shared" si="5"/>
        <v>___</v>
      </c>
      <c r="AC721" s="3" t="str">
        <f t="shared" si="4"/>
        <v>____</v>
      </c>
    </row>
    <row r="722" spans="2:31" ht="12.5">
      <c r="B722" s="3" t="s">
        <v>115</v>
      </c>
      <c r="D722" s="3" t="s">
        <v>97</v>
      </c>
      <c r="E722" s="3" t="s">
        <v>42</v>
      </c>
      <c r="F722" s="3"/>
      <c r="G722" s="3" t="s">
        <v>40</v>
      </c>
      <c r="H722" s="3">
        <v>2</v>
      </c>
      <c r="I722" s="4">
        <v>45343</v>
      </c>
      <c r="J722" s="4">
        <v>45463</v>
      </c>
      <c r="K722" s="3">
        <v>6</v>
      </c>
      <c r="L722" s="3" t="s">
        <v>36</v>
      </c>
      <c r="M722" s="3">
        <v>55</v>
      </c>
      <c r="N722" s="3">
        <v>7</v>
      </c>
      <c r="O722" s="3">
        <v>7</v>
      </c>
      <c r="Q722" s="3">
        <v>0</v>
      </c>
      <c r="R722" s="9">
        <v>0</v>
      </c>
      <c r="S722" s="9"/>
      <c r="T722" s="11">
        <v>4.4110000000000003E-2</v>
      </c>
      <c r="U722" s="11">
        <v>3.1629999999999998E-2</v>
      </c>
      <c r="V722" s="11">
        <v>0</v>
      </c>
      <c r="W722" s="11">
        <v>0</v>
      </c>
      <c r="X722" s="11"/>
      <c r="AB722" s="3" t="str">
        <f t="shared" si="5"/>
        <v>KK_F___vm</v>
      </c>
      <c r="AC722" s="3" t="str">
        <f t="shared" si="4"/>
        <v>KK_F___vm_2</v>
      </c>
      <c r="AE722" s="3" t="s">
        <v>37</v>
      </c>
    </row>
    <row r="723" spans="2:31" ht="12.5">
      <c r="E723" s="3"/>
      <c r="F723" s="3"/>
      <c r="G723" s="3"/>
      <c r="L723" s="3" t="s">
        <v>38</v>
      </c>
      <c r="M723" s="3">
        <v>51</v>
      </c>
      <c r="N723" s="3">
        <v>0</v>
      </c>
      <c r="O723" s="3">
        <v>4</v>
      </c>
      <c r="Q723" s="3">
        <v>2</v>
      </c>
      <c r="R723" s="9">
        <v>0</v>
      </c>
      <c r="S723" s="9"/>
      <c r="T723" s="11">
        <v>0</v>
      </c>
      <c r="U723" s="11">
        <v>6.9919999999999996E-2</v>
      </c>
      <c r="V723" s="11">
        <v>0.14846000000000001</v>
      </c>
      <c r="W723" s="11">
        <v>0</v>
      </c>
      <c r="X723" s="11"/>
      <c r="AB723" s="3" t="str">
        <f t="shared" si="5"/>
        <v>___</v>
      </c>
      <c r="AC723" s="3" t="str">
        <f t="shared" si="4"/>
        <v>____</v>
      </c>
    </row>
    <row r="724" spans="2:31" ht="12.5">
      <c r="E724" s="3"/>
      <c r="F724" s="3"/>
      <c r="G724" s="3"/>
      <c r="L724" s="3" t="s">
        <v>39</v>
      </c>
      <c r="M724" s="3">
        <v>11</v>
      </c>
      <c r="N724" s="3">
        <v>0</v>
      </c>
      <c r="O724" s="3">
        <v>3</v>
      </c>
      <c r="Q724" s="3">
        <v>0</v>
      </c>
      <c r="R724" s="9">
        <v>0</v>
      </c>
      <c r="S724" s="9"/>
      <c r="T724" s="11">
        <v>0</v>
      </c>
      <c r="U724" s="11">
        <v>1.9140000000000001E-2</v>
      </c>
      <c r="V724" s="11">
        <v>0</v>
      </c>
      <c r="W724" s="11">
        <v>0</v>
      </c>
      <c r="X724" s="11"/>
      <c r="AB724" s="3" t="str">
        <f t="shared" si="5"/>
        <v>___</v>
      </c>
      <c r="AC724" s="3" t="str">
        <f t="shared" si="4"/>
        <v>____</v>
      </c>
    </row>
    <row r="725" spans="2:31" ht="12.5">
      <c r="B725" s="3" t="s">
        <v>115</v>
      </c>
      <c r="D725" s="3" t="s">
        <v>97</v>
      </c>
      <c r="E725" s="3" t="s">
        <v>42</v>
      </c>
      <c r="F725" s="3"/>
      <c r="G725" s="3" t="s">
        <v>40</v>
      </c>
      <c r="H725" s="3">
        <v>3</v>
      </c>
      <c r="I725" s="4">
        <v>45310</v>
      </c>
      <c r="J725" s="4">
        <v>45436</v>
      </c>
      <c r="K725" s="3">
        <v>9</v>
      </c>
      <c r="L725" s="3" t="s">
        <v>36</v>
      </c>
      <c r="M725" s="3">
        <v>11</v>
      </c>
      <c r="N725" s="3">
        <v>3</v>
      </c>
      <c r="O725" s="3">
        <v>3</v>
      </c>
      <c r="Q725" s="3">
        <v>0</v>
      </c>
      <c r="R725" s="9">
        <v>0</v>
      </c>
      <c r="S725" s="9"/>
      <c r="T725" s="11">
        <v>1.91E-3</v>
      </c>
      <c r="U725" s="11">
        <v>2.48E-3</v>
      </c>
      <c r="V725" s="11">
        <v>0</v>
      </c>
      <c r="W725" s="11">
        <v>0</v>
      </c>
      <c r="X725" s="11"/>
      <c r="AB725" s="3" t="str">
        <f t="shared" si="5"/>
        <v>KK_F___vm</v>
      </c>
      <c r="AC725" s="3" t="str">
        <f t="shared" si="4"/>
        <v>KK_F___vm_3</v>
      </c>
      <c r="AE725" s="3" t="s">
        <v>37</v>
      </c>
    </row>
    <row r="726" spans="2:31" ht="12.5">
      <c r="E726" s="3"/>
      <c r="F726" s="3"/>
      <c r="G726" s="3"/>
      <c r="L726" s="3" t="s">
        <v>38</v>
      </c>
      <c r="M726" s="3">
        <v>5</v>
      </c>
      <c r="N726" s="3">
        <v>0</v>
      </c>
      <c r="O726" s="3">
        <v>3</v>
      </c>
      <c r="Q726" s="3">
        <v>1</v>
      </c>
      <c r="R726" s="9">
        <v>0</v>
      </c>
      <c r="S726" s="9"/>
      <c r="T726" s="11">
        <v>0</v>
      </c>
      <c r="U726" s="11">
        <v>1.8500000000000001E-3</v>
      </c>
      <c r="V726" s="11">
        <v>0</v>
      </c>
      <c r="W726" s="11">
        <v>0</v>
      </c>
      <c r="X726" s="11"/>
      <c r="AB726" s="3" t="str">
        <f t="shared" si="5"/>
        <v>___</v>
      </c>
      <c r="AC726" s="3" t="str">
        <f t="shared" si="4"/>
        <v>____</v>
      </c>
    </row>
    <row r="727" spans="2:31" ht="12.5">
      <c r="E727" s="3"/>
      <c r="F727" s="3"/>
      <c r="G727" s="3"/>
      <c r="L727" s="3" t="s">
        <v>39</v>
      </c>
      <c r="M727" s="3">
        <v>24</v>
      </c>
      <c r="N727" s="3">
        <v>0</v>
      </c>
      <c r="O727" s="3">
        <v>4</v>
      </c>
      <c r="Q727" s="3">
        <v>1</v>
      </c>
      <c r="R727" s="9">
        <v>0</v>
      </c>
      <c r="S727" s="9"/>
      <c r="T727" s="11">
        <v>0</v>
      </c>
      <c r="U727" s="11">
        <v>1.1809999999999999E-2</v>
      </c>
      <c r="V727" s="11">
        <v>8.2000000000000007E-3</v>
      </c>
      <c r="W727" s="11">
        <v>0</v>
      </c>
      <c r="X727" s="11"/>
      <c r="AB727" s="3" t="str">
        <f t="shared" si="5"/>
        <v>___</v>
      </c>
      <c r="AC727" s="3" t="str">
        <f t="shared" si="4"/>
        <v>____</v>
      </c>
    </row>
    <row r="728" spans="2:31" ht="12.5">
      <c r="B728" s="3" t="s">
        <v>115</v>
      </c>
      <c r="D728" s="3" t="s">
        <v>97</v>
      </c>
      <c r="E728" s="3" t="s">
        <v>42</v>
      </c>
      <c r="F728" s="3"/>
      <c r="G728" s="3" t="s">
        <v>35</v>
      </c>
      <c r="H728" s="3">
        <v>1</v>
      </c>
      <c r="I728" s="4">
        <v>45345</v>
      </c>
      <c r="J728" s="4">
        <v>45492</v>
      </c>
      <c r="K728" s="3">
        <v>6</v>
      </c>
      <c r="L728" s="3" t="s">
        <v>36</v>
      </c>
      <c r="M728" s="3">
        <v>32</v>
      </c>
      <c r="N728" s="3">
        <v>11</v>
      </c>
      <c r="O728" s="3">
        <v>11</v>
      </c>
      <c r="Q728" s="3">
        <v>0</v>
      </c>
      <c r="R728" s="9">
        <v>0</v>
      </c>
      <c r="S728" s="9"/>
      <c r="T728" s="11">
        <v>9.2039999999999997E-2</v>
      </c>
      <c r="U728" s="11">
        <v>6.6499999999999997E-3</v>
      </c>
      <c r="V728" s="11">
        <v>0</v>
      </c>
      <c r="W728" s="11">
        <v>0</v>
      </c>
      <c r="X728" s="11"/>
      <c r="Y728" s="3"/>
      <c r="Z728" s="3" t="s">
        <v>116</v>
      </c>
      <c r="AB728" s="3" t="str">
        <f t="shared" si="5"/>
        <v>KK_F___vv</v>
      </c>
      <c r="AC728" s="3" t="str">
        <f t="shared" si="4"/>
        <v>KK_F___vv_1</v>
      </c>
      <c r="AE728" s="3" t="s">
        <v>37</v>
      </c>
    </row>
    <row r="729" spans="2:31" ht="12.5">
      <c r="E729" s="3"/>
      <c r="F729" s="3"/>
      <c r="G729" s="3"/>
      <c r="L729" s="3" t="s">
        <v>38</v>
      </c>
      <c r="M729" s="3">
        <v>28</v>
      </c>
      <c r="N729" s="3">
        <v>0</v>
      </c>
      <c r="O729" s="3">
        <v>10</v>
      </c>
      <c r="Q729" s="3">
        <v>0</v>
      </c>
      <c r="R729" s="9">
        <v>0</v>
      </c>
      <c r="S729" s="9"/>
      <c r="T729" s="11">
        <v>0</v>
      </c>
      <c r="U729" s="11">
        <v>1.223E-2</v>
      </c>
      <c r="V729" s="11">
        <v>0</v>
      </c>
      <c r="W729" s="11">
        <v>0</v>
      </c>
      <c r="X729" s="11"/>
      <c r="AB729" s="3" t="str">
        <f t="shared" si="5"/>
        <v>___</v>
      </c>
      <c r="AC729" s="3" t="str">
        <f t="shared" si="4"/>
        <v>____</v>
      </c>
    </row>
    <row r="730" spans="2:31" ht="12.5">
      <c r="E730" s="3"/>
      <c r="F730" s="3"/>
      <c r="G730" s="3"/>
      <c r="L730" s="3" t="s">
        <v>39</v>
      </c>
      <c r="M730" s="3">
        <v>35</v>
      </c>
      <c r="N730" s="3">
        <v>0</v>
      </c>
      <c r="O730" s="3">
        <v>10</v>
      </c>
      <c r="Q730" s="3">
        <v>0</v>
      </c>
      <c r="R730" s="9">
        <v>0</v>
      </c>
      <c r="S730" s="9"/>
      <c r="T730" s="11">
        <v>0</v>
      </c>
      <c r="U730" s="11">
        <v>2.1219999999999999E-2</v>
      </c>
      <c r="V730" s="11">
        <v>0</v>
      </c>
      <c r="W730" s="11">
        <v>0</v>
      </c>
      <c r="X730" s="11"/>
      <c r="AB730" s="3" t="str">
        <f t="shared" si="5"/>
        <v>___</v>
      </c>
      <c r="AC730" s="3" t="str">
        <f t="shared" si="4"/>
        <v>____</v>
      </c>
    </row>
    <row r="731" spans="2:31" ht="12.5">
      <c r="B731" s="3" t="s">
        <v>115</v>
      </c>
      <c r="D731" s="3" t="s">
        <v>97</v>
      </c>
      <c r="E731" s="3" t="s">
        <v>42</v>
      </c>
      <c r="F731" s="3"/>
      <c r="G731" s="3" t="s">
        <v>35</v>
      </c>
      <c r="H731" s="3">
        <v>2</v>
      </c>
      <c r="I731" s="4">
        <v>45464</v>
      </c>
      <c r="J731" s="4">
        <v>45367</v>
      </c>
      <c r="K731" s="3">
        <v>3</v>
      </c>
      <c r="L731" s="3" t="s">
        <v>36</v>
      </c>
      <c r="M731" s="3">
        <v>63</v>
      </c>
      <c r="N731" s="3">
        <v>14</v>
      </c>
      <c r="O731" s="3">
        <v>15</v>
      </c>
      <c r="Q731" s="3">
        <v>0</v>
      </c>
      <c r="R731" s="9">
        <v>0</v>
      </c>
      <c r="S731" s="9"/>
      <c r="T731" s="11">
        <v>0.15992999999999999</v>
      </c>
      <c r="U731" s="11">
        <v>2.6579999999999999E-2</v>
      </c>
      <c r="V731" s="11">
        <v>0</v>
      </c>
      <c r="W731" s="11">
        <v>0</v>
      </c>
      <c r="X731" s="11"/>
      <c r="Y731" s="19"/>
      <c r="Z731" s="19" t="s">
        <v>116</v>
      </c>
      <c r="AB731" s="3" t="str">
        <f t="shared" si="5"/>
        <v>KK_F___vv</v>
      </c>
      <c r="AC731" s="3" t="str">
        <f t="shared" si="4"/>
        <v>KK_F___vv_2</v>
      </c>
      <c r="AE731" s="3" t="s">
        <v>37</v>
      </c>
    </row>
    <row r="732" spans="2:31" ht="12.5">
      <c r="E732" s="3"/>
      <c r="F732" s="3"/>
      <c r="G732" s="3"/>
      <c r="L732" s="3" t="s">
        <v>38</v>
      </c>
      <c r="M732" s="3">
        <v>45</v>
      </c>
      <c r="N732" s="3">
        <v>6</v>
      </c>
      <c r="O732" s="3">
        <v>16</v>
      </c>
      <c r="Q732" s="3">
        <v>0</v>
      </c>
      <c r="R732" s="9">
        <v>0</v>
      </c>
      <c r="S732" s="9"/>
      <c r="T732" s="11">
        <v>8.5099999999999995E-2</v>
      </c>
      <c r="U732" s="11">
        <v>3.2480000000000002E-2</v>
      </c>
      <c r="V732" s="11">
        <v>0</v>
      </c>
      <c r="W732" s="11">
        <v>0</v>
      </c>
      <c r="X732" s="11"/>
      <c r="AB732" s="3" t="str">
        <f t="shared" si="5"/>
        <v>___</v>
      </c>
      <c r="AC732" s="3" t="str">
        <f t="shared" si="4"/>
        <v>____</v>
      </c>
    </row>
    <row r="733" spans="2:31" ht="12.5">
      <c r="E733" s="3"/>
      <c r="F733" s="3"/>
      <c r="G733" s="3"/>
      <c r="L733" s="3" t="s">
        <v>39</v>
      </c>
      <c r="M733" s="3">
        <v>57</v>
      </c>
      <c r="N733" s="3">
        <v>0</v>
      </c>
      <c r="O733" s="3">
        <v>8</v>
      </c>
      <c r="Q733" s="3">
        <v>0</v>
      </c>
      <c r="R733" s="9">
        <v>0</v>
      </c>
      <c r="S733" s="9"/>
      <c r="T733" s="11">
        <v>7.6020000000000004E-2</v>
      </c>
      <c r="U733" s="11">
        <v>1.302E-2</v>
      </c>
      <c r="V733" s="11">
        <v>0</v>
      </c>
      <c r="W733" s="11">
        <v>0</v>
      </c>
      <c r="X733" s="11"/>
      <c r="AB733" s="3" t="str">
        <f t="shared" si="5"/>
        <v>___</v>
      </c>
      <c r="AC733" s="3" t="str">
        <f t="shared" si="4"/>
        <v>____</v>
      </c>
    </row>
    <row r="734" spans="2:31" ht="12.5">
      <c r="B734" s="3" t="s">
        <v>115</v>
      </c>
      <c r="D734" s="3" t="s">
        <v>97</v>
      </c>
      <c r="E734" s="3" t="s">
        <v>42</v>
      </c>
      <c r="F734" s="3"/>
      <c r="G734" s="3" t="s">
        <v>35</v>
      </c>
      <c r="H734" s="3">
        <v>3</v>
      </c>
      <c r="I734" s="4">
        <v>45461</v>
      </c>
      <c r="J734" s="4">
        <v>45460</v>
      </c>
      <c r="K734" s="3">
        <v>4</v>
      </c>
      <c r="L734" s="3" t="s">
        <v>36</v>
      </c>
      <c r="M734" s="3">
        <v>60</v>
      </c>
      <c r="N734" s="3">
        <v>12</v>
      </c>
      <c r="O734" s="3">
        <v>15</v>
      </c>
      <c r="Q734" s="3">
        <v>0</v>
      </c>
      <c r="R734" s="9">
        <v>0</v>
      </c>
      <c r="S734" s="9"/>
      <c r="T734" s="11">
        <v>0.11232</v>
      </c>
      <c r="U734" s="11">
        <v>2.4150000000000001E-2</v>
      </c>
      <c r="V734" s="11">
        <v>0</v>
      </c>
      <c r="W734" s="11">
        <v>0</v>
      </c>
      <c r="X734" s="11"/>
      <c r="AB734" s="3" t="str">
        <f t="shared" si="5"/>
        <v>KK_F___vv</v>
      </c>
      <c r="AC734" s="3" t="str">
        <f t="shared" si="4"/>
        <v>KK_F___vv_3</v>
      </c>
      <c r="AE734" s="3" t="s">
        <v>37</v>
      </c>
    </row>
    <row r="735" spans="2:31" ht="12.5">
      <c r="E735" s="3"/>
      <c r="F735" s="3"/>
      <c r="G735" s="3"/>
      <c r="L735" s="3" t="s">
        <v>38</v>
      </c>
      <c r="M735" s="3">
        <v>43</v>
      </c>
      <c r="N735" s="3">
        <v>7</v>
      </c>
      <c r="O735" s="3">
        <v>12</v>
      </c>
      <c r="Q735" s="3">
        <v>0</v>
      </c>
      <c r="R735" s="9">
        <v>0</v>
      </c>
      <c r="S735" s="9"/>
      <c r="T735" s="11">
        <v>4.9419999999999999E-2</v>
      </c>
      <c r="U735" s="11">
        <v>2.7220000000000001E-2</v>
      </c>
      <c r="V735" s="11">
        <v>0</v>
      </c>
      <c r="W735" s="11">
        <v>0</v>
      </c>
      <c r="X735" s="11"/>
      <c r="AB735" s="3" t="str">
        <f t="shared" si="5"/>
        <v>___</v>
      </c>
      <c r="AC735" s="3" t="str">
        <f t="shared" si="4"/>
        <v>____</v>
      </c>
    </row>
    <row r="736" spans="2:31" ht="12.5">
      <c r="E736" s="3"/>
      <c r="F736" s="3"/>
      <c r="G736" s="3"/>
      <c r="L736" s="3" t="s">
        <v>39</v>
      </c>
      <c r="M736" s="3">
        <v>19</v>
      </c>
      <c r="N736" s="3">
        <v>0</v>
      </c>
      <c r="O736" s="3">
        <v>4</v>
      </c>
      <c r="Q736" s="3">
        <v>0</v>
      </c>
      <c r="R736" s="9">
        <v>0</v>
      </c>
      <c r="S736" s="9"/>
      <c r="T736" s="11">
        <v>0</v>
      </c>
      <c r="U736" s="11">
        <v>1.34E-2</v>
      </c>
      <c r="V736" s="11">
        <v>0</v>
      </c>
      <c r="W736" s="11">
        <v>0</v>
      </c>
      <c r="X736" s="11"/>
      <c r="AB736" s="3" t="str">
        <f t="shared" si="5"/>
        <v>___</v>
      </c>
      <c r="AC736" s="3" t="str">
        <f t="shared" si="4"/>
        <v>____</v>
      </c>
    </row>
    <row r="737" spans="2:31" ht="12.5">
      <c r="B737" s="3" t="s">
        <v>117</v>
      </c>
      <c r="D737" s="3" t="s">
        <v>97</v>
      </c>
      <c r="E737" s="3" t="s">
        <v>34</v>
      </c>
      <c r="F737" s="3"/>
      <c r="G737" s="3" t="s">
        <v>40</v>
      </c>
      <c r="H737" s="3">
        <v>1</v>
      </c>
      <c r="I737" s="4">
        <v>45426</v>
      </c>
      <c r="J737" s="4">
        <v>45401</v>
      </c>
      <c r="K737" s="3">
        <v>8</v>
      </c>
      <c r="L737" s="3" t="s">
        <v>36</v>
      </c>
      <c r="M737" s="3">
        <v>25</v>
      </c>
      <c r="N737" s="3">
        <v>6</v>
      </c>
      <c r="O737" s="3">
        <v>6</v>
      </c>
      <c r="Q737" s="3">
        <v>0</v>
      </c>
      <c r="R737" s="9">
        <v>0</v>
      </c>
      <c r="S737" s="9"/>
      <c r="T737" s="11">
        <v>2.5850000000000001E-2</v>
      </c>
      <c r="U737" s="11">
        <v>8.9899999999999997E-3</v>
      </c>
      <c r="V737" s="11">
        <v>0</v>
      </c>
      <c r="W737" s="11">
        <v>0</v>
      </c>
      <c r="X737" s="11"/>
      <c r="AB737" s="3" t="str">
        <f t="shared" si="5"/>
        <v>KK_O___vm</v>
      </c>
      <c r="AC737" s="3" t="str">
        <f t="shared" si="4"/>
        <v>KK_O___vm_1</v>
      </c>
      <c r="AE737" s="3" t="s">
        <v>37</v>
      </c>
    </row>
    <row r="738" spans="2:31" ht="12.5">
      <c r="E738" s="3"/>
      <c r="F738" s="3"/>
      <c r="G738" s="3"/>
      <c r="L738" s="3" t="s">
        <v>38</v>
      </c>
      <c r="M738" s="3">
        <v>13</v>
      </c>
      <c r="N738" s="3">
        <v>0</v>
      </c>
      <c r="O738" s="3">
        <v>2</v>
      </c>
      <c r="Q738" s="3">
        <v>0</v>
      </c>
      <c r="R738" s="9">
        <v>0</v>
      </c>
      <c r="S738" s="9"/>
      <c r="T738" s="11">
        <v>0</v>
      </c>
      <c r="U738" s="11">
        <v>5.1399999999999996E-3</v>
      </c>
      <c r="V738" s="11">
        <v>0</v>
      </c>
      <c r="W738" s="11">
        <v>0</v>
      </c>
      <c r="X738" s="11"/>
      <c r="AB738" s="3" t="str">
        <f t="shared" si="5"/>
        <v>___</v>
      </c>
      <c r="AC738" s="3" t="str">
        <f t="shared" si="4"/>
        <v>____</v>
      </c>
    </row>
    <row r="739" spans="2:31" ht="12.5">
      <c r="E739" s="3"/>
      <c r="F739" s="3"/>
      <c r="G739" s="3"/>
      <c r="L739" s="3" t="s">
        <v>39</v>
      </c>
      <c r="M739" s="3">
        <v>27</v>
      </c>
      <c r="N739" s="3">
        <v>0</v>
      </c>
      <c r="O739" s="3">
        <v>2</v>
      </c>
      <c r="Q739" s="3">
        <v>1</v>
      </c>
      <c r="R739" s="9">
        <v>0</v>
      </c>
      <c r="S739" s="9"/>
      <c r="T739" s="11">
        <v>0</v>
      </c>
      <c r="U739" s="11">
        <v>2.418E-2</v>
      </c>
      <c r="V739" s="11">
        <v>2.7490000000000001E-2</v>
      </c>
      <c r="W739" s="11">
        <v>0</v>
      </c>
      <c r="X739" s="11"/>
      <c r="AB739" s="3" t="str">
        <f t="shared" si="5"/>
        <v>___</v>
      </c>
      <c r="AC739" s="3" t="str">
        <f t="shared" si="4"/>
        <v>____</v>
      </c>
    </row>
    <row r="740" spans="2:31" ht="12.5">
      <c r="B740" s="3" t="s">
        <v>117</v>
      </c>
      <c r="D740" s="3" t="s">
        <v>97</v>
      </c>
      <c r="E740" s="3" t="s">
        <v>34</v>
      </c>
      <c r="F740" s="3"/>
      <c r="G740" s="3" t="s">
        <v>40</v>
      </c>
      <c r="H740" s="3">
        <v>2</v>
      </c>
      <c r="I740" s="4">
        <v>45548</v>
      </c>
      <c r="J740" s="4">
        <v>45548</v>
      </c>
      <c r="K740" s="3">
        <v>5</v>
      </c>
      <c r="L740" s="3" t="s">
        <v>36</v>
      </c>
      <c r="M740" s="3">
        <v>36</v>
      </c>
      <c r="N740" s="3">
        <v>8</v>
      </c>
      <c r="O740" s="3">
        <v>8</v>
      </c>
      <c r="Q740" s="3">
        <v>0</v>
      </c>
      <c r="R740" s="9">
        <v>0</v>
      </c>
      <c r="S740" s="9"/>
      <c r="T740" s="11">
        <v>3.5450000000000002E-2</v>
      </c>
      <c r="U740" s="11">
        <v>1.804E-2</v>
      </c>
      <c r="V740" s="11">
        <v>0</v>
      </c>
      <c r="W740" s="11">
        <v>0</v>
      </c>
      <c r="X740" s="11"/>
      <c r="AB740" s="3" t="str">
        <f t="shared" si="5"/>
        <v>KK_O___vm</v>
      </c>
      <c r="AC740" s="3" t="str">
        <f t="shared" si="4"/>
        <v>KK_O___vm_2</v>
      </c>
      <c r="AE740" s="3" t="s">
        <v>37</v>
      </c>
    </row>
    <row r="741" spans="2:31" ht="12.5">
      <c r="E741" s="3"/>
      <c r="F741" s="3"/>
      <c r="G741" s="3"/>
      <c r="L741" s="3" t="s">
        <v>38</v>
      </c>
      <c r="M741" s="3">
        <v>37</v>
      </c>
      <c r="N741" s="3">
        <v>1</v>
      </c>
      <c r="O741" s="3">
        <v>2</v>
      </c>
      <c r="Q741" s="3">
        <v>2</v>
      </c>
      <c r="R741" s="9">
        <v>0</v>
      </c>
      <c r="S741" s="9"/>
      <c r="T741" s="11">
        <v>0</v>
      </c>
      <c r="U741" s="11">
        <v>3.5150000000000001E-2</v>
      </c>
      <c r="V741" s="11">
        <v>7.1760000000000004E-2</v>
      </c>
      <c r="W741" s="11">
        <v>0</v>
      </c>
      <c r="X741" s="11"/>
      <c r="Y741" s="3"/>
      <c r="Z741" s="3"/>
      <c r="AB741" s="3" t="str">
        <f t="shared" si="5"/>
        <v>___</v>
      </c>
      <c r="AC741" s="3" t="str">
        <f t="shared" si="4"/>
        <v>____</v>
      </c>
    </row>
    <row r="742" spans="2:31" ht="12.5">
      <c r="E742" s="3"/>
      <c r="F742" s="3"/>
      <c r="G742" s="3"/>
      <c r="L742" s="3" t="s">
        <v>39</v>
      </c>
      <c r="M742" s="3">
        <v>38</v>
      </c>
      <c r="N742" s="3">
        <v>0</v>
      </c>
      <c r="O742" s="3">
        <v>7</v>
      </c>
      <c r="Q742" s="3">
        <v>1</v>
      </c>
      <c r="R742" s="9">
        <v>0</v>
      </c>
      <c r="S742" s="9"/>
      <c r="T742" s="11">
        <v>0</v>
      </c>
      <c r="U742" s="11">
        <v>5.0410000000000003E-2</v>
      </c>
      <c r="V742" s="11">
        <v>0.14299999999999999</v>
      </c>
      <c r="W742" s="11">
        <v>0</v>
      </c>
      <c r="X742" s="11"/>
      <c r="Y742" s="3"/>
      <c r="Z742" s="3" t="s">
        <v>118</v>
      </c>
      <c r="AB742" s="3" t="str">
        <f t="shared" si="5"/>
        <v>___</v>
      </c>
      <c r="AC742" s="3" t="str">
        <f t="shared" si="4"/>
        <v>____</v>
      </c>
    </row>
    <row r="743" spans="2:31" ht="12.5">
      <c r="B743" s="3" t="s">
        <v>117</v>
      </c>
      <c r="D743" s="3" t="s">
        <v>97</v>
      </c>
      <c r="E743" s="3" t="s">
        <v>34</v>
      </c>
      <c r="F743" s="3"/>
      <c r="G743" s="3" t="s">
        <v>40</v>
      </c>
      <c r="H743" s="3">
        <v>3</v>
      </c>
      <c r="I743" s="4">
        <v>45462</v>
      </c>
      <c r="J743" s="4">
        <v>45340</v>
      </c>
      <c r="K743" s="3">
        <v>5</v>
      </c>
      <c r="L743" s="3" t="s">
        <v>36</v>
      </c>
      <c r="M743" s="3">
        <v>90</v>
      </c>
      <c r="N743" s="3">
        <v>10</v>
      </c>
      <c r="O743" s="3">
        <v>10</v>
      </c>
      <c r="Q743" s="3">
        <v>0</v>
      </c>
      <c r="R743" s="9">
        <v>0</v>
      </c>
      <c r="S743" s="9"/>
      <c r="T743" s="11">
        <v>7.7249999999999999E-2</v>
      </c>
      <c r="U743" s="11">
        <v>6.7780000000000007E-2</v>
      </c>
      <c r="V743" s="11">
        <v>0</v>
      </c>
      <c r="W743" s="11">
        <v>0</v>
      </c>
      <c r="X743" s="11"/>
      <c r="AB743" s="3" t="str">
        <f t="shared" si="5"/>
        <v>KK_O___vm</v>
      </c>
      <c r="AC743" s="3" t="str">
        <f t="shared" si="4"/>
        <v>KK_O___vm_3</v>
      </c>
      <c r="AE743" s="3" t="s">
        <v>37</v>
      </c>
    </row>
    <row r="744" spans="2:31" ht="12.5">
      <c r="E744" s="3"/>
      <c r="F744" s="3"/>
      <c r="G744" s="3"/>
      <c r="L744" s="3" t="s">
        <v>38</v>
      </c>
      <c r="M744" s="3">
        <v>46</v>
      </c>
      <c r="N744" s="3">
        <v>0</v>
      </c>
      <c r="O744" s="3">
        <v>2</v>
      </c>
      <c r="Q744" s="3">
        <v>1</v>
      </c>
      <c r="R744" s="9">
        <v>0</v>
      </c>
      <c r="S744" s="9"/>
      <c r="T744" s="11">
        <v>0</v>
      </c>
      <c r="U744" s="11">
        <v>5.1229999999999998E-2</v>
      </c>
      <c r="V744" s="11">
        <v>6.7659999999999998E-2</v>
      </c>
      <c r="W744" s="11">
        <v>0</v>
      </c>
      <c r="X744" s="11"/>
      <c r="AB744" s="3" t="str">
        <f t="shared" si="5"/>
        <v>___</v>
      </c>
      <c r="AC744" s="3" t="str">
        <f t="shared" si="4"/>
        <v>____</v>
      </c>
    </row>
    <row r="745" spans="2:31" ht="12.5">
      <c r="E745" s="3"/>
      <c r="F745" s="3"/>
      <c r="G745" s="3"/>
      <c r="L745" s="3" t="s">
        <v>39</v>
      </c>
      <c r="M745" s="3">
        <v>35</v>
      </c>
      <c r="N745" s="3">
        <v>0</v>
      </c>
      <c r="O745" s="3">
        <v>7</v>
      </c>
      <c r="Q745" s="3">
        <v>2</v>
      </c>
      <c r="R745" s="9">
        <v>0</v>
      </c>
      <c r="S745" s="9"/>
      <c r="T745" s="11">
        <v>0</v>
      </c>
      <c r="U745" s="11">
        <v>5.9540000000000003E-2</v>
      </c>
      <c r="V745" s="11">
        <v>0.16056000000000001</v>
      </c>
      <c r="W745" s="11">
        <v>0</v>
      </c>
      <c r="X745" s="11"/>
      <c r="AB745" s="3" t="str">
        <f t="shared" si="5"/>
        <v>___</v>
      </c>
      <c r="AC745" s="3" t="str">
        <f t="shared" si="4"/>
        <v>____</v>
      </c>
    </row>
    <row r="746" spans="2:31" ht="12.5">
      <c r="B746" s="3" t="s">
        <v>117</v>
      </c>
      <c r="D746" s="3" t="s">
        <v>97</v>
      </c>
      <c r="E746" s="3" t="s">
        <v>34</v>
      </c>
      <c r="F746" s="3"/>
      <c r="G746" s="3" t="s">
        <v>35</v>
      </c>
      <c r="H746" s="3">
        <v>1</v>
      </c>
      <c r="I746" s="4">
        <v>45458</v>
      </c>
      <c r="J746" s="4">
        <v>45396</v>
      </c>
      <c r="K746" s="3">
        <v>5</v>
      </c>
      <c r="L746" s="3" t="s">
        <v>36</v>
      </c>
      <c r="M746" s="3">
        <v>56</v>
      </c>
      <c r="N746" s="3">
        <v>16</v>
      </c>
      <c r="O746" s="3">
        <v>16</v>
      </c>
      <c r="Q746" s="3">
        <v>0</v>
      </c>
      <c r="R746" s="9">
        <v>0</v>
      </c>
      <c r="S746" s="9"/>
      <c r="T746" s="11">
        <v>0.19561999999999999</v>
      </c>
      <c r="U746" s="11">
        <v>3.295E-2</v>
      </c>
      <c r="V746" s="11">
        <v>0</v>
      </c>
      <c r="W746" s="11">
        <v>0</v>
      </c>
      <c r="X746" s="11"/>
      <c r="AB746" s="3" t="str">
        <f t="shared" si="5"/>
        <v>KK_O___vv</v>
      </c>
      <c r="AC746" s="3" t="str">
        <f t="shared" si="4"/>
        <v>KK_O___vv_1</v>
      </c>
      <c r="AE746" s="3" t="s">
        <v>37</v>
      </c>
    </row>
    <row r="747" spans="2:31" ht="12.5">
      <c r="E747" s="3"/>
      <c r="F747" s="3"/>
      <c r="G747" s="3"/>
      <c r="L747" s="3" t="s">
        <v>38</v>
      </c>
      <c r="M747" s="3">
        <v>23</v>
      </c>
      <c r="N747" s="3">
        <v>5</v>
      </c>
      <c r="O747" s="3">
        <v>16</v>
      </c>
      <c r="Q747" s="3">
        <v>0</v>
      </c>
      <c r="R747" s="9">
        <v>0</v>
      </c>
      <c r="S747" s="9"/>
      <c r="T747" s="11">
        <v>9.5549999999999996E-2</v>
      </c>
      <c r="U747" s="11">
        <v>3.0339999999999999E-2</v>
      </c>
      <c r="V747" s="11">
        <v>0</v>
      </c>
      <c r="W747" s="11">
        <v>0</v>
      </c>
      <c r="X747" s="11"/>
      <c r="AB747" s="3" t="str">
        <f t="shared" si="5"/>
        <v>___</v>
      </c>
      <c r="AC747" s="3" t="str">
        <f t="shared" si="4"/>
        <v>____</v>
      </c>
    </row>
    <row r="748" spans="2:31" ht="12.5">
      <c r="E748" s="3"/>
      <c r="F748" s="3"/>
      <c r="G748" s="3"/>
      <c r="L748" s="3" t="s">
        <v>39</v>
      </c>
      <c r="M748" s="3">
        <v>35</v>
      </c>
      <c r="N748" s="3">
        <v>12</v>
      </c>
      <c r="O748" s="3">
        <v>18</v>
      </c>
      <c r="Q748" s="3">
        <v>0</v>
      </c>
      <c r="R748" s="9">
        <v>0</v>
      </c>
      <c r="S748" s="9"/>
      <c r="T748" s="11">
        <v>1.321E-2</v>
      </c>
      <c r="U748" s="11">
        <v>2.044E-2</v>
      </c>
      <c r="V748" s="11">
        <v>0</v>
      </c>
      <c r="W748" s="11">
        <v>0</v>
      </c>
      <c r="X748" s="11"/>
      <c r="AB748" s="3" t="str">
        <f t="shared" si="5"/>
        <v>___</v>
      </c>
      <c r="AC748" s="3" t="str">
        <f t="shared" si="4"/>
        <v>____</v>
      </c>
    </row>
    <row r="749" spans="2:31" ht="12.5">
      <c r="B749" s="3" t="s">
        <v>117</v>
      </c>
      <c r="D749" s="3" t="s">
        <v>97</v>
      </c>
      <c r="E749" s="3" t="s">
        <v>34</v>
      </c>
      <c r="F749" s="3"/>
      <c r="G749" s="3" t="s">
        <v>35</v>
      </c>
      <c r="H749" s="3">
        <v>2</v>
      </c>
      <c r="I749" s="4">
        <v>45484</v>
      </c>
      <c r="J749" s="4">
        <v>45422</v>
      </c>
      <c r="K749" s="3">
        <v>4</v>
      </c>
      <c r="L749" s="3" t="s">
        <v>36</v>
      </c>
      <c r="M749" s="3">
        <v>35</v>
      </c>
      <c r="N749" s="3">
        <v>13</v>
      </c>
      <c r="O749" s="3">
        <v>13</v>
      </c>
      <c r="Q749" s="3">
        <v>0</v>
      </c>
      <c r="R749" s="9">
        <v>0</v>
      </c>
      <c r="S749" s="9"/>
      <c r="T749" s="11">
        <v>0.12917000000000001</v>
      </c>
      <c r="U749" s="11">
        <v>1.542E-2</v>
      </c>
      <c r="V749" s="11">
        <v>0</v>
      </c>
      <c r="W749" s="11">
        <v>0</v>
      </c>
      <c r="X749" s="11"/>
      <c r="AB749" s="3" t="str">
        <f t="shared" si="5"/>
        <v>KK_O___vv</v>
      </c>
      <c r="AC749" s="3" t="str">
        <f t="shared" si="4"/>
        <v>KK_O___vv_2</v>
      </c>
      <c r="AE749" s="3" t="s">
        <v>37</v>
      </c>
    </row>
    <row r="750" spans="2:31" ht="12.5">
      <c r="E750" s="3"/>
      <c r="F750" s="3"/>
      <c r="G750" s="3"/>
      <c r="L750" s="3" t="s">
        <v>38</v>
      </c>
      <c r="Z750" s="3" t="s">
        <v>119</v>
      </c>
      <c r="AB750" s="3" t="str">
        <f t="shared" si="5"/>
        <v>___</v>
      </c>
      <c r="AC750" s="3" t="str">
        <f t="shared" si="4"/>
        <v>____</v>
      </c>
    </row>
    <row r="751" spans="2:31" ht="12.5">
      <c r="E751" s="3"/>
      <c r="F751" s="3"/>
      <c r="G751" s="3"/>
      <c r="L751" s="3" t="s">
        <v>39</v>
      </c>
      <c r="M751" s="3">
        <v>35</v>
      </c>
      <c r="N751" s="3">
        <v>11</v>
      </c>
      <c r="O751" s="3">
        <v>17</v>
      </c>
      <c r="Q751" s="3">
        <v>0</v>
      </c>
      <c r="R751" s="9">
        <v>0</v>
      </c>
      <c r="S751" s="9"/>
      <c r="T751" s="11">
        <v>3.2910000000000002E-2</v>
      </c>
      <c r="U751" s="11">
        <v>2.4910000000000002E-2</v>
      </c>
      <c r="V751" s="11">
        <v>0</v>
      </c>
      <c r="W751" s="11">
        <v>0</v>
      </c>
      <c r="X751" s="11"/>
      <c r="AB751" s="3" t="str">
        <f t="shared" si="5"/>
        <v>___</v>
      </c>
      <c r="AC751" s="3" t="str">
        <f t="shared" si="4"/>
        <v>____</v>
      </c>
    </row>
    <row r="752" spans="2:31" ht="12.5">
      <c r="B752" s="3" t="s">
        <v>117</v>
      </c>
      <c r="D752" s="3" t="s">
        <v>97</v>
      </c>
      <c r="E752" s="3" t="s">
        <v>34</v>
      </c>
      <c r="F752" s="3"/>
      <c r="G752" s="3" t="s">
        <v>35</v>
      </c>
      <c r="H752" s="3">
        <v>3</v>
      </c>
      <c r="I752" s="3">
        <v>11</v>
      </c>
      <c r="J752" s="4">
        <v>45545</v>
      </c>
      <c r="K752" s="3">
        <v>3</v>
      </c>
      <c r="L752" s="3" t="s">
        <v>36</v>
      </c>
      <c r="M752" s="3">
        <v>41</v>
      </c>
      <c r="N752" s="3">
        <v>13</v>
      </c>
      <c r="O752" s="3">
        <v>15</v>
      </c>
      <c r="Q752" s="3">
        <v>0</v>
      </c>
      <c r="R752" s="9">
        <v>0</v>
      </c>
      <c r="S752" s="9"/>
      <c r="T752" s="11">
        <v>0.12731999999999999</v>
      </c>
      <c r="U752" s="11">
        <v>1.8540000000000001E-2</v>
      </c>
      <c r="V752" s="11">
        <v>0</v>
      </c>
      <c r="W752" s="11">
        <v>0</v>
      </c>
      <c r="X752" s="11"/>
      <c r="AB752" s="3" t="str">
        <f t="shared" si="5"/>
        <v>KK_O___vv</v>
      </c>
      <c r="AC752" s="3" t="str">
        <f t="shared" si="4"/>
        <v>KK_O___vv_3</v>
      </c>
      <c r="AE752" s="3" t="s">
        <v>37</v>
      </c>
    </row>
    <row r="753" spans="1:31" ht="12.5">
      <c r="E753" s="3"/>
      <c r="F753" s="3"/>
      <c r="G753" s="3"/>
      <c r="L753" s="3" t="s">
        <v>38</v>
      </c>
      <c r="M753" s="3">
        <v>43</v>
      </c>
      <c r="N753" s="3">
        <v>5</v>
      </c>
      <c r="O753" s="3">
        <v>13</v>
      </c>
      <c r="Q753" s="3">
        <v>0</v>
      </c>
      <c r="R753" s="9">
        <v>0</v>
      </c>
      <c r="S753" s="9"/>
      <c r="T753" s="11">
        <v>5.0160000000000003E-2</v>
      </c>
      <c r="U753" s="11">
        <v>2.8809999999999999E-2</v>
      </c>
      <c r="V753" s="11">
        <v>0</v>
      </c>
      <c r="W753" s="11">
        <v>0</v>
      </c>
      <c r="X753" s="11"/>
      <c r="AB753" s="3" t="str">
        <f t="shared" si="5"/>
        <v>___</v>
      </c>
      <c r="AC753" s="3" t="str">
        <f t="shared" si="4"/>
        <v>____</v>
      </c>
    </row>
    <row r="754" spans="1:31" ht="12.5">
      <c r="E754" s="3"/>
      <c r="F754" s="3"/>
      <c r="G754" s="3"/>
      <c r="L754" s="3" t="s">
        <v>39</v>
      </c>
      <c r="M754" s="3">
        <v>29</v>
      </c>
      <c r="N754" s="3">
        <v>0</v>
      </c>
      <c r="O754" s="3">
        <v>7</v>
      </c>
      <c r="Q754" s="3">
        <v>0</v>
      </c>
      <c r="R754" s="9">
        <v>0</v>
      </c>
      <c r="S754" s="9"/>
      <c r="T754" s="11">
        <v>0</v>
      </c>
      <c r="U754" s="11">
        <v>1.7770000000000001E-2</v>
      </c>
      <c r="V754" s="11">
        <v>0</v>
      </c>
      <c r="W754" s="11">
        <v>0</v>
      </c>
      <c r="X754" s="11"/>
      <c r="AB754" s="3" t="str">
        <f t="shared" si="5"/>
        <v>___</v>
      </c>
      <c r="AC754" s="3" t="str">
        <f t="shared" si="4"/>
        <v>____</v>
      </c>
    </row>
    <row r="755" spans="1:31" ht="12.5">
      <c r="A755" s="17">
        <v>45544</v>
      </c>
      <c r="B755" s="3" t="s">
        <v>96</v>
      </c>
      <c r="D755" s="3" t="s">
        <v>97</v>
      </c>
      <c r="E755" s="3" t="s">
        <v>34</v>
      </c>
      <c r="F755" s="3"/>
      <c r="G755" s="3" t="s">
        <v>35</v>
      </c>
      <c r="H755" s="3">
        <v>1</v>
      </c>
      <c r="I755" s="3">
        <v>5</v>
      </c>
      <c r="J755" s="4">
        <v>45511</v>
      </c>
      <c r="K755" s="3">
        <v>4</v>
      </c>
      <c r="L755" s="3" t="s">
        <v>36</v>
      </c>
      <c r="M755" s="3">
        <v>14</v>
      </c>
      <c r="N755" s="3">
        <v>9</v>
      </c>
      <c r="O755" s="3">
        <v>9</v>
      </c>
      <c r="Q755" s="3">
        <v>0</v>
      </c>
      <c r="R755" s="9">
        <v>0</v>
      </c>
      <c r="S755" s="9"/>
      <c r="T755" s="11">
        <v>4.6339999999999999E-2</v>
      </c>
      <c r="U755" s="11">
        <v>3.5999999999999999E-3</v>
      </c>
      <c r="V755" s="11">
        <v>0</v>
      </c>
      <c r="W755" s="11">
        <v>0</v>
      </c>
      <c r="X755" s="11"/>
      <c r="AB755" s="3" t="str">
        <f t="shared" si="5"/>
        <v>LY_O___vv</v>
      </c>
      <c r="AC755" s="3" t="str">
        <f t="shared" si="4"/>
        <v>LY_O___vv_1</v>
      </c>
      <c r="AE755" s="3" t="s">
        <v>37</v>
      </c>
    </row>
    <row r="756" spans="1:31" ht="12.5">
      <c r="E756" s="3"/>
      <c r="F756" s="3"/>
      <c r="G756" s="3"/>
      <c r="L756" s="3" t="s">
        <v>38</v>
      </c>
      <c r="M756" s="3">
        <v>29</v>
      </c>
      <c r="N756" s="3">
        <v>5</v>
      </c>
      <c r="O756" s="3">
        <v>12</v>
      </c>
      <c r="Q756" s="3">
        <v>0</v>
      </c>
      <c r="R756" s="9">
        <v>0</v>
      </c>
      <c r="S756" s="9"/>
      <c r="T756" s="11">
        <v>2.9669999999999998E-2</v>
      </c>
      <c r="U756" s="11">
        <v>1.3050000000000001E-2</v>
      </c>
      <c r="V756" s="11">
        <v>0</v>
      </c>
      <c r="W756" s="11">
        <v>0</v>
      </c>
      <c r="X756" s="11"/>
      <c r="AB756" s="3" t="str">
        <f t="shared" si="5"/>
        <v>___</v>
      </c>
      <c r="AC756" s="3" t="str">
        <f t="shared" si="4"/>
        <v>____</v>
      </c>
    </row>
    <row r="757" spans="1:31" ht="12.5">
      <c r="E757" s="3"/>
      <c r="F757" s="3"/>
      <c r="G757" s="3"/>
      <c r="L757" s="3" t="s">
        <v>39</v>
      </c>
      <c r="M757" s="3">
        <v>22</v>
      </c>
      <c r="N757" s="3">
        <v>0</v>
      </c>
      <c r="O757" s="3">
        <v>5</v>
      </c>
      <c r="Q757" s="3">
        <v>0</v>
      </c>
      <c r="R757" s="9">
        <v>0</v>
      </c>
      <c r="S757" s="9"/>
      <c r="T757" s="11">
        <v>0</v>
      </c>
      <c r="U757" s="11">
        <v>8.0300000000000007E-3</v>
      </c>
      <c r="V757" s="11">
        <v>0</v>
      </c>
      <c r="W757" s="11">
        <v>0</v>
      </c>
      <c r="X757" s="11"/>
      <c r="AB757" s="3" t="str">
        <f t="shared" si="5"/>
        <v>___</v>
      </c>
      <c r="AC757" s="3" t="str">
        <f t="shared" si="4"/>
        <v>____</v>
      </c>
    </row>
    <row r="758" spans="1:31" ht="12.5">
      <c r="B758" s="3" t="s">
        <v>120</v>
      </c>
      <c r="D758" s="3" t="s">
        <v>97</v>
      </c>
      <c r="E758" s="3" t="s">
        <v>34</v>
      </c>
      <c r="F758" s="3"/>
      <c r="G758" s="3" t="s">
        <v>35</v>
      </c>
      <c r="H758" s="3">
        <v>1</v>
      </c>
      <c r="I758" s="3">
        <v>17.2</v>
      </c>
      <c r="J758" s="3">
        <v>13.9</v>
      </c>
      <c r="K758" s="3">
        <v>4</v>
      </c>
      <c r="L758" s="3" t="s">
        <v>36</v>
      </c>
      <c r="M758" s="3">
        <v>34</v>
      </c>
      <c r="N758" s="3">
        <v>11</v>
      </c>
      <c r="O758" s="3">
        <v>15</v>
      </c>
      <c r="Q758" s="3">
        <v>0</v>
      </c>
      <c r="R758" s="3">
        <v>0</v>
      </c>
      <c r="S758" s="3"/>
      <c r="T758" s="3">
        <v>7.9329999999999998E-2</v>
      </c>
      <c r="U758" s="3">
        <v>1.1259999999999999E-2</v>
      </c>
      <c r="V758" s="3">
        <v>0</v>
      </c>
      <c r="W758" s="3">
        <v>0</v>
      </c>
      <c r="X758" s="3"/>
      <c r="AB758" s="3" t="str">
        <f t="shared" si="5"/>
        <v>SO_O___vv</v>
      </c>
      <c r="AC758" s="3" t="str">
        <f t="shared" si="4"/>
        <v>SO_O___vv_1</v>
      </c>
      <c r="AD758" s="3" t="s">
        <v>37</v>
      </c>
      <c r="AE758" s="3" t="s">
        <v>37</v>
      </c>
    </row>
    <row r="759" spans="1:31" ht="12.5">
      <c r="E759" s="3"/>
      <c r="F759" s="3"/>
      <c r="G759" s="3"/>
      <c r="L759" s="3" t="s">
        <v>38</v>
      </c>
      <c r="M759" s="3">
        <v>54</v>
      </c>
      <c r="N759" s="3">
        <v>2</v>
      </c>
      <c r="O759" s="3">
        <v>17</v>
      </c>
      <c r="Q759" s="3">
        <v>1</v>
      </c>
      <c r="R759" s="3">
        <v>0</v>
      </c>
      <c r="S759" s="3"/>
      <c r="T759" s="3">
        <v>5.2920000000000002E-2</v>
      </c>
      <c r="U759" s="3">
        <v>4.2569999999999997E-2</v>
      </c>
      <c r="V759" s="3">
        <v>3.7200000000000002E-3</v>
      </c>
      <c r="W759" s="3">
        <v>0</v>
      </c>
      <c r="X759" s="3"/>
      <c r="AB759" s="3" t="str">
        <f t="shared" si="5"/>
        <v>___</v>
      </c>
      <c r="AC759" s="3" t="str">
        <f t="shared" si="4"/>
        <v>____</v>
      </c>
    </row>
    <row r="760" spans="1:31" ht="12.5">
      <c r="E760" s="3"/>
      <c r="F760" s="3"/>
      <c r="G760" s="3"/>
      <c r="L760" s="3" t="s">
        <v>39</v>
      </c>
      <c r="M760" s="3">
        <v>37</v>
      </c>
      <c r="N760" s="3">
        <v>1</v>
      </c>
      <c r="O760" s="3">
        <v>9</v>
      </c>
      <c r="Q760" s="3">
        <v>1</v>
      </c>
      <c r="R760" s="3">
        <v>0</v>
      </c>
      <c r="S760" s="3"/>
      <c r="T760" s="3">
        <v>3.9300000000000003E-3</v>
      </c>
      <c r="U760" s="3">
        <v>3.0210000000000001E-2</v>
      </c>
      <c r="V760" s="3">
        <v>3.7659999999999999E-2</v>
      </c>
      <c r="W760" s="3">
        <v>0</v>
      </c>
      <c r="X760" s="3"/>
      <c r="AB760" s="3" t="str">
        <f t="shared" si="5"/>
        <v>___</v>
      </c>
      <c r="AC760" s="3" t="str">
        <f t="shared" si="4"/>
        <v>____</v>
      </c>
    </row>
    <row r="761" spans="1:31" ht="12.5">
      <c r="B761" s="3" t="s">
        <v>120</v>
      </c>
      <c r="D761" s="3" t="s">
        <v>97</v>
      </c>
      <c r="E761" s="3" t="s">
        <v>34</v>
      </c>
      <c r="F761" s="3"/>
      <c r="G761" s="3" t="s">
        <v>35</v>
      </c>
      <c r="H761" s="3">
        <v>2</v>
      </c>
      <c r="I761" s="3">
        <v>19.2</v>
      </c>
      <c r="J761" s="3">
        <v>18.7</v>
      </c>
      <c r="K761" s="3">
        <v>4</v>
      </c>
      <c r="L761" s="3" t="s">
        <v>36</v>
      </c>
      <c r="M761" s="3">
        <v>43</v>
      </c>
      <c r="N761" s="3">
        <v>14</v>
      </c>
      <c r="O761" s="3">
        <v>15</v>
      </c>
      <c r="Q761" s="3">
        <v>0</v>
      </c>
      <c r="R761" s="3">
        <v>0</v>
      </c>
      <c r="S761" s="3"/>
      <c r="T761" s="3">
        <v>0.19671</v>
      </c>
      <c r="U761" s="3">
        <v>2.4140000000000002E-2</v>
      </c>
      <c r="V761" s="3">
        <v>0</v>
      </c>
      <c r="W761" s="3">
        <v>0</v>
      </c>
      <c r="X761" s="3"/>
      <c r="AB761" s="3" t="str">
        <f t="shared" si="5"/>
        <v>SO_O___vv</v>
      </c>
      <c r="AC761" s="3" t="str">
        <f t="shared" si="4"/>
        <v>SO_O___vv_2</v>
      </c>
      <c r="AD761" s="3" t="s">
        <v>37</v>
      </c>
      <c r="AE761" s="3" t="s">
        <v>37</v>
      </c>
    </row>
    <row r="762" spans="1:31" ht="12.5">
      <c r="E762" s="3"/>
      <c r="F762" s="3"/>
      <c r="G762" s="3"/>
      <c r="L762" s="3" t="s">
        <v>38</v>
      </c>
      <c r="M762" s="3">
        <v>43</v>
      </c>
      <c r="N762" s="3">
        <v>7</v>
      </c>
      <c r="O762" s="3">
        <v>15</v>
      </c>
      <c r="Q762" s="3">
        <v>0</v>
      </c>
      <c r="R762" s="3">
        <v>0</v>
      </c>
      <c r="S762" s="3"/>
      <c r="T762" s="3">
        <v>0.10907</v>
      </c>
      <c r="U762" s="3">
        <v>3.5990000000000001E-2</v>
      </c>
      <c r="V762" s="3">
        <v>0</v>
      </c>
      <c r="W762" s="3">
        <v>0</v>
      </c>
      <c r="X762" s="3"/>
      <c r="AB762" s="3" t="str">
        <f t="shared" si="5"/>
        <v>___</v>
      </c>
      <c r="AC762" s="3" t="str">
        <f t="shared" si="4"/>
        <v>____</v>
      </c>
    </row>
    <row r="763" spans="1:31" ht="12.5">
      <c r="E763" s="3"/>
      <c r="F763" s="3"/>
      <c r="G763" s="3"/>
      <c r="L763" s="3" t="s">
        <v>39</v>
      </c>
      <c r="M763" s="3">
        <v>74</v>
      </c>
      <c r="N763" s="3">
        <v>3</v>
      </c>
      <c r="O763" s="3">
        <v>22</v>
      </c>
      <c r="Q763" s="3">
        <v>0</v>
      </c>
      <c r="R763" s="3">
        <v>0</v>
      </c>
      <c r="S763" s="3"/>
      <c r="T763" s="3">
        <v>2.3699999999999999E-2</v>
      </c>
      <c r="U763" s="3">
        <v>7.8640000000000002E-2</v>
      </c>
      <c r="V763" s="3">
        <v>0</v>
      </c>
      <c r="W763" s="3">
        <v>0</v>
      </c>
      <c r="X763" s="3"/>
      <c r="AB763" s="3" t="str">
        <f t="shared" si="5"/>
        <v>___</v>
      </c>
      <c r="AC763" s="3" t="str">
        <f t="shared" si="4"/>
        <v>____</v>
      </c>
    </row>
    <row r="764" spans="1:31" ht="12.5">
      <c r="B764" s="3" t="s">
        <v>120</v>
      </c>
      <c r="D764" s="3" t="s">
        <v>97</v>
      </c>
      <c r="E764" s="3" t="s">
        <v>34</v>
      </c>
      <c r="F764" s="3"/>
      <c r="G764" s="3" t="s">
        <v>35</v>
      </c>
      <c r="H764" s="3">
        <v>3</v>
      </c>
      <c r="I764" s="3">
        <v>22.3</v>
      </c>
      <c r="J764" s="3">
        <v>23.7</v>
      </c>
      <c r="K764" s="3">
        <v>4</v>
      </c>
      <c r="L764" s="3" t="s">
        <v>36</v>
      </c>
      <c r="M764" s="3">
        <v>49</v>
      </c>
      <c r="N764" s="3">
        <v>14</v>
      </c>
      <c r="O764" s="3">
        <v>18</v>
      </c>
      <c r="Q764" s="3">
        <v>1</v>
      </c>
      <c r="R764" s="3">
        <v>11</v>
      </c>
      <c r="S764" s="3"/>
      <c r="T764" s="3">
        <v>0.2162</v>
      </c>
      <c r="U764" s="3">
        <v>3.0210000000000001E-2</v>
      </c>
      <c r="V764" s="3">
        <v>0</v>
      </c>
      <c r="W764" s="3">
        <v>0.2409</v>
      </c>
      <c r="X764" s="3"/>
      <c r="Z764" s="3" t="s">
        <v>121</v>
      </c>
      <c r="AB764" s="3" t="str">
        <f t="shared" si="5"/>
        <v>SO_O___vv</v>
      </c>
      <c r="AC764" s="3" t="str">
        <f t="shared" si="4"/>
        <v>SO_O___vv_3</v>
      </c>
      <c r="AD764" s="3" t="s">
        <v>37</v>
      </c>
      <c r="AE764" s="3" t="s">
        <v>37</v>
      </c>
    </row>
    <row r="765" spans="1:31" ht="12.5">
      <c r="E765" s="3"/>
      <c r="F765" s="3"/>
      <c r="G765" s="3"/>
      <c r="L765" s="3" t="s">
        <v>38</v>
      </c>
      <c r="M765" s="3">
        <v>102</v>
      </c>
      <c r="N765" s="3">
        <v>1</v>
      </c>
      <c r="O765" s="3">
        <v>15</v>
      </c>
      <c r="Q765" s="3">
        <v>1</v>
      </c>
      <c r="R765" s="3">
        <v>0</v>
      </c>
      <c r="S765" s="3"/>
      <c r="T765" s="3">
        <v>1.788E-2</v>
      </c>
      <c r="U765" s="3">
        <v>9.7919999999999993E-2</v>
      </c>
      <c r="V765" s="3">
        <v>2.3570000000000001E-2</v>
      </c>
      <c r="W765" s="3">
        <v>0</v>
      </c>
      <c r="X765" s="3"/>
      <c r="AB765" s="3" t="str">
        <f t="shared" si="5"/>
        <v>___</v>
      </c>
      <c r="AC765" s="3" t="str">
        <f t="shared" si="4"/>
        <v>____</v>
      </c>
    </row>
    <row r="766" spans="1:31" ht="12.5">
      <c r="E766" s="3"/>
      <c r="F766" s="3"/>
      <c r="G766" s="3"/>
      <c r="L766" s="3" t="s">
        <v>39</v>
      </c>
      <c r="M766" s="3">
        <v>54</v>
      </c>
      <c r="N766" s="3">
        <v>0</v>
      </c>
      <c r="O766" s="3">
        <v>6</v>
      </c>
      <c r="Q766" s="3">
        <v>0</v>
      </c>
      <c r="R766" s="3">
        <v>0</v>
      </c>
      <c r="S766" s="3"/>
      <c r="T766" s="3">
        <v>0</v>
      </c>
      <c r="U766" s="3">
        <v>6.5449999999999994E-2</v>
      </c>
      <c r="V766" s="3">
        <v>0</v>
      </c>
      <c r="W766" s="3">
        <v>0</v>
      </c>
      <c r="X766" s="3"/>
      <c r="AB766" s="3" t="str">
        <f t="shared" si="5"/>
        <v>___</v>
      </c>
      <c r="AC766" s="3" t="str">
        <f t="shared" si="4"/>
        <v>____</v>
      </c>
    </row>
    <row r="767" spans="1:31" ht="12.5">
      <c r="B767" s="3" t="s">
        <v>120</v>
      </c>
      <c r="D767" s="3" t="s">
        <v>97</v>
      </c>
      <c r="E767" s="3" t="s">
        <v>34</v>
      </c>
      <c r="F767" s="3"/>
      <c r="G767" s="3" t="s">
        <v>40</v>
      </c>
      <c r="H767" s="3">
        <v>1</v>
      </c>
      <c r="I767" s="3">
        <v>33</v>
      </c>
      <c r="J767" s="3">
        <v>30.1</v>
      </c>
      <c r="K767" s="3">
        <v>5</v>
      </c>
      <c r="L767" s="3" t="s">
        <v>36</v>
      </c>
      <c r="M767" s="3">
        <v>40</v>
      </c>
      <c r="N767" s="3">
        <v>6</v>
      </c>
      <c r="O767" s="3">
        <v>8</v>
      </c>
      <c r="Q767" s="3">
        <v>0</v>
      </c>
      <c r="R767" s="3">
        <v>0</v>
      </c>
      <c r="S767" s="3"/>
      <c r="T767" s="3">
        <v>4.7809999999999998E-2</v>
      </c>
      <c r="U767" s="3">
        <v>2.043E-2</v>
      </c>
      <c r="V767" s="3">
        <v>0</v>
      </c>
      <c r="W767" s="3">
        <v>0</v>
      </c>
      <c r="X767" s="3"/>
      <c r="AB767" s="3" t="str">
        <f t="shared" si="5"/>
        <v>SO_O___vm</v>
      </c>
      <c r="AC767" s="3" t="str">
        <f t="shared" ref="AC767:AC1021" si="6">CONCATENATE(B767,"_",C767,"_",F767,"_",G767,"_",H767)</f>
        <v>SO_O___vm_1</v>
      </c>
      <c r="AD767" s="3" t="s">
        <v>37</v>
      </c>
      <c r="AE767" s="3" t="s">
        <v>37</v>
      </c>
    </row>
    <row r="768" spans="1:31" ht="12.5">
      <c r="E768" s="3"/>
      <c r="F768" s="3"/>
      <c r="G768" s="3"/>
      <c r="L768" s="3" t="s">
        <v>38</v>
      </c>
      <c r="M768" s="3">
        <v>86</v>
      </c>
      <c r="N768" s="3">
        <v>0</v>
      </c>
      <c r="O768" s="3">
        <v>11</v>
      </c>
      <c r="Q768" s="3">
        <v>5</v>
      </c>
      <c r="R768" s="3">
        <v>0</v>
      </c>
      <c r="S768" s="3"/>
      <c r="T768" s="3">
        <v>0</v>
      </c>
      <c r="U768" s="3">
        <v>0.11162</v>
      </c>
      <c r="V768" s="3">
        <v>0.15440000000000001</v>
      </c>
      <c r="W768" s="3">
        <v>0</v>
      </c>
      <c r="X768" s="3"/>
      <c r="AB768" s="3" t="str">
        <f t="shared" ref="AB768:AB1022" si="7">CONCATENATE(B768, "_",C768,"_",F768,"_",G768)</f>
        <v>___</v>
      </c>
      <c r="AC768" s="3" t="str">
        <f t="shared" si="6"/>
        <v>____</v>
      </c>
    </row>
    <row r="769" spans="2:31" ht="12.5">
      <c r="E769" s="3"/>
      <c r="F769" s="3"/>
      <c r="G769" s="3"/>
      <c r="L769" s="3" t="s">
        <v>39</v>
      </c>
      <c r="M769" s="3">
        <v>114</v>
      </c>
      <c r="N769" s="3">
        <v>0</v>
      </c>
      <c r="O769" s="3">
        <v>11</v>
      </c>
      <c r="Q769" s="3">
        <v>5</v>
      </c>
      <c r="R769" s="3">
        <v>0</v>
      </c>
      <c r="S769" s="3"/>
      <c r="T769" s="3">
        <v>0</v>
      </c>
      <c r="U769" s="3">
        <v>0.53105000000000002</v>
      </c>
      <c r="V769" s="3">
        <v>1.4201699999999999</v>
      </c>
      <c r="W769" s="3">
        <v>0</v>
      </c>
      <c r="X769" s="3"/>
      <c r="AB769" s="3" t="str">
        <f t="shared" si="7"/>
        <v>___</v>
      </c>
      <c r="AC769" s="3" t="str">
        <f t="shared" si="6"/>
        <v>____</v>
      </c>
    </row>
    <row r="770" spans="2:31" ht="12.5">
      <c r="B770" s="3" t="s">
        <v>120</v>
      </c>
      <c r="D770" s="3" t="s">
        <v>97</v>
      </c>
      <c r="E770" s="3" t="s">
        <v>34</v>
      </c>
      <c r="F770" s="3"/>
      <c r="G770" s="3" t="s">
        <v>40</v>
      </c>
      <c r="H770" s="3">
        <v>2</v>
      </c>
      <c r="I770" s="3">
        <v>27.1</v>
      </c>
      <c r="J770" s="3">
        <v>25.2</v>
      </c>
      <c r="K770" s="3">
        <v>6</v>
      </c>
      <c r="L770" s="3" t="s">
        <v>36</v>
      </c>
      <c r="M770" s="3">
        <v>34</v>
      </c>
      <c r="N770" s="3">
        <v>6</v>
      </c>
      <c r="O770" s="3">
        <v>6</v>
      </c>
      <c r="Q770" s="3">
        <v>0</v>
      </c>
      <c r="R770" s="3">
        <v>0</v>
      </c>
      <c r="S770" s="3"/>
      <c r="T770" s="3">
        <v>4.3159999999999997E-2</v>
      </c>
      <c r="U770" s="3">
        <v>1.7829999999999999E-2</v>
      </c>
      <c r="V770" s="3">
        <v>0</v>
      </c>
      <c r="W770" s="3">
        <v>0</v>
      </c>
      <c r="X770" s="3"/>
      <c r="AB770" s="3" t="str">
        <f t="shared" si="7"/>
        <v>SO_O___vm</v>
      </c>
      <c r="AC770" s="3" t="str">
        <f t="shared" si="6"/>
        <v>SO_O___vm_2</v>
      </c>
      <c r="AD770" s="3" t="s">
        <v>37</v>
      </c>
      <c r="AE770" s="3" t="s">
        <v>37</v>
      </c>
    </row>
    <row r="771" spans="2:31" ht="12.5">
      <c r="E771" s="3"/>
      <c r="F771" s="3"/>
      <c r="G771" s="3"/>
      <c r="L771" s="3" t="s">
        <v>38</v>
      </c>
      <c r="M771" s="3">
        <v>74</v>
      </c>
      <c r="N771" s="3">
        <v>0</v>
      </c>
      <c r="O771" s="3">
        <v>9</v>
      </c>
      <c r="Q771" s="3">
        <v>4</v>
      </c>
      <c r="R771" s="3">
        <v>0</v>
      </c>
      <c r="S771" s="3"/>
      <c r="T771" s="3">
        <v>0</v>
      </c>
      <c r="U771" s="3">
        <v>7.6230000000000006E-2</v>
      </c>
      <c r="V771" s="3">
        <v>0.1169</v>
      </c>
      <c r="W771" s="3">
        <v>0</v>
      </c>
      <c r="X771" s="3"/>
      <c r="AB771" s="3" t="str">
        <f t="shared" si="7"/>
        <v>___</v>
      </c>
      <c r="AC771" s="3" t="str">
        <f t="shared" si="6"/>
        <v>____</v>
      </c>
    </row>
    <row r="772" spans="2:31" ht="12.5">
      <c r="E772" s="3"/>
      <c r="F772" s="3"/>
      <c r="G772" s="3"/>
      <c r="L772" s="3" t="s">
        <v>39</v>
      </c>
      <c r="M772" s="3">
        <v>83</v>
      </c>
      <c r="N772" s="3">
        <v>0</v>
      </c>
      <c r="O772" s="3">
        <v>8</v>
      </c>
      <c r="Q772" s="3">
        <v>1</v>
      </c>
      <c r="R772" s="3">
        <v>0</v>
      </c>
      <c r="S772" s="3"/>
      <c r="T772" s="3">
        <v>0</v>
      </c>
      <c r="U772" s="3">
        <v>0.16094</v>
      </c>
      <c r="V772" s="3">
        <v>0.20344000000000001</v>
      </c>
      <c r="W772" s="3">
        <v>0</v>
      </c>
      <c r="X772" s="3"/>
      <c r="AB772" s="3" t="str">
        <f t="shared" si="7"/>
        <v>___</v>
      </c>
      <c r="AC772" s="3" t="str">
        <f t="shared" si="6"/>
        <v>____</v>
      </c>
    </row>
    <row r="773" spans="2:31" ht="12.5">
      <c r="B773" s="3" t="s">
        <v>120</v>
      </c>
      <c r="D773" s="3" t="s">
        <v>97</v>
      </c>
      <c r="E773" s="3" t="s">
        <v>34</v>
      </c>
      <c r="F773" s="3"/>
      <c r="G773" s="3" t="s">
        <v>40</v>
      </c>
      <c r="H773" s="3">
        <v>3</v>
      </c>
      <c r="I773" s="3">
        <v>29.2</v>
      </c>
      <c r="J773" s="3">
        <v>38.1</v>
      </c>
      <c r="K773" s="3">
        <v>9</v>
      </c>
      <c r="L773" s="3" t="s">
        <v>36</v>
      </c>
      <c r="M773" s="3">
        <v>27</v>
      </c>
      <c r="N773" s="3">
        <v>5</v>
      </c>
      <c r="O773" s="3">
        <v>6</v>
      </c>
      <c r="Q773" s="3">
        <v>0</v>
      </c>
      <c r="R773" s="3">
        <v>0</v>
      </c>
      <c r="S773" s="3"/>
      <c r="T773" s="3">
        <v>2.9250000000000002E-2</v>
      </c>
      <c r="U773" s="3">
        <v>1.089E-2</v>
      </c>
      <c r="V773" s="3">
        <v>0</v>
      </c>
      <c r="W773" s="3">
        <v>0</v>
      </c>
      <c r="X773" s="3"/>
      <c r="AB773" s="3" t="str">
        <f t="shared" si="7"/>
        <v>SO_O___vm</v>
      </c>
      <c r="AC773" s="3" t="str">
        <f t="shared" si="6"/>
        <v>SO_O___vm_3</v>
      </c>
      <c r="AD773" s="3" t="s">
        <v>37</v>
      </c>
      <c r="AE773" s="3" t="s">
        <v>37</v>
      </c>
    </row>
    <row r="774" spans="2:31" ht="12.5">
      <c r="E774" s="3"/>
      <c r="F774" s="3"/>
      <c r="G774" s="3"/>
      <c r="L774" s="3" t="s">
        <v>38</v>
      </c>
      <c r="M774" s="3">
        <v>67</v>
      </c>
      <c r="N774" s="3">
        <v>0</v>
      </c>
      <c r="O774" s="3">
        <v>9</v>
      </c>
      <c r="Q774" s="3">
        <v>4</v>
      </c>
      <c r="R774" s="3">
        <v>0</v>
      </c>
      <c r="S774" s="3"/>
      <c r="T774" s="3">
        <v>0</v>
      </c>
      <c r="U774" s="3">
        <v>5.1529999999999999E-2</v>
      </c>
      <c r="V774" s="3">
        <v>9.5030000000000003E-2</v>
      </c>
      <c r="W774" s="3">
        <v>0</v>
      </c>
      <c r="X774" s="3"/>
      <c r="AB774" s="3" t="str">
        <f t="shared" si="7"/>
        <v>___</v>
      </c>
      <c r="AC774" s="3" t="str">
        <f t="shared" si="6"/>
        <v>____</v>
      </c>
    </row>
    <row r="775" spans="2:31" ht="12.5">
      <c r="E775" s="3"/>
      <c r="F775" s="3"/>
      <c r="G775" s="3"/>
      <c r="L775" s="3" t="s">
        <v>39</v>
      </c>
      <c r="M775" s="3">
        <v>79</v>
      </c>
      <c r="N775" s="3">
        <v>0</v>
      </c>
      <c r="O775" s="3">
        <v>10</v>
      </c>
      <c r="Q775" s="3">
        <v>5</v>
      </c>
      <c r="R775" s="3">
        <v>0</v>
      </c>
      <c r="S775" s="3"/>
      <c r="T775" s="3">
        <v>0</v>
      </c>
      <c r="U775" s="3">
        <v>0.14430999999999999</v>
      </c>
      <c r="V775" s="3">
        <v>0.54337000000000002</v>
      </c>
      <c r="W775" s="3">
        <v>0</v>
      </c>
      <c r="X775" s="3"/>
      <c r="AB775" s="3" t="str">
        <f t="shared" si="7"/>
        <v>___</v>
      </c>
      <c r="AC775" s="3" t="str">
        <f t="shared" si="6"/>
        <v>____</v>
      </c>
    </row>
    <row r="776" spans="2:31" ht="12.5">
      <c r="B776" s="3" t="s">
        <v>122</v>
      </c>
      <c r="D776" s="3" t="s">
        <v>123</v>
      </c>
      <c r="E776" s="3"/>
      <c r="F776" s="3"/>
      <c r="G776" s="3" t="s">
        <v>35</v>
      </c>
      <c r="H776" s="3">
        <v>1</v>
      </c>
      <c r="I776" s="3">
        <v>5.3</v>
      </c>
      <c r="J776" s="3">
        <v>5.5</v>
      </c>
      <c r="K776" s="3">
        <v>3</v>
      </c>
      <c r="L776" s="3" t="s">
        <v>36</v>
      </c>
      <c r="M776" s="3">
        <v>8</v>
      </c>
      <c r="N776" s="3">
        <v>0</v>
      </c>
      <c r="O776" s="3">
        <v>0</v>
      </c>
      <c r="Q776" s="3">
        <v>0</v>
      </c>
      <c r="R776" s="3">
        <v>4</v>
      </c>
      <c r="S776" s="3"/>
      <c r="T776" s="3" t="s">
        <v>47</v>
      </c>
      <c r="U776" s="3" t="s">
        <v>47</v>
      </c>
      <c r="V776" s="3" t="s">
        <v>47</v>
      </c>
      <c r="W776" s="3">
        <v>0.14355999999999999</v>
      </c>
      <c r="X776" s="3"/>
      <c r="Z776" s="3" t="s">
        <v>124</v>
      </c>
      <c r="AB776" s="3" t="str">
        <f t="shared" si="7"/>
        <v>KIL___vv</v>
      </c>
      <c r="AC776" s="3" t="str">
        <f t="shared" si="6"/>
        <v>KIL___vv_1</v>
      </c>
      <c r="AE776" s="3" t="s">
        <v>37</v>
      </c>
    </row>
    <row r="777" spans="2:31" ht="12.5">
      <c r="E777" s="3"/>
      <c r="F777" s="3"/>
      <c r="G777" s="3"/>
      <c r="L777" s="3" t="s">
        <v>38</v>
      </c>
      <c r="M777" s="3">
        <v>19</v>
      </c>
      <c r="N777" s="3">
        <v>10</v>
      </c>
      <c r="O777" s="3">
        <v>10</v>
      </c>
      <c r="Q777" s="3">
        <v>0</v>
      </c>
      <c r="R777" s="3">
        <v>0</v>
      </c>
      <c r="S777" s="3"/>
      <c r="T777" s="3">
        <v>5.8349999999999999E-2</v>
      </c>
      <c r="U777" s="3">
        <v>7.9100000000000004E-3</v>
      </c>
      <c r="V777" s="3">
        <v>0</v>
      </c>
      <c r="W777" s="3">
        <v>0</v>
      </c>
      <c r="X777" s="3"/>
      <c r="AB777" s="3" t="str">
        <f t="shared" si="7"/>
        <v>___</v>
      </c>
      <c r="AC777" s="3" t="str">
        <f t="shared" si="6"/>
        <v>____</v>
      </c>
    </row>
    <row r="778" spans="2:31" ht="12.5">
      <c r="E778" s="3"/>
      <c r="F778" s="3"/>
      <c r="G778" s="3"/>
      <c r="L778" s="3" t="s">
        <v>39</v>
      </c>
      <c r="M778" s="3">
        <v>22</v>
      </c>
      <c r="N778" s="3">
        <v>9</v>
      </c>
      <c r="O778" s="3">
        <v>11</v>
      </c>
      <c r="P778" s="3">
        <v>1</v>
      </c>
      <c r="Q778" s="3">
        <v>1</v>
      </c>
      <c r="R778" s="3">
        <v>0</v>
      </c>
      <c r="S778" s="3"/>
      <c r="T778" s="3">
        <v>7.9140000000000002E-2</v>
      </c>
      <c r="U778" s="3">
        <v>1.448E-2</v>
      </c>
      <c r="V778" s="3">
        <v>5.7119999999999997E-2</v>
      </c>
      <c r="W778" s="3">
        <v>0</v>
      </c>
      <c r="X778" s="3"/>
      <c r="AB778" s="3" t="str">
        <f t="shared" si="7"/>
        <v>___</v>
      </c>
      <c r="AC778" s="3" t="str">
        <f t="shared" si="6"/>
        <v>____</v>
      </c>
    </row>
    <row r="779" spans="2:31" ht="12.5">
      <c r="B779" s="3" t="s">
        <v>122</v>
      </c>
      <c r="D779" s="3" t="s">
        <v>123</v>
      </c>
      <c r="E779" s="3"/>
      <c r="F779" s="3"/>
      <c r="G779" s="3" t="s">
        <v>35</v>
      </c>
      <c r="H779" s="3">
        <v>2</v>
      </c>
      <c r="I779" s="3">
        <v>4.5999999999999996</v>
      </c>
      <c r="J779" s="3">
        <v>3.8</v>
      </c>
      <c r="K779" s="3">
        <v>3</v>
      </c>
      <c r="L779" s="3" t="s">
        <v>36</v>
      </c>
      <c r="M779" s="3">
        <v>18</v>
      </c>
      <c r="N779" s="3">
        <v>9</v>
      </c>
      <c r="O779" s="3">
        <v>9</v>
      </c>
      <c r="Q779" s="3">
        <v>0</v>
      </c>
      <c r="R779" s="3">
        <v>0</v>
      </c>
      <c r="S779" s="3"/>
      <c r="T779" s="3">
        <v>1.9449999999999999E-2</v>
      </c>
      <c r="U779" s="3">
        <v>2.5100000000000001E-3</v>
      </c>
      <c r="V779" s="3">
        <v>0</v>
      </c>
      <c r="W779" s="3">
        <v>0</v>
      </c>
      <c r="X779" s="3"/>
      <c r="AB779" s="3" t="str">
        <f t="shared" si="7"/>
        <v>KIL___vv</v>
      </c>
      <c r="AC779" s="3" t="str">
        <f t="shared" si="6"/>
        <v>KIL___vv_2</v>
      </c>
      <c r="AE779" s="3" t="s">
        <v>37</v>
      </c>
    </row>
    <row r="780" spans="2:31" ht="12.5">
      <c r="E780" s="3"/>
      <c r="F780" s="3"/>
      <c r="G780" s="3"/>
      <c r="L780" s="3" t="s">
        <v>38</v>
      </c>
      <c r="M780" s="3">
        <v>20</v>
      </c>
      <c r="N780" s="3">
        <v>10</v>
      </c>
      <c r="O780" s="3">
        <v>12</v>
      </c>
      <c r="P780" s="3">
        <v>1</v>
      </c>
      <c r="Q780" s="3">
        <v>1</v>
      </c>
      <c r="R780" s="3">
        <v>0</v>
      </c>
      <c r="S780" s="3"/>
      <c r="T780" s="3">
        <v>9.1020000000000004E-2</v>
      </c>
      <c r="U780" s="3">
        <v>9.9900000000000006E-3</v>
      </c>
      <c r="V780" s="3">
        <v>4.2119999999999998E-2</v>
      </c>
      <c r="W780" s="3">
        <v>0</v>
      </c>
      <c r="X780" s="3"/>
      <c r="Z780" s="3" t="s">
        <v>125</v>
      </c>
      <c r="AB780" s="3" t="str">
        <f t="shared" si="7"/>
        <v>___</v>
      </c>
      <c r="AC780" s="3" t="str">
        <f t="shared" si="6"/>
        <v>____</v>
      </c>
    </row>
    <row r="781" spans="2:31" ht="12.5">
      <c r="E781" s="3"/>
      <c r="F781" s="3"/>
      <c r="G781" s="3"/>
      <c r="L781" s="3" t="s">
        <v>39</v>
      </c>
      <c r="M781" s="3">
        <v>10</v>
      </c>
      <c r="N781" s="3">
        <v>2</v>
      </c>
      <c r="O781" s="3">
        <v>6</v>
      </c>
      <c r="Q781" s="3">
        <v>0</v>
      </c>
      <c r="R781" s="3">
        <v>0</v>
      </c>
      <c r="S781" s="3"/>
      <c r="T781" s="3">
        <v>7.11E-3</v>
      </c>
      <c r="U781" s="3">
        <v>5.1000000000000004E-3</v>
      </c>
      <c r="V781" s="3">
        <v>0</v>
      </c>
      <c r="W781" s="3">
        <v>0</v>
      </c>
      <c r="X781" s="3"/>
      <c r="AB781" s="3" t="str">
        <f t="shared" si="7"/>
        <v>___</v>
      </c>
      <c r="AC781" s="3" t="str">
        <f t="shared" si="6"/>
        <v>____</v>
      </c>
    </row>
    <row r="782" spans="2:31" ht="12.5">
      <c r="B782" s="3" t="s">
        <v>122</v>
      </c>
      <c r="D782" s="3" t="s">
        <v>123</v>
      </c>
      <c r="E782" s="3"/>
      <c r="F782" s="3"/>
      <c r="G782" s="3" t="s">
        <v>35</v>
      </c>
      <c r="H782" s="3">
        <v>3</v>
      </c>
      <c r="I782" s="3">
        <v>2.7</v>
      </c>
      <c r="J782" s="3">
        <v>3.1</v>
      </c>
      <c r="K782" s="3">
        <v>3</v>
      </c>
      <c r="L782" s="3" t="s">
        <v>36</v>
      </c>
      <c r="M782" s="3">
        <v>9</v>
      </c>
      <c r="N782" s="3">
        <v>8</v>
      </c>
      <c r="O782" s="3">
        <v>8</v>
      </c>
      <c r="Q782" s="3">
        <v>0</v>
      </c>
      <c r="R782" s="3">
        <v>0</v>
      </c>
      <c r="S782" s="3"/>
      <c r="T782" s="3">
        <v>2.2970000000000001E-2</v>
      </c>
      <c r="U782" s="3">
        <v>2.2100000000000002E-3</v>
      </c>
      <c r="V782" s="3">
        <v>0</v>
      </c>
      <c r="W782" s="3">
        <v>0</v>
      </c>
      <c r="X782" s="3"/>
      <c r="AB782" s="3" t="str">
        <f t="shared" si="7"/>
        <v>KIL___vv</v>
      </c>
      <c r="AC782" s="3" t="str">
        <f t="shared" si="6"/>
        <v>KIL___vv_3</v>
      </c>
      <c r="AE782" s="3" t="s">
        <v>37</v>
      </c>
    </row>
    <row r="783" spans="2:31" ht="12.5">
      <c r="E783" s="3"/>
      <c r="F783" s="3"/>
      <c r="G783" s="3"/>
      <c r="L783" s="3" t="s">
        <v>38</v>
      </c>
      <c r="M783" s="3">
        <v>11</v>
      </c>
      <c r="N783" s="3">
        <v>4</v>
      </c>
      <c r="O783" s="3">
        <v>8</v>
      </c>
      <c r="R783" s="3">
        <v>0</v>
      </c>
      <c r="S783" s="3"/>
      <c r="T783" s="3">
        <v>2.1489999999999999E-2</v>
      </c>
      <c r="U783" s="3">
        <v>4.1700000000000001E-3</v>
      </c>
      <c r="V783" s="3">
        <v>0</v>
      </c>
      <c r="W783" s="3">
        <v>0</v>
      </c>
      <c r="X783" s="3"/>
      <c r="AB783" s="3" t="str">
        <f t="shared" si="7"/>
        <v>___</v>
      </c>
      <c r="AC783" s="3" t="str">
        <f t="shared" si="6"/>
        <v>____</v>
      </c>
    </row>
    <row r="784" spans="2:31" ht="12.5">
      <c r="E784" s="3"/>
      <c r="F784" s="3"/>
      <c r="G784" s="3"/>
      <c r="L784" s="3" t="s">
        <v>39</v>
      </c>
      <c r="M784" s="3">
        <v>11</v>
      </c>
      <c r="N784" s="3">
        <v>0</v>
      </c>
      <c r="O784" s="3">
        <v>2</v>
      </c>
      <c r="P784" s="3">
        <v>2</v>
      </c>
      <c r="Q784" s="3">
        <v>2</v>
      </c>
      <c r="R784" s="3">
        <v>0</v>
      </c>
      <c r="S784" s="3"/>
      <c r="T784" s="3">
        <v>0</v>
      </c>
      <c r="U784" s="3">
        <v>7.3499999999999998E-3</v>
      </c>
      <c r="V784" s="3">
        <v>6.9790000000000005E-2</v>
      </c>
      <c r="W784" s="3">
        <v>0</v>
      </c>
      <c r="X784" s="3"/>
      <c r="Z784" s="3" t="s">
        <v>126</v>
      </c>
      <c r="AB784" s="3" t="str">
        <f t="shared" si="7"/>
        <v>___</v>
      </c>
      <c r="AC784" s="3" t="str">
        <f t="shared" si="6"/>
        <v>____</v>
      </c>
    </row>
    <row r="785" spans="2:31" ht="12.5">
      <c r="B785" s="7" t="s">
        <v>122</v>
      </c>
      <c r="D785" s="3" t="s">
        <v>123</v>
      </c>
      <c r="E785" s="3"/>
      <c r="F785" s="3"/>
      <c r="G785" s="3" t="s">
        <v>35</v>
      </c>
      <c r="H785" s="3">
        <v>4</v>
      </c>
      <c r="I785" s="3">
        <v>14</v>
      </c>
      <c r="J785" s="3">
        <v>11.7</v>
      </c>
      <c r="K785" s="3">
        <v>4</v>
      </c>
      <c r="L785" s="3" t="s">
        <v>36</v>
      </c>
      <c r="M785" s="3">
        <v>40</v>
      </c>
      <c r="N785" s="3">
        <v>7</v>
      </c>
      <c r="O785" s="3">
        <v>9</v>
      </c>
      <c r="Q785" s="3">
        <v>0</v>
      </c>
      <c r="R785" s="3">
        <v>0</v>
      </c>
      <c r="S785" s="3"/>
      <c r="T785" s="3">
        <v>9.0649999999999994E-2</v>
      </c>
      <c r="U785" s="3">
        <v>1.3990000000000001E-2</v>
      </c>
      <c r="V785" s="3">
        <v>0</v>
      </c>
      <c r="W785" s="3">
        <v>0</v>
      </c>
      <c r="X785" s="3"/>
      <c r="Z785" s="3" t="s">
        <v>127</v>
      </c>
      <c r="AB785" s="3" t="str">
        <f t="shared" si="7"/>
        <v>KIL___vv</v>
      </c>
      <c r="AC785" s="3" t="str">
        <f t="shared" si="6"/>
        <v>KIL___vv_4</v>
      </c>
      <c r="AE785" s="3" t="s">
        <v>37</v>
      </c>
    </row>
    <row r="786" spans="2:31" ht="12.5">
      <c r="E786" s="3"/>
      <c r="F786" s="3"/>
      <c r="G786" s="3"/>
      <c r="L786" s="3" t="s">
        <v>38</v>
      </c>
      <c r="M786" s="3">
        <v>30</v>
      </c>
      <c r="N786" s="3">
        <v>6</v>
      </c>
      <c r="O786" s="3">
        <v>19</v>
      </c>
      <c r="Q786" s="3">
        <v>0</v>
      </c>
      <c r="R786" s="3">
        <v>0</v>
      </c>
      <c r="S786" s="3"/>
      <c r="T786" s="3">
        <v>4.657E-2</v>
      </c>
      <c r="U786" s="3">
        <v>1.4970000000000001E-2</v>
      </c>
      <c r="V786" s="3">
        <v>0</v>
      </c>
      <c r="W786" s="3">
        <v>0</v>
      </c>
      <c r="X786" s="3"/>
      <c r="AB786" s="3" t="str">
        <f t="shared" si="7"/>
        <v>___</v>
      </c>
      <c r="AC786" s="3" t="str">
        <f t="shared" si="6"/>
        <v>____</v>
      </c>
    </row>
    <row r="787" spans="2:31" ht="12.5">
      <c r="E787" s="3"/>
      <c r="F787" s="3"/>
      <c r="G787" s="3"/>
      <c r="L787" s="3" t="s">
        <v>39</v>
      </c>
      <c r="M787" s="3">
        <v>40</v>
      </c>
      <c r="N787" s="3">
        <v>2</v>
      </c>
      <c r="O787" s="3">
        <v>8</v>
      </c>
      <c r="Q787" s="3">
        <v>0</v>
      </c>
      <c r="R787" s="3">
        <v>0</v>
      </c>
      <c r="S787" s="3"/>
      <c r="T787" s="3">
        <v>1.1939999999999999E-2</v>
      </c>
      <c r="U787" s="3">
        <v>2.111E-2</v>
      </c>
      <c r="V787" s="3">
        <v>0</v>
      </c>
      <c r="W787" s="3">
        <v>0</v>
      </c>
      <c r="X787" s="3"/>
      <c r="AB787" s="3" t="str">
        <f t="shared" si="7"/>
        <v>___</v>
      </c>
      <c r="AC787" s="3" t="str">
        <f t="shared" si="6"/>
        <v>____</v>
      </c>
    </row>
    <row r="788" spans="2:31" ht="12.5">
      <c r="B788" s="7" t="s">
        <v>122</v>
      </c>
      <c r="D788" s="3" t="s">
        <v>123</v>
      </c>
      <c r="E788" s="3"/>
      <c r="F788" s="3"/>
      <c r="G788" s="3" t="s">
        <v>35</v>
      </c>
      <c r="H788" s="3">
        <v>5</v>
      </c>
      <c r="I788" s="3">
        <v>15.5</v>
      </c>
      <c r="J788" s="3">
        <v>19.399999999999999</v>
      </c>
      <c r="K788" s="3">
        <v>5</v>
      </c>
      <c r="L788" s="3" t="s">
        <v>36</v>
      </c>
      <c r="M788" s="3">
        <v>38</v>
      </c>
      <c r="N788" s="3">
        <v>9</v>
      </c>
      <c r="O788" s="3">
        <v>10</v>
      </c>
      <c r="Q788" s="3">
        <v>0</v>
      </c>
      <c r="R788" s="3">
        <v>0</v>
      </c>
      <c r="S788" s="3"/>
      <c r="T788" s="3">
        <v>0.10333000000000001</v>
      </c>
      <c r="U788" s="3">
        <v>1.3599999999999999E-2</v>
      </c>
      <c r="V788" s="3">
        <v>0</v>
      </c>
      <c r="W788" s="3">
        <v>0</v>
      </c>
      <c r="X788" s="3"/>
      <c r="AB788" s="3" t="str">
        <f t="shared" si="7"/>
        <v>KIL___vv</v>
      </c>
      <c r="AC788" s="3" t="str">
        <f t="shared" si="6"/>
        <v>KIL___vv_5</v>
      </c>
      <c r="AE788" s="3" t="s">
        <v>37</v>
      </c>
    </row>
    <row r="789" spans="2:31" ht="12.5">
      <c r="E789" s="3"/>
      <c r="F789" s="3"/>
      <c r="G789" s="3"/>
      <c r="L789" s="3" t="s">
        <v>38</v>
      </c>
      <c r="M789" s="3">
        <v>43</v>
      </c>
      <c r="N789" s="3">
        <v>8</v>
      </c>
      <c r="O789" s="3">
        <v>11</v>
      </c>
      <c r="P789" s="3">
        <v>1</v>
      </c>
      <c r="Q789" s="3">
        <v>1</v>
      </c>
      <c r="R789" s="3">
        <v>0</v>
      </c>
      <c r="S789" s="3"/>
      <c r="T789" s="3">
        <v>0.13716999999999999</v>
      </c>
      <c r="U789" s="3">
        <v>3.0550000000000001E-2</v>
      </c>
      <c r="V789" s="3">
        <v>5.722E-2</v>
      </c>
      <c r="W789" s="3">
        <v>0</v>
      </c>
      <c r="X789" s="3"/>
      <c r="AB789" s="3" t="str">
        <f t="shared" si="7"/>
        <v>___</v>
      </c>
      <c r="AC789" s="3" t="str">
        <f t="shared" si="6"/>
        <v>____</v>
      </c>
    </row>
    <row r="790" spans="2:31" ht="12.5">
      <c r="E790" s="3"/>
      <c r="F790" s="3"/>
      <c r="G790" s="3"/>
      <c r="L790" s="3" t="s">
        <v>39</v>
      </c>
      <c r="M790" s="3">
        <v>60</v>
      </c>
      <c r="N790" s="3">
        <v>6</v>
      </c>
      <c r="O790" s="3">
        <v>11</v>
      </c>
      <c r="Q790" s="3">
        <v>0</v>
      </c>
      <c r="R790" s="3">
        <v>0</v>
      </c>
      <c r="S790" s="3"/>
      <c r="T790" s="3">
        <v>8.5790000000000005E-2</v>
      </c>
      <c r="U790" s="3">
        <v>5.0770000000000003E-2</v>
      </c>
      <c r="V790" s="3">
        <v>0</v>
      </c>
      <c r="W790" s="3">
        <v>0</v>
      </c>
      <c r="X790" s="3"/>
      <c r="AB790" s="3" t="str">
        <f t="shared" si="7"/>
        <v>___</v>
      </c>
      <c r="AC790" s="3" t="str">
        <f t="shared" si="6"/>
        <v>____</v>
      </c>
    </row>
    <row r="791" spans="2:31" ht="12.5">
      <c r="B791" s="7" t="s">
        <v>122</v>
      </c>
      <c r="D791" s="3" t="s">
        <v>123</v>
      </c>
      <c r="E791" s="3"/>
      <c r="F791" s="3"/>
      <c r="G791" s="3" t="s">
        <v>35</v>
      </c>
      <c r="H791" s="3">
        <v>6</v>
      </c>
      <c r="I791" s="3">
        <v>11.6</v>
      </c>
      <c r="J791" s="3">
        <v>15.3</v>
      </c>
      <c r="K791" s="3">
        <v>7</v>
      </c>
      <c r="L791" s="3" t="s">
        <v>36</v>
      </c>
      <c r="M791" s="3" t="s">
        <v>47</v>
      </c>
      <c r="N791" s="3" t="s">
        <v>47</v>
      </c>
      <c r="O791" s="3" t="s">
        <v>47</v>
      </c>
      <c r="P791" s="3" t="s">
        <v>47</v>
      </c>
      <c r="Q791" s="3" t="s">
        <v>47</v>
      </c>
      <c r="R791" s="3" t="s">
        <v>47</v>
      </c>
      <c r="S791" s="3"/>
      <c r="T791" s="3" t="s">
        <v>47</v>
      </c>
      <c r="U791" s="3" t="s">
        <v>47</v>
      </c>
      <c r="V791" s="3" t="s">
        <v>47</v>
      </c>
      <c r="W791" s="3" t="s">
        <v>47</v>
      </c>
      <c r="X791" s="3"/>
      <c r="Z791" s="3" t="s">
        <v>128</v>
      </c>
      <c r="AB791" s="3" t="str">
        <f t="shared" si="7"/>
        <v>KIL___vv</v>
      </c>
      <c r="AC791" s="3" t="str">
        <f t="shared" si="6"/>
        <v>KIL___vv_6</v>
      </c>
      <c r="AE791" s="3" t="s">
        <v>37</v>
      </c>
    </row>
    <row r="792" spans="2:31" ht="12.5">
      <c r="E792" s="3"/>
      <c r="F792" s="3"/>
      <c r="G792" s="3"/>
      <c r="L792" s="3" t="s">
        <v>38</v>
      </c>
      <c r="M792" s="3">
        <v>20</v>
      </c>
      <c r="N792" s="3">
        <v>8</v>
      </c>
      <c r="O792" s="3">
        <v>8</v>
      </c>
      <c r="Q792" s="3">
        <v>0</v>
      </c>
      <c r="R792" s="3">
        <v>0</v>
      </c>
      <c r="S792" s="3"/>
      <c r="T792" s="3">
        <v>9.3990000000000004E-2</v>
      </c>
      <c r="U792" s="3">
        <v>1.0059999999999999E-2</v>
      </c>
      <c r="V792" s="3">
        <v>0</v>
      </c>
      <c r="W792" s="3">
        <v>0</v>
      </c>
      <c r="X792" s="3"/>
      <c r="AB792" s="3" t="str">
        <f t="shared" si="7"/>
        <v>___</v>
      </c>
      <c r="AC792" s="3" t="str">
        <f t="shared" si="6"/>
        <v>____</v>
      </c>
    </row>
    <row r="793" spans="2:31" ht="12.5">
      <c r="E793" s="3"/>
      <c r="F793" s="3"/>
      <c r="G793" s="3"/>
      <c r="L793" s="3" t="s">
        <v>39</v>
      </c>
      <c r="M793" s="3">
        <v>24</v>
      </c>
      <c r="N793" s="3">
        <v>5</v>
      </c>
      <c r="O793" s="3">
        <v>10</v>
      </c>
      <c r="Q793" s="3">
        <v>0</v>
      </c>
      <c r="R793" s="3">
        <v>0</v>
      </c>
      <c r="S793" s="3"/>
      <c r="T793" s="3">
        <v>8.5500000000000007E-2</v>
      </c>
      <c r="U793" s="3">
        <v>1.4449999999999999E-2</v>
      </c>
      <c r="V793" s="3">
        <v>0</v>
      </c>
      <c r="W793" s="3">
        <v>0</v>
      </c>
      <c r="X793" s="3"/>
      <c r="AB793" s="3" t="str">
        <f t="shared" si="7"/>
        <v>___</v>
      </c>
      <c r="AC793" s="3" t="str">
        <f t="shared" si="6"/>
        <v>____</v>
      </c>
    </row>
    <row r="794" spans="2:31" ht="12.5">
      <c r="B794" s="7" t="s">
        <v>122</v>
      </c>
      <c r="D794" s="3" t="s">
        <v>123</v>
      </c>
      <c r="E794" s="3"/>
      <c r="F794" s="3"/>
      <c r="G794" s="3" t="s">
        <v>40</v>
      </c>
      <c r="H794" s="3">
        <v>1</v>
      </c>
      <c r="I794" s="3">
        <v>10</v>
      </c>
      <c r="J794" s="3">
        <v>9.1999999999999993</v>
      </c>
      <c r="K794" s="3">
        <v>3</v>
      </c>
      <c r="L794" s="3" t="s">
        <v>36</v>
      </c>
      <c r="M794" s="3">
        <v>28</v>
      </c>
      <c r="N794" s="3">
        <v>6</v>
      </c>
      <c r="O794" s="3">
        <v>16</v>
      </c>
      <c r="Q794" s="3">
        <v>0</v>
      </c>
      <c r="R794" s="3">
        <v>0</v>
      </c>
      <c r="S794" s="3"/>
      <c r="T794" s="3">
        <v>3.2530000000000003E-2</v>
      </c>
      <c r="U794" s="3">
        <v>1.226E-2</v>
      </c>
      <c r="V794" s="3">
        <v>0</v>
      </c>
      <c r="W794" s="3">
        <v>0</v>
      </c>
      <c r="X794" s="3"/>
      <c r="AB794" s="3" t="str">
        <f t="shared" si="7"/>
        <v>KIL___vm</v>
      </c>
      <c r="AC794" s="3" t="str">
        <f t="shared" si="6"/>
        <v>KIL___vm_1</v>
      </c>
      <c r="AE794" s="3" t="s">
        <v>37</v>
      </c>
    </row>
    <row r="795" spans="2:31" ht="12.5">
      <c r="E795" s="3"/>
      <c r="F795" s="3"/>
      <c r="G795" s="3"/>
      <c r="L795" s="3" t="s">
        <v>38</v>
      </c>
      <c r="M795" s="3">
        <v>46</v>
      </c>
      <c r="N795" s="3">
        <v>0</v>
      </c>
      <c r="O795" s="3">
        <v>4</v>
      </c>
      <c r="P795" s="3">
        <v>3</v>
      </c>
      <c r="Q795" s="3">
        <v>3</v>
      </c>
      <c r="R795" s="3">
        <v>0</v>
      </c>
      <c r="S795" s="3"/>
      <c r="T795" s="3">
        <v>0</v>
      </c>
      <c r="U795" s="3">
        <v>4.215E-2</v>
      </c>
      <c r="V795" s="3">
        <v>9.2759999999999995E-2</v>
      </c>
      <c r="W795" s="3">
        <v>0</v>
      </c>
      <c r="X795" s="3"/>
      <c r="AB795" s="3" t="str">
        <f t="shared" si="7"/>
        <v>___</v>
      </c>
      <c r="AC795" s="3" t="str">
        <f t="shared" si="6"/>
        <v>____</v>
      </c>
    </row>
    <row r="796" spans="2:31" ht="12.5">
      <c r="E796" s="3"/>
      <c r="F796" s="3"/>
      <c r="G796" s="3"/>
      <c r="L796" s="3" t="s">
        <v>39</v>
      </c>
      <c r="M796" s="3">
        <v>21</v>
      </c>
      <c r="N796" s="3">
        <v>0</v>
      </c>
      <c r="O796" s="3">
        <v>2</v>
      </c>
      <c r="Q796" s="3">
        <v>0</v>
      </c>
      <c r="R796" s="3">
        <v>0</v>
      </c>
      <c r="S796" s="3"/>
      <c r="T796" s="3">
        <v>0</v>
      </c>
      <c r="U796" s="3">
        <v>2.622E-2</v>
      </c>
      <c r="V796" s="3">
        <v>0</v>
      </c>
      <c r="W796" s="3">
        <v>0</v>
      </c>
      <c r="X796" s="3"/>
      <c r="AB796" s="3" t="str">
        <f t="shared" si="7"/>
        <v>___</v>
      </c>
      <c r="AC796" s="3" t="str">
        <f t="shared" si="6"/>
        <v>____</v>
      </c>
    </row>
    <row r="797" spans="2:31" ht="12.5">
      <c r="B797" s="7" t="s">
        <v>122</v>
      </c>
      <c r="D797" s="3" t="s">
        <v>123</v>
      </c>
      <c r="E797" s="3"/>
      <c r="F797" s="3"/>
      <c r="G797" s="3" t="s">
        <v>40</v>
      </c>
      <c r="H797" s="3">
        <v>2</v>
      </c>
      <c r="I797" s="3">
        <v>9.4</v>
      </c>
      <c r="J797" s="3">
        <v>7.4</v>
      </c>
      <c r="K797" s="3">
        <v>2</v>
      </c>
      <c r="L797" s="3" t="s">
        <v>36</v>
      </c>
      <c r="M797" s="3">
        <v>40</v>
      </c>
      <c r="N797" s="3">
        <v>8</v>
      </c>
      <c r="O797" s="3">
        <v>8</v>
      </c>
      <c r="Q797" s="3">
        <v>0</v>
      </c>
      <c r="R797" s="3">
        <v>0</v>
      </c>
      <c r="S797" s="3"/>
      <c r="T797" s="3">
        <v>4.5530000000000001E-2</v>
      </c>
      <c r="U797" s="3">
        <v>2.5059999999999999E-2</v>
      </c>
      <c r="V797" s="3">
        <v>0</v>
      </c>
      <c r="W797" s="3">
        <v>0</v>
      </c>
      <c r="X797" s="3"/>
      <c r="AB797" s="3" t="str">
        <f t="shared" si="7"/>
        <v>KIL___vm</v>
      </c>
      <c r="AC797" s="3" t="str">
        <f t="shared" si="6"/>
        <v>KIL___vm_2</v>
      </c>
      <c r="AE797" s="3" t="s">
        <v>37</v>
      </c>
    </row>
    <row r="798" spans="2:31" ht="12.5">
      <c r="E798" s="3"/>
      <c r="F798" s="3"/>
      <c r="G798" s="3"/>
      <c r="L798" s="3" t="s">
        <v>38</v>
      </c>
      <c r="M798" s="3">
        <v>40</v>
      </c>
      <c r="N798" s="3">
        <v>0</v>
      </c>
      <c r="O798" s="3">
        <v>2</v>
      </c>
      <c r="P798" s="3">
        <v>3</v>
      </c>
      <c r="Q798" s="3">
        <v>3</v>
      </c>
      <c r="R798" s="3">
        <v>0</v>
      </c>
      <c r="S798" s="3"/>
      <c r="T798" s="3">
        <v>0</v>
      </c>
      <c r="U798" s="3">
        <v>3.6670000000000001E-2</v>
      </c>
      <c r="V798" s="3">
        <v>9.7890000000000005E-2</v>
      </c>
      <c r="W798" s="3">
        <v>0</v>
      </c>
      <c r="X798" s="3"/>
      <c r="AB798" s="3" t="str">
        <f t="shared" si="7"/>
        <v>___</v>
      </c>
      <c r="AC798" s="3" t="str">
        <f t="shared" si="6"/>
        <v>____</v>
      </c>
    </row>
    <row r="799" spans="2:31" ht="12.5">
      <c r="E799" s="3"/>
      <c r="F799" s="3"/>
      <c r="G799" s="3"/>
      <c r="L799" s="3" t="s">
        <v>39</v>
      </c>
      <c r="M799" s="3" t="s">
        <v>47</v>
      </c>
      <c r="N799" s="3" t="s">
        <v>47</v>
      </c>
      <c r="O799" s="3" t="s">
        <v>47</v>
      </c>
      <c r="P799" s="3" t="s">
        <v>47</v>
      </c>
      <c r="Q799" s="3" t="s">
        <v>47</v>
      </c>
      <c r="R799" s="3" t="s">
        <v>47</v>
      </c>
      <c r="S799" s="3"/>
      <c r="T799" s="3" t="s">
        <v>47</v>
      </c>
      <c r="U799" s="3" t="s">
        <v>47</v>
      </c>
      <c r="V799" s="3" t="s">
        <v>47</v>
      </c>
      <c r="W799" s="3" t="s">
        <v>47</v>
      </c>
      <c r="X799" s="3"/>
      <c r="Z799" s="3" t="s">
        <v>56</v>
      </c>
      <c r="AB799" s="3" t="str">
        <f t="shared" si="7"/>
        <v>___</v>
      </c>
      <c r="AC799" s="3" t="str">
        <f t="shared" si="6"/>
        <v>____</v>
      </c>
    </row>
    <row r="800" spans="2:31" ht="12.5">
      <c r="B800" s="7" t="s">
        <v>122</v>
      </c>
      <c r="D800" s="3" t="s">
        <v>123</v>
      </c>
      <c r="E800" s="3"/>
      <c r="F800" s="3"/>
      <c r="G800" s="3" t="s">
        <v>40</v>
      </c>
      <c r="H800" s="3">
        <v>3</v>
      </c>
      <c r="I800" s="3">
        <v>10.3</v>
      </c>
      <c r="J800" s="3">
        <v>7.3</v>
      </c>
      <c r="K800" s="3">
        <v>3</v>
      </c>
      <c r="L800" s="3" t="s">
        <v>36</v>
      </c>
      <c r="M800" s="3">
        <v>10</v>
      </c>
      <c r="N800" s="3">
        <v>4</v>
      </c>
      <c r="O800" s="3">
        <v>4</v>
      </c>
      <c r="Q800" s="3">
        <v>0</v>
      </c>
      <c r="R800" s="3">
        <v>0</v>
      </c>
      <c r="S800" s="3"/>
      <c r="T800" s="3">
        <v>1.414E-2</v>
      </c>
      <c r="U800" s="3">
        <v>2.6800000000000001E-3</v>
      </c>
      <c r="V800" s="3">
        <v>0</v>
      </c>
      <c r="W800" s="3">
        <v>1.7860000000000001E-2</v>
      </c>
      <c r="X800" s="3"/>
      <c r="AB800" s="3" t="str">
        <f t="shared" si="7"/>
        <v>KIL___vm</v>
      </c>
      <c r="AC800" s="3" t="str">
        <f t="shared" si="6"/>
        <v>KIL___vm_3</v>
      </c>
      <c r="AE800" s="3" t="s">
        <v>37</v>
      </c>
    </row>
    <row r="801" spans="2:31" ht="12.5">
      <c r="E801" s="3"/>
      <c r="F801" s="3"/>
      <c r="G801" s="3"/>
      <c r="L801" s="3" t="s">
        <v>38</v>
      </c>
      <c r="M801" s="3">
        <v>36</v>
      </c>
      <c r="N801" s="3">
        <v>0</v>
      </c>
      <c r="O801" s="3">
        <v>3</v>
      </c>
      <c r="P801" s="3">
        <v>3</v>
      </c>
      <c r="Q801" s="3">
        <v>3</v>
      </c>
      <c r="R801" s="3">
        <v>0</v>
      </c>
      <c r="S801" s="3"/>
      <c r="T801" s="3">
        <v>0</v>
      </c>
      <c r="U801" s="3">
        <v>2.2249999999999999E-2</v>
      </c>
      <c r="V801" s="3">
        <v>4.8430000000000001E-2</v>
      </c>
      <c r="W801" s="3">
        <v>0</v>
      </c>
      <c r="X801" s="3"/>
      <c r="AB801" s="3" t="str">
        <f t="shared" si="7"/>
        <v>___</v>
      </c>
      <c r="AC801" s="3" t="str">
        <f t="shared" si="6"/>
        <v>____</v>
      </c>
    </row>
    <row r="802" spans="2:31" ht="12.5">
      <c r="E802" s="3"/>
      <c r="F802" s="3"/>
      <c r="G802" s="3"/>
      <c r="L802" s="3" t="s">
        <v>39</v>
      </c>
      <c r="M802" s="3">
        <v>32</v>
      </c>
      <c r="N802" s="3">
        <v>0</v>
      </c>
      <c r="O802" s="3">
        <v>2</v>
      </c>
      <c r="P802" s="3">
        <v>2</v>
      </c>
      <c r="Q802" s="3">
        <v>2</v>
      </c>
      <c r="R802" s="3">
        <v>0</v>
      </c>
      <c r="S802" s="3"/>
      <c r="T802" s="3">
        <v>0</v>
      </c>
      <c r="U802" s="3">
        <v>2.7310000000000001E-2</v>
      </c>
      <c r="V802" s="3">
        <v>9.6689999999999998E-2</v>
      </c>
      <c r="W802" s="3">
        <v>0</v>
      </c>
      <c r="X802" s="3"/>
      <c r="AB802" s="3" t="str">
        <f t="shared" si="7"/>
        <v>___</v>
      </c>
      <c r="AC802" s="3" t="str">
        <f t="shared" si="6"/>
        <v>____</v>
      </c>
    </row>
    <row r="803" spans="2:31" ht="12.5">
      <c r="B803" s="7" t="s">
        <v>122</v>
      </c>
      <c r="D803" s="3" t="s">
        <v>123</v>
      </c>
      <c r="E803" s="3"/>
      <c r="F803" s="3"/>
      <c r="G803" s="3" t="s">
        <v>40</v>
      </c>
      <c r="H803" s="3">
        <v>4</v>
      </c>
      <c r="I803" s="3">
        <v>18.3</v>
      </c>
      <c r="J803" s="3">
        <v>15.9</v>
      </c>
      <c r="K803" s="3">
        <v>5</v>
      </c>
      <c r="L803" s="3" t="s">
        <v>36</v>
      </c>
      <c r="M803" s="3">
        <v>42</v>
      </c>
      <c r="N803" s="3">
        <v>6</v>
      </c>
      <c r="O803" s="3">
        <v>6</v>
      </c>
      <c r="P803" s="3">
        <v>0</v>
      </c>
      <c r="Q803" s="3">
        <v>0</v>
      </c>
      <c r="R803" s="3">
        <v>1</v>
      </c>
      <c r="S803" s="3"/>
      <c r="T803" s="3">
        <v>2.9919999999999999E-2</v>
      </c>
      <c r="U803" s="3">
        <v>1.474E-2</v>
      </c>
      <c r="V803" s="3">
        <v>0</v>
      </c>
      <c r="W803" s="3">
        <v>1.336E-2</v>
      </c>
      <c r="X803" s="3"/>
      <c r="AB803" s="3" t="str">
        <f t="shared" si="7"/>
        <v>KIL___vm</v>
      </c>
      <c r="AC803" s="3" t="str">
        <f t="shared" si="6"/>
        <v>KIL___vm_4</v>
      </c>
      <c r="AE803" s="3" t="s">
        <v>37</v>
      </c>
    </row>
    <row r="804" spans="2:31" ht="12.5">
      <c r="E804" s="3"/>
      <c r="F804" s="3"/>
      <c r="G804" s="3"/>
      <c r="L804" s="3" t="s">
        <v>38</v>
      </c>
      <c r="M804" s="3">
        <v>56</v>
      </c>
      <c r="N804" s="3">
        <v>0</v>
      </c>
      <c r="O804" s="3">
        <v>3</v>
      </c>
      <c r="P804" s="3">
        <v>3</v>
      </c>
      <c r="Q804" s="3">
        <v>2</v>
      </c>
      <c r="R804" s="3">
        <v>0</v>
      </c>
      <c r="S804" s="3"/>
      <c r="T804" s="3">
        <v>0</v>
      </c>
      <c r="U804" s="3">
        <v>7.8750000000000001E-2</v>
      </c>
      <c r="V804" s="3">
        <v>0.14940999999999999</v>
      </c>
      <c r="W804" s="3">
        <v>0</v>
      </c>
      <c r="X804" s="3"/>
      <c r="AB804" s="3" t="str">
        <f t="shared" si="7"/>
        <v>___</v>
      </c>
      <c r="AC804" s="3" t="str">
        <f t="shared" si="6"/>
        <v>____</v>
      </c>
    </row>
    <row r="805" spans="2:31" ht="12.5">
      <c r="E805" s="3"/>
      <c r="F805" s="3"/>
      <c r="G805" s="3"/>
      <c r="L805" s="3" t="s">
        <v>39</v>
      </c>
      <c r="M805" s="3">
        <v>48</v>
      </c>
      <c r="N805" s="3">
        <v>0</v>
      </c>
      <c r="O805" s="3">
        <v>4</v>
      </c>
      <c r="P805" s="3">
        <v>1</v>
      </c>
      <c r="Q805" s="3">
        <v>0</v>
      </c>
      <c r="R805" s="3">
        <v>0</v>
      </c>
      <c r="S805" s="3"/>
      <c r="T805" s="3">
        <v>0</v>
      </c>
      <c r="U805" s="3">
        <v>9.0590000000000004E-2</v>
      </c>
      <c r="V805" s="3">
        <v>0.26907999999999999</v>
      </c>
      <c r="W805" s="3">
        <v>0</v>
      </c>
      <c r="X805" s="3"/>
      <c r="AB805" s="3" t="str">
        <f t="shared" si="7"/>
        <v>___</v>
      </c>
      <c r="AC805" s="3" t="str">
        <f t="shared" si="6"/>
        <v>____</v>
      </c>
    </row>
    <row r="806" spans="2:31" ht="12.5">
      <c r="B806" s="7" t="s">
        <v>122</v>
      </c>
      <c r="D806" s="3" t="s">
        <v>123</v>
      </c>
      <c r="E806" s="3"/>
      <c r="F806" s="3"/>
      <c r="G806" s="3" t="s">
        <v>40</v>
      </c>
      <c r="H806" s="3">
        <v>5</v>
      </c>
      <c r="I806" s="3">
        <v>22.1</v>
      </c>
      <c r="J806" s="3">
        <v>17.3</v>
      </c>
      <c r="K806" s="3">
        <v>3</v>
      </c>
      <c r="L806" s="3" t="s">
        <v>36</v>
      </c>
      <c r="M806" s="3">
        <v>32</v>
      </c>
      <c r="N806" s="3">
        <v>5</v>
      </c>
      <c r="O806" s="3">
        <v>5</v>
      </c>
      <c r="P806" s="3">
        <v>0</v>
      </c>
      <c r="Q806" s="3">
        <v>0</v>
      </c>
      <c r="R806" s="3">
        <v>0</v>
      </c>
      <c r="S806" s="3"/>
      <c r="T806" s="3">
        <v>2.8989999999999998E-2</v>
      </c>
      <c r="U806" s="3">
        <v>1.076E-2</v>
      </c>
      <c r="V806" s="3">
        <v>0</v>
      </c>
      <c r="W806" s="3">
        <v>3.848E-2</v>
      </c>
      <c r="X806" s="3"/>
      <c r="AB806" s="3" t="str">
        <f t="shared" si="7"/>
        <v>KIL___vm</v>
      </c>
      <c r="AC806" s="3" t="str">
        <f t="shared" si="6"/>
        <v>KIL___vm_5</v>
      </c>
      <c r="AE806" s="3" t="s">
        <v>37</v>
      </c>
    </row>
    <row r="807" spans="2:31" ht="12.5">
      <c r="E807" s="3"/>
      <c r="F807" s="3"/>
      <c r="G807" s="3"/>
      <c r="L807" s="3" t="s">
        <v>38</v>
      </c>
      <c r="M807" s="3">
        <v>88</v>
      </c>
      <c r="N807" s="3">
        <v>0</v>
      </c>
      <c r="O807" s="3">
        <v>3</v>
      </c>
      <c r="P807" s="3">
        <v>5</v>
      </c>
      <c r="Q807" s="3">
        <v>4</v>
      </c>
      <c r="R807" s="3">
        <v>0</v>
      </c>
      <c r="S807" s="3"/>
      <c r="T807" s="3">
        <v>0</v>
      </c>
      <c r="U807" s="3">
        <v>7.8750000000000001E-2</v>
      </c>
      <c r="V807" s="3">
        <v>0.14940999999999999</v>
      </c>
      <c r="W807" s="3">
        <v>0</v>
      </c>
      <c r="X807" s="3"/>
      <c r="AB807" s="3" t="str">
        <f t="shared" si="7"/>
        <v>___</v>
      </c>
      <c r="AC807" s="3" t="str">
        <f t="shared" si="6"/>
        <v>____</v>
      </c>
    </row>
    <row r="808" spans="2:31" ht="12.5">
      <c r="E808" s="3"/>
      <c r="F808" s="3"/>
      <c r="G808" s="3"/>
      <c r="L808" s="3" t="s">
        <v>39</v>
      </c>
      <c r="M808" s="3">
        <v>60</v>
      </c>
      <c r="N808" s="3">
        <v>0</v>
      </c>
      <c r="O808" s="3">
        <v>2</v>
      </c>
      <c r="P808" s="3">
        <v>2</v>
      </c>
      <c r="Q808" s="3">
        <v>1</v>
      </c>
      <c r="R808" s="3">
        <v>0</v>
      </c>
      <c r="S808" s="3"/>
      <c r="T808" s="3">
        <v>0</v>
      </c>
      <c r="U808" s="3">
        <v>9.0590000000000004E-2</v>
      </c>
      <c r="V808" s="3">
        <v>0.26907999999999999</v>
      </c>
      <c r="W808" s="3">
        <v>0</v>
      </c>
      <c r="X808" s="3"/>
      <c r="AB808" s="3" t="str">
        <f t="shared" si="7"/>
        <v>___</v>
      </c>
      <c r="AC808" s="3" t="str">
        <f t="shared" si="6"/>
        <v>____</v>
      </c>
    </row>
    <row r="809" spans="2:31" ht="12.5">
      <c r="B809" s="3" t="s">
        <v>122</v>
      </c>
      <c r="D809" s="3" t="s">
        <v>123</v>
      </c>
      <c r="E809" s="3"/>
      <c r="F809" s="3"/>
      <c r="G809" s="3" t="s">
        <v>40</v>
      </c>
      <c r="H809" s="3">
        <v>6</v>
      </c>
      <c r="I809" s="3">
        <v>19.5</v>
      </c>
      <c r="J809" s="3">
        <v>16.5</v>
      </c>
      <c r="K809" s="3">
        <v>3</v>
      </c>
      <c r="L809" s="3" t="s">
        <v>36</v>
      </c>
      <c r="M809" s="3">
        <v>85</v>
      </c>
      <c r="N809" s="3">
        <v>7</v>
      </c>
      <c r="O809" s="3">
        <v>8</v>
      </c>
      <c r="P809" s="3">
        <v>0</v>
      </c>
      <c r="Q809" s="3">
        <v>0</v>
      </c>
      <c r="R809" s="3">
        <v>0</v>
      </c>
      <c r="S809" s="3"/>
      <c r="T809" s="3">
        <v>4.088E-2</v>
      </c>
      <c r="U809" s="3">
        <v>5.1409999999999997E-2</v>
      </c>
      <c r="V809" s="3">
        <v>0</v>
      </c>
      <c r="W809" s="3">
        <v>0</v>
      </c>
      <c r="X809" s="3"/>
      <c r="AB809" s="3" t="str">
        <f t="shared" si="7"/>
        <v>KIL___vm</v>
      </c>
      <c r="AC809" s="3" t="str">
        <f t="shared" si="6"/>
        <v>KIL___vm_6</v>
      </c>
      <c r="AE809" s="3" t="s">
        <v>37</v>
      </c>
    </row>
    <row r="810" spans="2:31" ht="12.5">
      <c r="E810" s="3"/>
      <c r="F810" s="3"/>
      <c r="G810" s="3"/>
      <c r="L810" s="3" t="s">
        <v>38</v>
      </c>
      <c r="M810" s="3">
        <v>62</v>
      </c>
      <c r="N810" s="3">
        <v>0</v>
      </c>
      <c r="O810" s="3">
        <v>7</v>
      </c>
      <c r="P810" s="3">
        <v>0</v>
      </c>
      <c r="Q810" s="3">
        <v>0</v>
      </c>
      <c r="R810" s="3">
        <v>0</v>
      </c>
      <c r="S810" s="3"/>
      <c r="T810" s="3">
        <v>0</v>
      </c>
      <c r="U810" s="3">
        <v>5.6550000000000003E-2</v>
      </c>
      <c r="V810" s="3">
        <v>0</v>
      </c>
      <c r="W810" s="3">
        <v>0</v>
      </c>
      <c r="X810" s="3"/>
      <c r="AB810" s="3" t="str">
        <f t="shared" si="7"/>
        <v>___</v>
      </c>
      <c r="AC810" s="3" t="str">
        <f t="shared" si="6"/>
        <v>____</v>
      </c>
    </row>
    <row r="811" spans="2:31" ht="12.5">
      <c r="E811" s="3"/>
      <c r="F811" s="3"/>
      <c r="G811" s="3"/>
      <c r="L811" s="3" t="s">
        <v>39</v>
      </c>
      <c r="M811" s="3">
        <v>30</v>
      </c>
      <c r="N811" s="3">
        <v>0</v>
      </c>
      <c r="O811" s="3">
        <v>2</v>
      </c>
      <c r="P811" s="3">
        <v>1</v>
      </c>
      <c r="Q811" s="3">
        <v>1</v>
      </c>
      <c r="R811" s="3">
        <v>0</v>
      </c>
      <c r="S811" s="3"/>
      <c r="T811" s="3">
        <v>0</v>
      </c>
      <c r="U811" s="3">
        <v>3.4079999999999999E-2</v>
      </c>
      <c r="V811" s="3">
        <v>0.14219999999999999</v>
      </c>
      <c r="W811" s="3">
        <v>0</v>
      </c>
      <c r="X811" s="3"/>
      <c r="AB811" s="3" t="str">
        <f t="shared" si="7"/>
        <v>___</v>
      </c>
      <c r="AC811" s="3" t="str">
        <f t="shared" si="6"/>
        <v>____</v>
      </c>
    </row>
    <row r="812" spans="2:31" ht="12.5">
      <c r="B812" s="6">
        <v>1358</v>
      </c>
      <c r="C812" s="6">
        <v>33</v>
      </c>
      <c r="E812" s="3"/>
      <c r="F812" s="3"/>
      <c r="G812" s="3" t="s">
        <v>40</v>
      </c>
      <c r="H812" s="3">
        <v>1</v>
      </c>
      <c r="I812" s="3">
        <v>18.899999999999999</v>
      </c>
      <c r="J812" s="3">
        <v>16.600000000000001</v>
      </c>
      <c r="K812" s="3">
        <v>4</v>
      </c>
      <c r="L812" s="3" t="s">
        <v>36</v>
      </c>
      <c r="M812" s="3">
        <v>14</v>
      </c>
      <c r="N812" s="3">
        <v>4</v>
      </c>
      <c r="O812" s="3">
        <v>4</v>
      </c>
      <c r="P812" s="3">
        <v>0</v>
      </c>
      <c r="Q812" s="3">
        <v>0</v>
      </c>
      <c r="R812" s="3">
        <v>0</v>
      </c>
      <c r="S812" s="3"/>
      <c r="T812" s="3">
        <v>7.7200000000000003E-3</v>
      </c>
      <c r="U812" s="3">
        <v>3.16E-3</v>
      </c>
      <c r="V812" s="3">
        <v>0</v>
      </c>
      <c r="W812" s="3">
        <v>0</v>
      </c>
      <c r="X812" s="3"/>
      <c r="AB812" s="3" t="str">
        <f t="shared" si="7"/>
        <v>1358_33__vm</v>
      </c>
      <c r="AC812" s="3" t="str">
        <f t="shared" si="6"/>
        <v>1358_33__vm_1</v>
      </c>
      <c r="AD812" s="3" t="s">
        <v>37</v>
      </c>
      <c r="AE812" s="3" t="s">
        <v>37</v>
      </c>
    </row>
    <row r="813" spans="2:31" ht="12.5">
      <c r="E813" s="3"/>
      <c r="F813" s="3"/>
      <c r="G813" s="3"/>
      <c r="L813" s="3" t="s">
        <v>38</v>
      </c>
      <c r="M813" s="3">
        <v>39</v>
      </c>
      <c r="N813" s="3">
        <v>0</v>
      </c>
      <c r="O813" s="3">
        <v>6</v>
      </c>
      <c r="Q813" s="3">
        <v>3</v>
      </c>
      <c r="R813" s="3">
        <v>0</v>
      </c>
      <c r="S813" s="3"/>
      <c r="T813" s="3">
        <v>0</v>
      </c>
      <c r="U813" s="3">
        <v>2.4729999999999999E-2</v>
      </c>
      <c r="V813" s="3">
        <v>5.5599999999999998E-3</v>
      </c>
      <c r="W813" s="3">
        <v>0</v>
      </c>
      <c r="X813" s="3"/>
      <c r="AB813" s="3" t="str">
        <f t="shared" si="7"/>
        <v>___</v>
      </c>
      <c r="AC813" s="3" t="str">
        <f t="shared" si="6"/>
        <v>____</v>
      </c>
    </row>
    <row r="814" spans="2:31" ht="12.5">
      <c r="E814" s="3"/>
      <c r="F814" s="3"/>
      <c r="G814" s="3"/>
      <c r="L814" s="3" t="s">
        <v>39</v>
      </c>
      <c r="M814" s="3">
        <v>79</v>
      </c>
      <c r="N814" s="3">
        <v>0</v>
      </c>
      <c r="O814" s="3">
        <v>10</v>
      </c>
      <c r="Q814" s="3">
        <v>4</v>
      </c>
      <c r="R814" s="3">
        <v>0</v>
      </c>
      <c r="S814" s="3"/>
      <c r="T814" s="3">
        <v>0</v>
      </c>
      <c r="U814" s="3">
        <v>0.12590999999999999</v>
      </c>
      <c r="V814" s="3">
        <v>0.11829000000000001</v>
      </c>
      <c r="W814" s="3">
        <v>0</v>
      </c>
      <c r="X814" s="3"/>
      <c r="AB814" s="3" t="str">
        <f t="shared" si="7"/>
        <v>___</v>
      </c>
      <c r="AC814" s="3" t="str">
        <f t="shared" si="6"/>
        <v>____</v>
      </c>
    </row>
    <row r="815" spans="2:31" ht="12.5">
      <c r="B815" s="7">
        <v>1358</v>
      </c>
      <c r="C815" s="3">
        <v>33</v>
      </c>
      <c r="E815" s="3"/>
      <c r="F815" s="3"/>
      <c r="G815" s="3" t="s">
        <v>40</v>
      </c>
      <c r="H815" s="3">
        <v>2</v>
      </c>
      <c r="I815" s="3">
        <v>20.8</v>
      </c>
      <c r="J815" s="3">
        <v>20.9</v>
      </c>
      <c r="K815" s="3">
        <v>4</v>
      </c>
      <c r="L815" s="3" t="s">
        <v>36</v>
      </c>
      <c r="M815" s="3">
        <v>74</v>
      </c>
      <c r="N815" s="3">
        <v>8</v>
      </c>
      <c r="O815" s="3">
        <v>8</v>
      </c>
      <c r="Q815" s="3">
        <v>0</v>
      </c>
      <c r="R815" s="3">
        <v>0</v>
      </c>
      <c r="S815" s="3"/>
      <c r="T815" s="3">
        <v>5.7939999999999998E-2</v>
      </c>
      <c r="U815" s="3">
        <v>6.3539999999999999E-2</v>
      </c>
      <c r="V815" s="3">
        <v>0</v>
      </c>
      <c r="W815" s="3">
        <v>0</v>
      </c>
      <c r="X815" s="3"/>
      <c r="AB815" s="3" t="str">
        <f t="shared" si="7"/>
        <v>1358_33__vm</v>
      </c>
      <c r="AC815" s="3" t="str">
        <f t="shared" si="6"/>
        <v>1358_33__vm_2</v>
      </c>
      <c r="AD815" s="3" t="s">
        <v>37</v>
      </c>
      <c r="AE815" s="3" t="s">
        <v>37</v>
      </c>
    </row>
    <row r="816" spans="2:31" ht="12.5">
      <c r="E816" s="3"/>
      <c r="F816" s="3"/>
      <c r="G816" s="3"/>
      <c r="L816" s="3" t="s">
        <v>38</v>
      </c>
      <c r="M816" s="3">
        <v>69</v>
      </c>
      <c r="N816" s="3">
        <v>0</v>
      </c>
      <c r="O816" s="3">
        <v>7</v>
      </c>
      <c r="Q816" s="3">
        <v>4</v>
      </c>
      <c r="R816" s="3">
        <v>0</v>
      </c>
      <c r="S816" s="3"/>
      <c r="T816" s="3">
        <v>0</v>
      </c>
      <c r="U816" s="3">
        <v>9.0700000000000003E-2</v>
      </c>
      <c r="V816" s="3">
        <v>0.13777</v>
      </c>
      <c r="W816" s="3">
        <v>0</v>
      </c>
      <c r="X816" s="3"/>
      <c r="AB816" s="3" t="str">
        <f t="shared" si="7"/>
        <v>___</v>
      </c>
      <c r="AC816" s="3" t="str">
        <f t="shared" si="6"/>
        <v>____</v>
      </c>
    </row>
    <row r="817" spans="2:31" ht="12.5">
      <c r="E817" s="3"/>
      <c r="F817" s="3"/>
      <c r="G817" s="3"/>
      <c r="L817" s="3" t="s">
        <v>39</v>
      </c>
      <c r="M817" s="3">
        <v>52</v>
      </c>
      <c r="N817" s="3">
        <v>0</v>
      </c>
      <c r="O817" s="3">
        <v>6</v>
      </c>
      <c r="Q817" s="3">
        <v>1</v>
      </c>
      <c r="R817" s="3">
        <v>0</v>
      </c>
      <c r="S817" s="3"/>
      <c r="T817" s="3">
        <v>0</v>
      </c>
      <c r="U817" s="3">
        <v>0.10804999999999999</v>
      </c>
      <c r="V817" s="3">
        <v>0.31935000000000002</v>
      </c>
      <c r="W817" s="3">
        <v>0</v>
      </c>
      <c r="X817" s="3"/>
      <c r="AB817" s="3" t="str">
        <f t="shared" si="7"/>
        <v>___</v>
      </c>
      <c r="AC817" s="3" t="str">
        <f t="shared" si="6"/>
        <v>____</v>
      </c>
    </row>
    <row r="818" spans="2:31" ht="12.5">
      <c r="B818" s="7">
        <v>1358</v>
      </c>
      <c r="C818" s="3">
        <v>33</v>
      </c>
      <c r="E818" s="3"/>
      <c r="F818" s="3"/>
      <c r="G818" s="3" t="s">
        <v>40</v>
      </c>
      <c r="H818" s="3">
        <v>3</v>
      </c>
      <c r="I818" s="3">
        <v>19.2</v>
      </c>
      <c r="J818" s="3">
        <v>23.3</v>
      </c>
      <c r="K818" s="3">
        <v>6</v>
      </c>
      <c r="L818" s="3" t="s">
        <v>36</v>
      </c>
      <c r="M818" s="3">
        <v>41</v>
      </c>
      <c r="N818" s="3">
        <v>6</v>
      </c>
      <c r="O818" s="3">
        <v>6</v>
      </c>
      <c r="Q818" s="3">
        <v>0</v>
      </c>
      <c r="R818" s="3">
        <v>0</v>
      </c>
      <c r="S818" s="3"/>
      <c r="T818" s="3">
        <v>3.0669999999999999E-2</v>
      </c>
      <c r="U818" s="3">
        <v>1.874E-2</v>
      </c>
      <c r="V818" s="3">
        <v>0</v>
      </c>
      <c r="W818" s="3">
        <v>0</v>
      </c>
      <c r="X818" s="3"/>
      <c r="AB818" s="3" t="str">
        <f t="shared" si="7"/>
        <v>1358_33__vm</v>
      </c>
      <c r="AC818" s="3" t="str">
        <f t="shared" si="6"/>
        <v>1358_33__vm_3</v>
      </c>
      <c r="AE818" s="3" t="s">
        <v>37</v>
      </c>
    </row>
    <row r="819" spans="2:31" ht="12.5">
      <c r="E819" s="3"/>
      <c r="F819" s="3"/>
      <c r="G819" s="3"/>
      <c r="L819" s="3" t="s">
        <v>38</v>
      </c>
      <c r="M819" s="3">
        <v>78</v>
      </c>
      <c r="N819" s="3">
        <v>0</v>
      </c>
      <c r="O819" s="3">
        <v>7</v>
      </c>
      <c r="Q819" s="3">
        <v>2</v>
      </c>
      <c r="R819" s="3">
        <v>0</v>
      </c>
      <c r="S819" s="3"/>
      <c r="T819" s="3">
        <v>0</v>
      </c>
      <c r="U819" s="3">
        <v>6.2530000000000002E-2</v>
      </c>
      <c r="V819" s="3">
        <v>8.9330000000000007E-2</v>
      </c>
      <c r="W819" s="3">
        <v>0</v>
      </c>
      <c r="X819" s="3"/>
      <c r="AB819" s="3" t="str">
        <f t="shared" si="7"/>
        <v>___</v>
      </c>
      <c r="AC819" s="3" t="str">
        <f t="shared" si="6"/>
        <v>____</v>
      </c>
    </row>
    <row r="820" spans="2:31" ht="12.5">
      <c r="E820" s="3"/>
      <c r="F820" s="3"/>
      <c r="G820" s="3"/>
      <c r="L820" s="3" t="s">
        <v>39</v>
      </c>
      <c r="M820" s="3">
        <v>59</v>
      </c>
      <c r="N820" s="3">
        <v>0</v>
      </c>
      <c r="O820" s="3">
        <v>8</v>
      </c>
      <c r="Q820" s="3">
        <v>3</v>
      </c>
      <c r="R820" s="3">
        <v>0</v>
      </c>
      <c r="S820" s="3"/>
      <c r="T820" s="3">
        <v>0</v>
      </c>
      <c r="U820" s="3">
        <v>0.17219999999999999</v>
      </c>
      <c r="V820" s="3">
        <v>0.32679000000000002</v>
      </c>
      <c r="W820" s="3">
        <v>0</v>
      </c>
      <c r="X820" s="3"/>
      <c r="AB820" s="3" t="str">
        <f t="shared" si="7"/>
        <v>___</v>
      </c>
      <c r="AC820" s="3" t="str">
        <f t="shared" si="6"/>
        <v>____</v>
      </c>
    </row>
    <row r="821" spans="2:31" ht="12.5">
      <c r="B821" s="7">
        <v>1358</v>
      </c>
      <c r="C821" s="3">
        <v>33</v>
      </c>
      <c r="E821" s="3"/>
      <c r="F821" s="3"/>
      <c r="G821" s="3" t="s">
        <v>35</v>
      </c>
      <c r="H821" s="3">
        <v>1</v>
      </c>
      <c r="I821" s="3">
        <v>10.6</v>
      </c>
      <c r="J821" s="3">
        <v>12.2</v>
      </c>
      <c r="K821" s="3">
        <v>5</v>
      </c>
      <c r="L821" s="3" t="s">
        <v>36</v>
      </c>
      <c r="M821" s="3">
        <v>5</v>
      </c>
      <c r="N821" s="3">
        <v>2</v>
      </c>
      <c r="O821" s="3">
        <v>3</v>
      </c>
      <c r="Q821" s="3">
        <v>0</v>
      </c>
      <c r="R821" s="3">
        <v>0</v>
      </c>
      <c r="S821" s="3"/>
      <c r="T821" s="3">
        <v>8.5999999999999998E-4</v>
      </c>
      <c r="U821" s="3">
        <v>8.0999999999999996E-4</v>
      </c>
      <c r="V821" s="3">
        <v>0</v>
      </c>
      <c r="W821" s="3">
        <v>0</v>
      </c>
      <c r="X821" s="3"/>
      <c r="AB821" s="3" t="str">
        <f t="shared" si="7"/>
        <v>1358_33__vv</v>
      </c>
      <c r="AC821" s="3" t="str">
        <f t="shared" si="6"/>
        <v>1358_33__vv_1</v>
      </c>
      <c r="AE821" s="3" t="s">
        <v>37</v>
      </c>
    </row>
    <row r="822" spans="2:31" ht="12.5">
      <c r="E822" s="3"/>
      <c r="F822" s="3"/>
      <c r="G822" s="3"/>
      <c r="L822" s="3" t="s">
        <v>38</v>
      </c>
      <c r="M822" s="3">
        <v>26</v>
      </c>
      <c r="N822" s="3">
        <v>7</v>
      </c>
      <c r="O822" s="3">
        <v>10</v>
      </c>
      <c r="Q822" s="3">
        <v>0</v>
      </c>
      <c r="R822" s="3">
        <v>0</v>
      </c>
      <c r="S822" s="3"/>
      <c r="T822" s="3">
        <v>6.4140000000000003E-2</v>
      </c>
      <c r="U822" s="3">
        <v>1.0970000000000001E-2</v>
      </c>
      <c r="V822" s="3">
        <v>0</v>
      </c>
      <c r="W822" s="3">
        <v>0</v>
      </c>
      <c r="X822" s="3"/>
      <c r="AB822" s="3" t="str">
        <f t="shared" si="7"/>
        <v>___</v>
      </c>
      <c r="AC822" s="3" t="str">
        <f t="shared" si="6"/>
        <v>____</v>
      </c>
    </row>
    <row r="823" spans="2:31" ht="12.5">
      <c r="E823" s="3"/>
      <c r="F823" s="3"/>
      <c r="G823" s="3"/>
      <c r="L823" s="3" t="s">
        <v>39</v>
      </c>
      <c r="M823" s="3">
        <v>36</v>
      </c>
      <c r="N823" s="3">
        <v>3</v>
      </c>
      <c r="O823" s="3">
        <v>12</v>
      </c>
      <c r="Q823" s="3">
        <v>1</v>
      </c>
      <c r="R823" s="3">
        <v>0</v>
      </c>
      <c r="S823" s="3"/>
      <c r="T823" s="3">
        <v>3.5139999999999998E-2</v>
      </c>
      <c r="U823" s="3">
        <v>2.232E-2</v>
      </c>
      <c r="V823" s="3">
        <v>1.92E-3</v>
      </c>
      <c r="W823" s="3">
        <v>0</v>
      </c>
      <c r="X823" s="3"/>
      <c r="AB823" s="3" t="str">
        <f t="shared" si="7"/>
        <v>___</v>
      </c>
      <c r="AC823" s="3" t="str">
        <f t="shared" si="6"/>
        <v>____</v>
      </c>
    </row>
    <row r="824" spans="2:31" ht="12.5">
      <c r="B824" s="7">
        <v>1358</v>
      </c>
      <c r="C824" s="3">
        <v>33</v>
      </c>
      <c r="E824" s="3"/>
      <c r="F824" s="3"/>
      <c r="G824" s="3" t="s">
        <v>35</v>
      </c>
      <c r="H824" s="3">
        <v>2</v>
      </c>
      <c r="I824" s="3">
        <v>16.5</v>
      </c>
      <c r="J824" s="3">
        <v>13.6</v>
      </c>
      <c r="K824" s="3">
        <v>4</v>
      </c>
      <c r="L824" s="3" t="s">
        <v>36</v>
      </c>
      <c r="M824" s="3">
        <v>19</v>
      </c>
      <c r="N824" s="3">
        <v>11</v>
      </c>
      <c r="O824" s="3">
        <v>11</v>
      </c>
      <c r="Q824" s="3">
        <v>0</v>
      </c>
      <c r="R824" s="3">
        <v>0</v>
      </c>
      <c r="S824" s="3"/>
      <c r="T824" s="3">
        <v>3.5389999999999998E-2</v>
      </c>
      <c r="U824" s="3">
        <v>4.4099999999999999E-3</v>
      </c>
      <c r="V824" s="3">
        <v>0</v>
      </c>
      <c r="W824" s="3">
        <v>0</v>
      </c>
      <c r="X824" s="3"/>
      <c r="AB824" s="3" t="str">
        <f t="shared" si="7"/>
        <v>1358_33__vv</v>
      </c>
      <c r="AC824" s="3" t="str">
        <f t="shared" si="6"/>
        <v>1358_33__vv_2</v>
      </c>
      <c r="AE824" s="3" t="s">
        <v>37</v>
      </c>
    </row>
    <row r="825" spans="2:31" ht="12.5">
      <c r="E825" s="3"/>
      <c r="F825" s="3"/>
      <c r="G825" s="3"/>
      <c r="L825" s="3" t="s">
        <v>38</v>
      </c>
      <c r="M825" s="3">
        <v>54</v>
      </c>
      <c r="N825" s="3">
        <v>9</v>
      </c>
      <c r="O825" s="3">
        <v>13</v>
      </c>
      <c r="Q825" s="3">
        <v>1</v>
      </c>
      <c r="R825" s="3">
        <v>0</v>
      </c>
      <c r="S825" s="3"/>
      <c r="T825" s="3">
        <v>0.16159000000000001</v>
      </c>
      <c r="U825" s="3">
        <v>4.3229999999999998E-2</v>
      </c>
      <c r="V825" s="3">
        <v>4.4249999999999998E-2</v>
      </c>
      <c r="W825" s="3">
        <v>0</v>
      </c>
      <c r="X825" s="3"/>
      <c r="AB825" s="3" t="str">
        <f t="shared" si="7"/>
        <v>___</v>
      </c>
      <c r="AC825" s="3" t="str">
        <f t="shared" si="6"/>
        <v>____</v>
      </c>
    </row>
    <row r="826" spans="2:31" ht="12.5">
      <c r="E826" s="3"/>
      <c r="F826" s="3"/>
      <c r="G826" s="3"/>
      <c r="L826" s="3" t="s">
        <v>39</v>
      </c>
      <c r="M826" s="3">
        <v>51</v>
      </c>
      <c r="N826" s="3">
        <v>6</v>
      </c>
      <c r="O826" s="3">
        <v>13</v>
      </c>
      <c r="Q826" s="3">
        <v>1</v>
      </c>
      <c r="R826" s="3">
        <v>0</v>
      </c>
      <c r="S826" s="3"/>
      <c r="T826" s="3">
        <v>5.4399999999999997E-2</v>
      </c>
      <c r="U826" s="3">
        <v>5.6239999999999998E-2</v>
      </c>
      <c r="V826" s="3">
        <v>5.9459999999999999E-2</v>
      </c>
      <c r="W826" s="3">
        <v>0</v>
      </c>
      <c r="X826" s="3"/>
      <c r="AB826" s="3" t="str">
        <f t="shared" si="7"/>
        <v>___</v>
      </c>
      <c r="AC826" s="3" t="str">
        <f t="shared" si="6"/>
        <v>____</v>
      </c>
    </row>
    <row r="827" spans="2:31" ht="12.5">
      <c r="B827" s="7">
        <v>1358</v>
      </c>
      <c r="C827" s="3">
        <v>33</v>
      </c>
      <c r="E827" s="3"/>
      <c r="F827" s="3"/>
      <c r="G827" s="3" t="s">
        <v>35</v>
      </c>
      <c r="H827" s="3">
        <v>3</v>
      </c>
      <c r="I827" s="3">
        <v>9.1</v>
      </c>
      <c r="J827" s="3">
        <v>7.2</v>
      </c>
      <c r="K827" s="3">
        <v>1</v>
      </c>
      <c r="L827" s="3" t="s">
        <v>36</v>
      </c>
      <c r="M827" s="3">
        <v>72</v>
      </c>
      <c r="N827" s="3">
        <v>11</v>
      </c>
      <c r="O827" s="3">
        <v>13</v>
      </c>
      <c r="Q827" s="3">
        <v>0</v>
      </c>
      <c r="R827" s="3">
        <v>0</v>
      </c>
      <c r="S827" s="3"/>
      <c r="T827" s="3">
        <v>0.10349999999999999</v>
      </c>
      <c r="U827" s="3">
        <v>3.0450000000000001E-2</v>
      </c>
      <c r="V827" s="3">
        <v>0</v>
      </c>
      <c r="W827" s="3">
        <v>0</v>
      </c>
      <c r="X827" s="3"/>
      <c r="AB827" s="3" t="str">
        <f t="shared" si="7"/>
        <v>1358_33__vv</v>
      </c>
      <c r="AC827" s="3" t="str">
        <f t="shared" si="6"/>
        <v>1358_33__vv_3</v>
      </c>
      <c r="AE827" s="3" t="s">
        <v>37</v>
      </c>
    </row>
    <row r="828" spans="2:31" ht="12.5">
      <c r="E828" s="3"/>
      <c r="F828" s="3"/>
      <c r="G828" s="3"/>
      <c r="L828" s="3" t="s">
        <v>38</v>
      </c>
      <c r="M828" s="3" t="s">
        <v>47</v>
      </c>
      <c r="N828" s="7" t="s">
        <v>47</v>
      </c>
      <c r="O828" s="7" t="s">
        <v>47</v>
      </c>
      <c r="P828" s="7" t="s">
        <v>47</v>
      </c>
      <c r="Q828" s="7" t="s">
        <v>47</v>
      </c>
      <c r="R828" s="7" t="s">
        <v>47</v>
      </c>
      <c r="S828" s="7"/>
      <c r="T828" s="7" t="s">
        <v>47</v>
      </c>
      <c r="U828" s="7" t="s">
        <v>47</v>
      </c>
      <c r="V828" s="7" t="s">
        <v>47</v>
      </c>
      <c r="W828" s="7" t="s">
        <v>47</v>
      </c>
      <c r="X828" s="7"/>
      <c r="AB828" s="3" t="str">
        <f t="shared" si="7"/>
        <v>___</v>
      </c>
      <c r="AC828" s="3" t="str">
        <f t="shared" si="6"/>
        <v>____</v>
      </c>
    </row>
    <row r="829" spans="2:31" ht="12.5">
      <c r="E829" s="3"/>
      <c r="F829" s="3"/>
      <c r="G829" s="3"/>
      <c r="L829" s="3" t="s">
        <v>39</v>
      </c>
      <c r="M829" s="7" t="s">
        <v>47</v>
      </c>
      <c r="N829" s="7" t="s">
        <v>47</v>
      </c>
      <c r="O829" s="7" t="s">
        <v>47</v>
      </c>
      <c r="P829" s="7" t="s">
        <v>47</v>
      </c>
      <c r="Q829" s="7" t="s">
        <v>47</v>
      </c>
      <c r="R829" s="7" t="s">
        <v>47</v>
      </c>
      <c r="S829" s="7"/>
      <c r="T829" s="7" t="s">
        <v>47</v>
      </c>
      <c r="U829" s="7" t="s">
        <v>47</v>
      </c>
      <c r="V829" s="7" t="s">
        <v>47</v>
      </c>
      <c r="W829" s="7" t="s">
        <v>47</v>
      </c>
      <c r="X829" s="7"/>
      <c r="AB829" s="3" t="str">
        <f t="shared" si="7"/>
        <v>___</v>
      </c>
      <c r="AC829" s="3" t="str">
        <f t="shared" si="6"/>
        <v>____</v>
      </c>
    </row>
    <row r="830" spans="2:31" ht="12.5">
      <c r="B830" s="7">
        <v>1358</v>
      </c>
      <c r="C830" s="10">
        <v>35</v>
      </c>
      <c r="E830" s="3"/>
      <c r="F830" s="3"/>
      <c r="G830" s="3" t="s">
        <v>40</v>
      </c>
      <c r="H830" s="3">
        <v>1</v>
      </c>
      <c r="I830" s="3">
        <v>27.8</v>
      </c>
      <c r="J830" s="3">
        <v>23.7</v>
      </c>
      <c r="K830" s="3">
        <v>4</v>
      </c>
      <c r="L830" s="3" t="s">
        <v>36</v>
      </c>
      <c r="M830" s="3">
        <v>51</v>
      </c>
      <c r="N830" s="3">
        <v>5</v>
      </c>
      <c r="O830" s="3">
        <v>5</v>
      </c>
      <c r="Q830" s="3">
        <v>0</v>
      </c>
      <c r="R830" s="3">
        <v>0</v>
      </c>
      <c r="S830" s="3"/>
      <c r="T830" s="3">
        <v>4.539E-2</v>
      </c>
      <c r="U830" s="3">
        <v>4.564E-2</v>
      </c>
      <c r="V830" s="3">
        <v>0</v>
      </c>
      <c r="W830" s="3">
        <v>0</v>
      </c>
      <c r="X830" s="3"/>
      <c r="AB830" s="3" t="str">
        <f t="shared" si="7"/>
        <v>1358_35__vm</v>
      </c>
      <c r="AC830" s="3" t="str">
        <f t="shared" si="6"/>
        <v>1358_35__vm_1</v>
      </c>
      <c r="AE830" s="3" t="s">
        <v>37</v>
      </c>
    </row>
    <row r="831" spans="2:31" ht="12.5">
      <c r="E831" s="3"/>
      <c r="F831" s="3"/>
      <c r="G831" s="3"/>
      <c r="L831" s="3" t="s">
        <v>38</v>
      </c>
      <c r="M831" s="3">
        <v>106</v>
      </c>
      <c r="N831" s="3">
        <v>0</v>
      </c>
      <c r="O831" s="3">
        <v>9</v>
      </c>
      <c r="Q831" s="3">
        <v>3</v>
      </c>
      <c r="R831" s="3">
        <v>0</v>
      </c>
      <c r="S831" s="3"/>
      <c r="T831" s="3">
        <v>0</v>
      </c>
      <c r="U831" s="3">
        <v>0.17221</v>
      </c>
      <c r="V831" s="3">
        <v>0.15332999999999999</v>
      </c>
      <c r="W831" s="3">
        <v>0</v>
      </c>
      <c r="X831" s="3"/>
      <c r="AB831" s="3" t="str">
        <f t="shared" si="7"/>
        <v>___</v>
      </c>
      <c r="AC831" s="3" t="str">
        <f t="shared" si="6"/>
        <v>____</v>
      </c>
    </row>
    <row r="832" spans="2:31" ht="12.5">
      <c r="E832" s="3"/>
      <c r="F832" s="3"/>
      <c r="G832" s="3"/>
      <c r="L832" s="3" t="s">
        <v>39</v>
      </c>
      <c r="M832" s="3">
        <v>45</v>
      </c>
      <c r="N832" s="3">
        <v>0</v>
      </c>
      <c r="O832" s="3">
        <v>5</v>
      </c>
      <c r="Q832" s="3">
        <v>2</v>
      </c>
      <c r="R832" s="3">
        <v>0</v>
      </c>
      <c r="S832" s="3"/>
      <c r="T832" s="3">
        <v>0</v>
      </c>
      <c r="U832" s="3">
        <v>0.11837</v>
      </c>
      <c r="V832" s="3">
        <v>0.19033</v>
      </c>
      <c r="W832" s="3">
        <v>0</v>
      </c>
      <c r="X832" s="3"/>
      <c r="AB832" s="3" t="str">
        <f t="shared" si="7"/>
        <v>___</v>
      </c>
      <c r="AC832" s="3" t="str">
        <f t="shared" si="6"/>
        <v>____</v>
      </c>
    </row>
    <row r="833" spans="2:31" ht="12.5">
      <c r="B833" s="7">
        <v>1358</v>
      </c>
      <c r="C833" s="3">
        <v>35</v>
      </c>
      <c r="E833" s="3"/>
      <c r="F833" s="3"/>
      <c r="G833" s="3" t="s">
        <v>40</v>
      </c>
      <c r="H833" s="3">
        <v>2</v>
      </c>
      <c r="I833" s="3">
        <v>23.2</v>
      </c>
      <c r="J833" s="3">
        <v>24.2</v>
      </c>
      <c r="K833" s="3">
        <v>5</v>
      </c>
      <c r="L833" s="3" t="s">
        <v>36</v>
      </c>
      <c r="M833" s="3">
        <v>41</v>
      </c>
      <c r="N833" s="3">
        <v>5</v>
      </c>
      <c r="O833" s="3">
        <v>6</v>
      </c>
      <c r="Q833" s="3">
        <v>0</v>
      </c>
      <c r="R833" s="3">
        <v>0</v>
      </c>
      <c r="S833" s="3"/>
      <c r="T833" s="3">
        <v>3.0120000000000001E-2</v>
      </c>
      <c r="U833" s="3">
        <v>1.7389999999999999E-2</v>
      </c>
      <c r="W833" s="3">
        <v>0</v>
      </c>
      <c r="X833" s="3"/>
      <c r="AB833" s="3" t="str">
        <f t="shared" si="7"/>
        <v>1358_35__vm</v>
      </c>
      <c r="AC833" s="3" t="str">
        <f t="shared" si="6"/>
        <v>1358_35__vm_2</v>
      </c>
      <c r="AE833" s="3" t="s">
        <v>37</v>
      </c>
    </row>
    <row r="834" spans="2:31" ht="12.5">
      <c r="E834" s="3"/>
      <c r="F834" s="3"/>
      <c r="G834" s="3"/>
      <c r="L834" s="3" t="s">
        <v>38</v>
      </c>
      <c r="M834" s="3">
        <v>62</v>
      </c>
      <c r="N834" s="3">
        <v>0</v>
      </c>
      <c r="O834" s="3">
        <v>8</v>
      </c>
      <c r="Q834" s="3">
        <v>3</v>
      </c>
      <c r="R834" s="3">
        <v>0</v>
      </c>
      <c r="S834" s="3"/>
      <c r="T834" s="3">
        <v>0</v>
      </c>
      <c r="U834" s="3">
        <v>4.4080000000000001E-2</v>
      </c>
      <c r="V834" s="3">
        <v>2.785E-2</v>
      </c>
      <c r="W834" s="3">
        <v>0</v>
      </c>
      <c r="X834" s="3"/>
      <c r="AB834" s="3" t="str">
        <f t="shared" si="7"/>
        <v>___</v>
      </c>
      <c r="AC834" s="3" t="str">
        <f t="shared" si="6"/>
        <v>____</v>
      </c>
    </row>
    <row r="835" spans="2:31" ht="12.5">
      <c r="E835" s="3"/>
      <c r="F835" s="3"/>
      <c r="G835" s="3"/>
      <c r="L835" s="3" t="s">
        <v>39</v>
      </c>
      <c r="M835" s="3">
        <v>21</v>
      </c>
      <c r="N835" s="3">
        <v>0</v>
      </c>
      <c r="O835" s="3">
        <v>2</v>
      </c>
      <c r="Q835" s="3">
        <v>1</v>
      </c>
      <c r="R835" s="3">
        <v>0</v>
      </c>
      <c r="S835" s="3"/>
      <c r="T835" s="3">
        <v>0</v>
      </c>
      <c r="U835" s="3">
        <v>2.537E-2</v>
      </c>
      <c r="V835" s="3">
        <v>8.7620000000000003E-2</v>
      </c>
      <c r="W835" s="3">
        <v>0</v>
      </c>
      <c r="X835" s="3"/>
      <c r="AB835" s="3" t="str">
        <f t="shared" si="7"/>
        <v>___</v>
      </c>
      <c r="AC835" s="3" t="str">
        <f t="shared" si="6"/>
        <v>____</v>
      </c>
    </row>
    <row r="836" spans="2:31" ht="12.5">
      <c r="B836" s="7">
        <v>1358</v>
      </c>
      <c r="C836" s="3">
        <v>35</v>
      </c>
      <c r="E836" s="3"/>
      <c r="F836" s="3"/>
      <c r="G836" s="3" t="s">
        <v>40</v>
      </c>
      <c r="H836" s="3">
        <v>3</v>
      </c>
      <c r="I836" s="3">
        <v>17.8</v>
      </c>
      <c r="J836" s="3">
        <v>22.1</v>
      </c>
      <c r="K836" s="3">
        <v>5</v>
      </c>
      <c r="L836" s="3" t="s">
        <v>36</v>
      </c>
      <c r="M836" s="3">
        <v>51</v>
      </c>
      <c r="N836" s="3">
        <v>6</v>
      </c>
      <c r="O836" s="3">
        <v>7</v>
      </c>
      <c r="Q836" s="3">
        <v>0</v>
      </c>
      <c r="R836" s="3">
        <v>0</v>
      </c>
      <c r="S836" s="3"/>
      <c r="T836" s="3">
        <v>2.0449999999999999E-2</v>
      </c>
      <c r="U836" s="3">
        <v>1.6709999999999999E-2</v>
      </c>
      <c r="V836" s="3">
        <v>0</v>
      </c>
      <c r="W836" s="3">
        <v>0</v>
      </c>
      <c r="X836" s="3"/>
      <c r="AB836" s="3" t="str">
        <f t="shared" si="7"/>
        <v>1358_35__vm</v>
      </c>
      <c r="AC836" s="3" t="str">
        <f t="shared" si="6"/>
        <v>1358_35__vm_3</v>
      </c>
      <c r="AE836" s="3" t="s">
        <v>37</v>
      </c>
    </row>
    <row r="837" spans="2:31" ht="12.5">
      <c r="E837" s="3"/>
      <c r="F837" s="3"/>
      <c r="G837" s="3"/>
      <c r="L837" s="3" t="s">
        <v>38</v>
      </c>
      <c r="M837" s="3">
        <v>81</v>
      </c>
      <c r="N837" s="3">
        <v>0</v>
      </c>
      <c r="O837" s="3">
        <v>9</v>
      </c>
      <c r="Q837" s="3">
        <v>2</v>
      </c>
      <c r="R837" s="3">
        <v>0</v>
      </c>
      <c r="S837" s="3"/>
      <c r="T837" s="3">
        <v>0</v>
      </c>
      <c r="U837" s="3">
        <v>6.1600000000000002E-2</v>
      </c>
      <c r="V837" s="3">
        <v>1.3089999999999999E-2</v>
      </c>
      <c r="W837" s="3">
        <v>0</v>
      </c>
      <c r="X837" s="3"/>
      <c r="AB837" s="3" t="str">
        <f t="shared" si="7"/>
        <v>___</v>
      </c>
      <c r="AC837" s="3" t="str">
        <f t="shared" si="6"/>
        <v>____</v>
      </c>
    </row>
    <row r="838" spans="2:31" ht="12.5">
      <c r="E838" s="3"/>
      <c r="F838" s="3"/>
      <c r="G838" s="3"/>
      <c r="L838" s="3" t="s">
        <v>39</v>
      </c>
      <c r="M838" s="3">
        <v>125</v>
      </c>
      <c r="N838" s="3">
        <v>0</v>
      </c>
      <c r="O838" s="3">
        <v>10</v>
      </c>
      <c r="Q838" s="3">
        <v>6</v>
      </c>
      <c r="R838" s="3">
        <v>0</v>
      </c>
      <c r="S838" s="3"/>
      <c r="T838" s="3">
        <v>0</v>
      </c>
      <c r="U838" s="3">
        <v>0.30214999999999997</v>
      </c>
      <c r="V838" s="3">
        <v>0.27059</v>
      </c>
      <c r="W838" s="3">
        <v>0</v>
      </c>
      <c r="X838" s="3"/>
      <c r="AB838" s="3" t="str">
        <f t="shared" si="7"/>
        <v>___</v>
      </c>
      <c r="AC838" s="3" t="str">
        <f t="shared" si="6"/>
        <v>____</v>
      </c>
    </row>
    <row r="839" spans="2:31" ht="12.5">
      <c r="B839" s="7">
        <v>1358</v>
      </c>
      <c r="C839" s="3">
        <v>35</v>
      </c>
      <c r="E839" s="3"/>
      <c r="F839" s="3"/>
      <c r="G839" s="3" t="s">
        <v>35</v>
      </c>
      <c r="H839" s="3">
        <v>1</v>
      </c>
      <c r="I839" s="3">
        <v>6.7</v>
      </c>
      <c r="J839" s="3">
        <v>13.9</v>
      </c>
      <c r="K839" s="3">
        <v>4</v>
      </c>
      <c r="L839" s="3" t="s">
        <v>36</v>
      </c>
      <c r="M839" s="3">
        <v>55</v>
      </c>
      <c r="N839" s="3">
        <v>8</v>
      </c>
      <c r="O839" s="3">
        <v>12</v>
      </c>
      <c r="Q839" s="3">
        <v>0</v>
      </c>
      <c r="R839" s="3">
        <v>0</v>
      </c>
      <c r="S839" s="3"/>
      <c r="T839" s="3">
        <v>0.16799</v>
      </c>
      <c r="U839" s="3">
        <v>2.649E-2</v>
      </c>
      <c r="V839" s="3">
        <v>0</v>
      </c>
      <c r="W839" s="3">
        <v>0</v>
      </c>
      <c r="X839" s="3"/>
      <c r="AB839" s="3" t="str">
        <f t="shared" si="7"/>
        <v>1358_35__vv</v>
      </c>
      <c r="AC839" s="3" t="str">
        <f t="shared" si="6"/>
        <v>1358_35__vv_1</v>
      </c>
      <c r="AE839" s="3" t="s">
        <v>37</v>
      </c>
    </row>
    <row r="840" spans="2:31" ht="12.5">
      <c r="E840" s="3"/>
      <c r="F840" s="3"/>
      <c r="G840" s="3"/>
      <c r="L840" s="3" t="s">
        <v>38</v>
      </c>
      <c r="M840" s="3">
        <v>54</v>
      </c>
      <c r="N840" s="3">
        <v>4</v>
      </c>
      <c r="O840" s="3">
        <v>8</v>
      </c>
      <c r="Q840" s="3">
        <v>1</v>
      </c>
      <c r="R840" s="3">
        <v>0</v>
      </c>
      <c r="S840" s="3"/>
      <c r="T840" s="3">
        <v>9.1249999999999998E-2</v>
      </c>
      <c r="U840" s="3">
        <v>4.0059999999999998E-2</v>
      </c>
      <c r="V840" s="3">
        <v>3.5430000000000003E-2</v>
      </c>
      <c r="W840" s="3">
        <v>0</v>
      </c>
      <c r="X840" s="3"/>
      <c r="AB840" s="3" t="str">
        <f t="shared" si="7"/>
        <v>___</v>
      </c>
      <c r="AC840" s="3" t="str">
        <f t="shared" si="6"/>
        <v>____</v>
      </c>
    </row>
    <row r="841" spans="2:31" ht="12.5">
      <c r="E841" s="3"/>
      <c r="F841" s="3"/>
      <c r="G841" s="3"/>
      <c r="L841" s="3" t="s">
        <v>39</v>
      </c>
      <c r="M841" s="3">
        <v>13</v>
      </c>
      <c r="N841" s="3">
        <v>0</v>
      </c>
      <c r="O841" s="3">
        <v>2</v>
      </c>
      <c r="Q841" s="3">
        <v>0</v>
      </c>
      <c r="R841" s="3">
        <v>0</v>
      </c>
      <c r="S841" s="3"/>
      <c r="T841" s="3">
        <v>0</v>
      </c>
      <c r="U841" s="3">
        <v>1.277E-2</v>
      </c>
      <c r="V841" s="3">
        <v>0</v>
      </c>
      <c r="W841" s="3">
        <v>0</v>
      </c>
      <c r="X841" s="3"/>
      <c r="AB841" s="3" t="str">
        <f t="shared" si="7"/>
        <v>___</v>
      </c>
      <c r="AC841" s="3" t="str">
        <f t="shared" si="6"/>
        <v>____</v>
      </c>
    </row>
    <row r="842" spans="2:31" ht="12.5">
      <c r="B842" s="7">
        <v>1358</v>
      </c>
      <c r="C842" s="3">
        <v>35</v>
      </c>
      <c r="E842" s="3"/>
      <c r="F842" s="3"/>
      <c r="G842" s="3" t="s">
        <v>35</v>
      </c>
      <c r="H842" s="3">
        <v>2</v>
      </c>
      <c r="I842" s="3">
        <v>10.5</v>
      </c>
      <c r="J842" s="3">
        <v>11.9</v>
      </c>
      <c r="K842" s="3">
        <v>4</v>
      </c>
      <c r="L842" s="3" t="s">
        <v>36</v>
      </c>
      <c r="M842" s="3">
        <v>53</v>
      </c>
      <c r="N842" s="3">
        <v>6</v>
      </c>
      <c r="O842" s="3">
        <v>14</v>
      </c>
      <c r="Q842" s="3">
        <v>0</v>
      </c>
      <c r="R842" s="3">
        <v>0</v>
      </c>
      <c r="S842" s="3"/>
      <c r="T842" s="3">
        <v>7.8549999999999995E-2</v>
      </c>
      <c r="U842" s="3">
        <v>2.196E-2</v>
      </c>
      <c r="V842" s="3">
        <v>0</v>
      </c>
      <c r="W842" s="3">
        <v>0</v>
      </c>
      <c r="X842" s="3"/>
      <c r="AB842" s="3" t="str">
        <f t="shared" si="7"/>
        <v>1358_35__vv</v>
      </c>
      <c r="AC842" s="3" t="str">
        <f t="shared" si="6"/>
        <v>1358_35__vv_2</v>
      </c>
      <c r="AE842" s="3" t="s">
        <v>37</v>
      </c>
    </row>
    <row r="843" spans="2:31" ht="12.5">
      <c r="E843" s="3"/>
      <c r="F843" s="3"/>
      <c r="G843" s="3"/>
      <c r="L843" s="3" t="s">
        <v>38</v>
      </c>
      <c r="M843" s="3">
        <v>51</v>
      </c>
      <c r="N843" s="3">
        <v>0</v>
      </c>
      <c r="O843" s="3">
        <v>12</v>
      </c>
      <c r="Q843" s="3">
        <v>2</v>
      </c>
      <c r="R843" s="3">
        <v>0</v>
      </c>
      <c r="S843" s="3"/>
      <c r="T843" s="3">
        <v>0</v>
      </c>
      <c r="U843" s="3">
        <v>3.8609999999999998E-2</v>
      </c>
      <c r="V843" s="3">
        <v>8.3250000000000005E-2</v>
      </c>
      <c r="W843" s="3">
        <v>0</v>
      </c>
      <c r="X843" s="3"/>
      <c r="AB843" s="3" t="str">
        <f t="shared" si="7"/>
        <v>___</v>
      </c>
      <c r="AC843" s="3" t="str">
        <f t="shared" si="6"/>
        <v>____</v>
      </c>
    </row>
    <row r="844" spans="2:31" ht="12.5">
      <c r="E844" s="3"/>
      <c r="F844" s="3"/>
      <c r="G844" s="3"/>
      <c r="L844" s="3" t="s">
        <v>39</v>
      </c>
      <c r="M844" s="3">
        <v>11</v>
      </c>
      <c r="N844" s="3">
        <v>0</v>
      </c>
      <c r="O844" s="3">
        <v>2</v>
      </c>
      <c r="Q844" s="3">
        <v>0</v>
      </c>
      <c r="R844" s="3">
        <v>0</v>
      </c>
      <c r="S844" s="3"/>
      <c r="T844" s="3">
        <v>0</v>
      </c>
      <c r="U844" s="3">
        <v>8.3000000000000001E-4</v>
      </c>
      <c r="V844" s="3">
        <v>0</v>
      </c>
      <c r="W844" s="3">
        <v>0</v>
      </c>
      <c r="X844" s="3"/>
      <c r="AB844" s="3" t="str">
        <f t="shared" si="7"/>
        <v>___</v>
      </c>
      <c r="AC844" s="3" t="str">
        <f t="shared" si="6"/>
        <v>____</v>
      </c>
    </row>
    <row r="845" spans="2:31" ht="12.5">
      <c r="B845" s="3">
        <v>1358</v>
      </c>
      <c r="C845" s="3">
        <v>35</v>
      </c>
      <c r="E845" s="3"/>
      <c r="F845" s="3"/>
      <c r="G845" s="3" t="s">
        <v>35</v>
      </c>
      <c r="H845" s="3">
        <v>3</v>
      </c>
      <c r="I845" s="3">
        <v>13</v>
      </c>
      <c r="J845" s="3">
        <v>10.5</v>
      </c>
      <c r="L845" s="3" t="s">
        <v>36</v>
      </c>
      <c r="Z845" s="3" t="s">
        <v>129</v>
      </c>
      <c r="AB845" s="3" t="str">
        <f t="shared" si="7"/>
        <v>1358_35__vv</v>
      </c>
      <c r="AC845" s="3" t="str">
        <f t="shared" si="6"/>
        <v>1358_35__vv_3</v>
      </c>
    </row>
    <row r="846" spans="2:31" ht="12.5">
      <c r="E846" s="3"/>
      <c r="F846" s="3"/>
      <c r="G846" s="3"/>
      <c r="L846" s="3" t="s">
        <v>38</v>
      </c>
      <c r="AB846" s="3" t="str">
        <f t="shared" si="7"/>
        <v>___</v>
      </c>
      <c r="AC846" s="3" t="str">
        <f t="shared" si="6"/>
        <v>____</v>
      </c>
    </row>
    <row r="847" spans="2:31" ht="12.5">
      <c r="E847" s="3"/>
      <c r="F847" s="3"/>
      <c r="G847" s="3"/>
      <c r="L847" s="3" t="s">
        <v>39</v>
      </c>
      <c r="AB847" s="3" t="str">
        <f t="shared" si="7"/>
        <v>___</v>
      </c>
      <c r="AC847" s="3" t="str">
        <f t="shared" si="6"/>
        <v>____</v>
      </c>
    </row>
    <row r="848" spans="2:31" ht="12.5">
      <c r="B848" s="20">
        <v>897</v>
      </c>
      <c r="C848" s="6">
        <v>31</v>
      </c>
      <c r="E848" s="3"/>
      <c r="F848" s="3"/>
      <c r="G848" s="3" t="s">
        <v>40</v>
      </c>
      <c r="H848" s="3">
        <v>1</v>
      </c>
      <c r="I848" s="3">
        <v>12.3</v>
      </c>
      <c r="J848" s="3">
        <v>15.1</v>
      </c>
      <c r="K848" s="3">
        <v>7</v>
      </c>
      <c r="L848" s="3" t="s">
        <v>36</v>
      </c>
      <c r="M848" s="3">
        <v>8</v>
      </c>
      <c r="N848" s="3">
        <v>3</v>
      </c>
      <c r="O848" s="3">
        <v>3</v>
      </c>
      <c r="Q848" s="3">
        <v>0</v>
      </c>
      <c r="R848" s="3">
        <v>0</v>
      </c>
      <c r="S848" s="3"/>
      <c r="T848" s="3">
        <v>4.7000000000000002E-3</v>
      </c>
      <c r="U848" s="3">
        <v>2.2000000000000001E-3</v>
      </c>
      <c r="V848" s="3">
        <v>0</v>
      </c>
      <c r="W848" s="3">
        <v>0</v>
      </c>
      <c r="X848" s="3"/>
      <c r="AB848" s="3" t="str">
        <f t="shared" si="7"/>
        <v>897_31__vm</v>
      </c>
      <c r="AC848" s="3" t="str">
        <f t="shared" si="6"/>
        <v>897_31__vm_1</v>
      </c>
      <c r="AE848" s="3" t="s">
        <v>37</v>
      </c>
    </row>
    <row r="849" spans="2:31" ht="12.5">
      <c r="B849" s="21"/>
      <c r="E849" s="3"/>
      <c r="F849" s="3"/>
      <c r="G849" s="3"/>
      <c r="L849" s="3" t="s">
        <v>38</v>
      </c>
      <c r="M849" s="3">
        <v>13</v>
      </c>
      <c r="N849" s="3">
        <v>0</v>
      </c>
      <c r="O849" s="3">
        <v>4</v>
      </c>
      <c r="Q849" s="3">
        <v>1</v>
      </c>
      <c r="R849" s="3">
        <v>0</v>
      </c>
      <c r="S849" s="3"/>
      <c r="T849" s="3">
        <v>0</v>
      </c>
      <c r="U849" s="3">
        <v>3.8400000000000001E-3</v>
      </c>
      <c r="V849" s="3">
        <v>4.8500000000000001E-3</v>
      </c>
      <c r="W849" s="3">
        <v>0</v>
      </c>
      <c r="X849" s="3"/>
      <c r="AB849" s="3" t="str">
        <f t="shared" si="7"/>
        <v>___</v>
      </c>
      <c r="AC849" s="3" t="str">
        <f t="shared" si="6"/>
        <v>____</v>
      </c>
    </row>
    <row r="850" spans="2:31" ht="12.5">
      <c r="B850" s="21"/>
      <c r="E850" s="3"/>
      <c r="F850" s="3"/>
      <c r="G850" s="3"/>
      <c r="L850" s="3" t="s">
        <v>39</v>
      </c>
      <c r="M850" s="3">
        <v>27</v>
      </c>
      <c r="N850" s="3">
        <v>0</v>
      </c>
      <c r="O850" s="3">
        <v>6</v>
      </c>
      <c r="Q850" s="3">
        <v>1</v>
      </c>
      <c r="R850" s="3">
        <v>0</v>
      </c>
      <c r="S850" s="3"/>
      <c r="T850" s="3">
        <v>0</v>
      </c>
      <c r="U850" s="3">
        <v>1.3429999999999999E-2</v>
      </c>
      <c r="V850" s="3">
        <v>7.8399999999999997E-3</v>
      </c>
      <c r="W850" s="3">
        <v>0</v>
      </c>
      <c r="X850" s="3"/>
      <c r="AB850" s="3" t="str">
        <f t="shared" si="7"/>
        <v>___</v>
      </c>
      <c r="AC850" s="3" t="str">
        <f t="shared" si="6"/>
        <v>____</v>
      </c>
    </row>
    <row r="851" spans="2:31" ht="12.5">
      <c r="B851" s="20">
        <v>897</v>
      </c>
      <c r="C851" s="3">
        <v>31</v>
      </c>
      <c r="E851" s="3"/>
      <c r="F851" s="3"/>
      <c r="G851" s="3" t="s">
        <v>40</v>
      </c>
      <c r="H851" s="3">
        <v>2</v>
      </c>
      <c r="I851" s="3">
        <v>14.4</v>
      </c>
      <c r="J851" s="3">
        <v>21.5</v>
      </c>
      <c r="K851" s="3">
        <v>7</v>
      </c>
      <c r="L851" s="3" t="s">
        <v>36</v>
      </c>
      <c r="M851" s="3">
        <v>9</v>
      </c>
      <c r="N851" s="3">
        <v>4</v>
      </c>
      <c r="O851" s="3">
        <v>4</v>
      </c>
      <c r="Q851" s="3">
        <v>0</v>
      </c>
      <c r="R851" s="3">
        <v>0</v>
      </c>
      <c r="S851" s="3"/>
      <c r="T851" s="3">
        <v>7.92E-3</v>
      </c>
      <c r="U851" s="3">
        <v>4.5100000000000001E-3</v>
      </c>
      <c r="V851" s="3">
        <v>0</v>
      </c>
      <c r="W851" s="3">
        <v>0</v>
      </c>
      <c r="X851" s="3"/>
      <c r="AB851" s="3" t="str">
        <f t="shared" si="7"/>
        <v>897_31__vm</v>
      </c>
      <c r="AC851" s="3" t="str">
        <f t="shared" si="6"/>
        <v>897_31__vm_2</v>
      </c>
      <c r="AE851" s="3" t="s">
        <v>37</v>
      </c>
    </row>
    <row r="852" spans="2:31" ht="12.5">
      <c r="B852" s="21"/>
      <c r="E852" s="3"/>
      <c r="F852" s="3"/>
      <c r="G852" s="3"/>
      <c r="L852" s="3" t="s">
        <v>38</v>
      </c>
      <c r="M852" s="3">
        <v>23</v>
      </c>
      <c r="N852" s="3">
        <v>0</v>
      </c>
      <c r="O852" s="3">
        <v>6</v>
      </c>
      <c r="Q852" s="3">
        <v>0</v>
      </c>
      <c r="R852" s="3">
        <v>0</v>
      </c>
      <c r="S852" s="3"/>
      <c r="T852" s="3">
        <v>0</v>
      </c>
      <c r="U852" s="3">
        <v>1.1440000000000001E-2</v>
      </c>
      <c r="V852" s="3">
        <v>0</v>
      </c>
      <c r="W852" s="3">
        <v>0</v>
      </c>
      <c r="X852" s="3"/>
      <c r="AB852" s="3" t="str">
        <f t="shared" si="7"/>
        <v>___</v>
      </c>
      <c r="AC852" s="3" t="str">
        <f t="shared" si="6"/>
        <v>____</v>
      </c>
    </row>
    <row r="853" spans="2:31" ht="12.5">
      <c r="B853" s="21"/>
      <c r="E853" s="3"/>
      <c r="F853" s="3"/>
      <c r="G853" s="3"/>
      <c r="L853" s="3" t="s">
        <v>39</v>
      </c>
      <c r="M853" s="3">
        <v>39</v>
      </c>
      <c r="N853" s="3">
        <v>0</v>
      </c>
      <c r="O853" s="3">
        <v>7</v>
      </c>
      <c r="Q853" s="3">
        <v>1</v>
      </c>
      <c r="R853" s="3">
        <v>0</v>
      </c>
      <c r="S853" s="3"/>
      <c r="T853" s="3">
        <v>0</v>
      </c>
      <c r="U853" s="3">
        <v>2.6700000000000002E-2</v>
      </c>
      <c r="V853" s="3">
        <v>1.7340000000000001E-2</v>
      </c>
      <c r="W853" s="3">
        <v>0</v>
      </c>
      <c r="X853" s="3"/>
      <c r="AB853" s="3" t="str">
        <f t="shared" si="7"/>
        <v>___</v>
      </c>
      <c r="AC853" s="3" t="str">
        <f t="shared" si="6"/>
        <v>____</v>
      </c>
    </row>
    <row r="854" spans="2:31" ht="12.5">
      <c r="B854" s="20">
        <v>897</v>
      </c>
      <c r="C854" s="3">
        <v>31</v>
      </c>
      <c r="E854" s="3"/>
      <c r="F854" s="3"/>
      <c r="G854" s="3" t="s">
        <v>40</v>
      </c>
      <c r="H854" s="3">
        <v>3</v>
      </c>
      <c r="I854" s="3">
        <v>13.7</v>
      </c>
      <c r="J854" s="3">
        <v>28.7</v>
      </c>
      <c r="K854" s="3">
        <v>5</v>
      </c>
      <c r="L854" s="3" t="s">
        <v>36</v>
      </c>
      <c r="M854" s="3">
        <v>17</v>
      </c>
      <c r="N854" s="3">
        <v>4</v>
      </c>
      <c r="O854" s="3">
        <v>4</v>
      </c>
      <c r="Q854" s="3">
        <v>0</v>
      </c>
      <c r="R854" s="3">
        <v>1</v>
      </c>
      <c r="S854" s="3"/>
      <c r="T854" s="3">
        <v>1.6119999999999999E-2</v>
      </c>
      <c r="U854" s="3">
        <v>5.8199999999999997E-3</v>
      </c>
      <c r="V854" s="3">
        <v>0</v>
      </c>
      <c r="W854" s="3">
        <v>9.0950000000000003E-2</v>
      </c>
      <c r="X854" s="3"/>
      <c r="Z854" s="3" t="s">
        <v>130</v>
      </c>
      <c r="AB854" s="3" t="str">
        <f t="shared" si="7"/>
        <v>897_31__vm</v>
      </c>
      <c r="AC854" s="3" t="str">
        <f t="shared" si="6"/>
        <v>897_31__vm_3</v>
      </c>
      <c r="AE854" s="3" t="s">
        <v>37</v>
      </c>
    </row>
    <row r="855" spans="2:31" ht="12.5">
      <c r="B855" s="21"/>
      <c r="E855" s="3"/>
      <c r="F855" s="3"/>
      <c r="G855" s="3"/>
      <c r="L855" s="3" t="s">
        <v>38</v>
      </c>
      <c r="M855" s="3">
        <v>39</v>
      </c>
      <c r="N855" s="3">
        <v>0</v>
      </c>
      <c r="O855" s="3">
        <v>6</v>
      </c>
      <c r="Q855" s="3">
        <v>0</v>
      </c>
      <c r="R855" s="3">
        <v>0</v>
      </c>
      <c r="S855" s="3"/>
      <c r="T855" s="3">
        <v>0</v>
      </c>
      <c r="U855" s="3">
        <v>2.4049999999999998E-2</v>
      </c>
      <c r="V855" s="3">
        <v>0</v>
      </c>
      <c r="W855" s="3">
        <v>0</v>
      </c>
      <c r="X855" s="3"/>
      <c r="AB855" s="3" t="str">
        <f t="shared" si="7"/>
        <v>___</v>
      </c>
      <c r="AC855" s="3" t="str">
        <f t="shared" si="6"/>
        <v>____</v>
      </c>
    </row>
    <row r="856" spans="2:31" ht="12.5">
      <c r="B856" s="21"/>
      <c r="E856" s="3"/>
      <c r="F856" s="3"/>
      <c r="G856" s="3"/>
      <c r="L856" s="3" t="s">
        <v>39</v>
      </c>
      <c r="M856" s="3">
        <v>67</v>
      </c>
      <c r="N856" s="3">
        <v>0</v>
      </c>
      <c r="O856" s="3">
        <v>9</v>
      </c>
      <c r="Q856" s="3">
        <v>2</v>
      </c>
      <c r="R856" s="3">
        <v>0</v>
      </c>
      <c r="S856" s="3"/>
      <c r="T856" s="3">
        <v>0</v>
      </c>
      <c r="U856" s="3">
        <v>0.11239</v>
      </c>
      <c r="V856" s="3">
        <v>0.23169999999999999</v>
      </c>
      <c r="W856" s="3">
        <v>0</v>
      </c>
      <c r="X856" s="3"/>
      <c r="AB856" s="3" t="str">
        <f t="shared" si="7"/>
        <v>___</v>
      </c>
      <c r="AC856" s="3" t="str">
        <f t="shared" si="6"/>
        <v>____</v>
      </c>
    </row>
    <row r="857" spans="2:31" ht="12.5">
      <c r="B857" s="20">
        <v>897</v>
      </c>
      <c r="C857" s="3">
        <v>31</v>
      </c>
      <c r="E857" s="3"/>
      <c r="F857" s="3"/>
      <c r="G857" s="3" t="s">
        <v>35</v>
      </c>
      <c r="H857" s="3">
        <v>1</v>
      </c>
      <c r="I857" s="3">
        <v>15.7</v>
      </c>
      <c r="J857" s="3">
        <v>16.399999999999999</v>
      </c>
      <c r="K857" s="3">
        <v>4</v>
      </c>
      <c r="L857" s="3" t="s">
        <v>36</v>
      </c>
      <c r="M857" s="3">
        <v>28</v>
      </c>
      <c r="N857" s="3">
        <v>10</v>
      </c>
      <c r="O857" s="3">
        <v>10</v>
      </c>
      <c r="Q857" s="3">
        <v>0</v>
      </c>
      <c r="R857" s="3">
        <v>0</v>
      </c>
      <c r="S857" s="3"/>
      <c r="T857" s="3">
        <v>6.8309999999999996E-2</v>
      </c>
      <c r="U857" s="3">
        <v>8.9099999999999995E-3</v>
      </c>
      <c r="V857" s="3">
        <v>0</v>
      </c>
      <c r="W857" s="3">
        <v>0</v>
      </c>
      <c r="X857" s="3"/>
      <c r="AB857" s="3" t="str">
        <f t="shared" si="7"/>
        <v>897_31__vv</v>
      </c>
      <c r="AC857" s="3" t="str">
        <f t="shared" si="6"/>
        <v>897_31__vv_1</v>
      </c>
      <c r="AE857" s="3" t="s">
        <v>37</v>
      </c>
    </row>
    <row r="858" spans="2:31" ht="12.5">
      <c r="B858" s="21"/>
      <c r="E858" s="3"/>
      <c r="F858" s="3"/>
      <c r="G858" s="3"/>
      <c r="L858" s="3" t="s">
        <v>38</v>
      </c>
      <c r="M858" s="3">
        <v>53</v>
      </c>
      <c r="N858" s="3">
        <v>13</v>
      </c>
      <c r="O858" s="3">
        <v>20</v>
      </c>
      <c r="Q858" s="3">
        <v>0</v>
      </c>
      <c r="R858" s="3">
        <v>0</v>
      </c>
      <c r="S858" s="3"/>
      <c r="T858" s="3">
        <v>8.3470000000000003E-2</v>
      </c>
      <c r="U858" s="3">
        <v>3.9170000000000003E-2</v>
      </c>
      <c r="V858" s="3">
        <v>0</v>
      </c>
      <c r="W858" s="3">
        <v>0</v>
      </c>
      <c r="X858" s="3"/>
      <c r="AB858" s="3" t="str">
        <f t="shared" si="7"/>
        <v>___</v>
      </c>
      <c r="AC858" s="3" t="str">
        <f t="shared" si="6"/>
        <v>____</v>
      </c>
    </row>
    <row r="859" spans="2:31" ht="12.5">
      <c r="B859" s="21"/>
      <c r="E859" s="3"/>
      <c r="F859" s="3"/>
      <c r="G859" s="3"/>
      <c r="L859" s="3" t="s">
        <v>39</v>
      </c>
      <c r="M859" s="3">
        <v>24</v>
      </c>
      <c r="N859" s="3">
        <v>2</v>
      </c>
      <c r="O859" s="3">
        <v>11</v>
      </c>
      <c r="Q859" s="3">
        <v>0</v>
      </c>
      <c r="R859" s="3">
        <v>0</v>
      </c>
      <c r="S859" s="3"/>
      <c r="T859" s="3">
        <v>1.0670000000000001E-2</v>
      </c>
      <c r="U859" s="3">
        <v>4.2799999999999998E-2</v>
      </c>
      <c r="V859" s="3">
        <v>0</v>
      </c>
      <c r="W859" s="3">
        <v>0</v>
      </c>
      <c r="X859" s="3"/>
      <c r="AB859" s="3" t="str">
        <f t="shared" si="7"/>
        <v>___</v>
      </c>
      <c r="AC859" s="3" t="str">
        <f t="shared" si="6"/>
        <v>____</v>
      </c>
    </row>
    <row r="860" spans="2:31" ht="12.5">
      <c r="B860" s="20">
        <v>897</v>
      </c>
      <c r="C860" s="3">
        <v>31</v>
      </c>
      <c r="E860" s="3"/>
      <c r="F860" s="3"/>
      <c r="G860" s="3" t="s">
        <v>35</v>
      </c>
      <c r="H860" s="3">
        <v>2</v>
      </c>
      <c r="I860" s="3">
        <v>13.1</v>
      </c>
      <c r="J860" s="3">
        <v>13.2</v>
      </c>
      <c r="K860" s="3">
        <v>5</v>
      </c>
      <c r="L860" s="3" t="s">
        <v>36</v>
      </c>
      <c r="M860" s="3">
        <v>22</v>
      </c>
      <c r="N860" s="3">
        <v>9</v>
      </c>
      <c r="O860" s="3">
        <v>10</v>
      </c>
      <c r="Q860" s="3">
        <v>0</v>
      </c>
      <c r="R860" s="3">
        <v>0</v>
      </c>
      <c r="S860" s="3"/>
      <c r="T860" s="3">
        <v>3.7789999999999997E-2</v>
      </c>
      <c r="U860" s="3">
        <v>4.47E-3</v>
      </c>
      <c r="V860" s="3">
        <v>0</v>
      </c>
      <c r="W860" s="3">
        <v>0</v>
      </c>
      <c r="X860" s="3"/>
      <c r="AB860" s="3" t="str">
        <f t="shared" si="7"/>
        <v>897_31__vv</v>
      </c>
      <c r="AC860" s="3" t="str">
        <f t="shared" si="6"/>
        <v>897_31__vv_2</v>
      </c>
      <c r="AE860" s="3" t="s">
        <v>37</v>
      </c>
    </row>
    <row r="861" spans="2:31" ht="12.5">
      <c r="B861" s="21"/>
      <c r="E861" s="3"/>
      <c r="F861" s="3"/>
      <c r="G861" s="3"/>
      <c r="L861" s="3" t="s">
        <v>38</v>
      </c>
      <c r="M861" s="3">
        <v>26</v>
      </c>
      <c r="N861" s="3">
        <v>7</v>
      </c>
      <c r="O861" s="3">
        <v>12</v>
      </c>
      <c r="Q861" s="3">
        <v>0</v>
      </c>
      <c r="R861" s="3">
        <v>0</v>
      </c>
      <c r="S861" s="3"/>
      <c r="T861" s="3">
        <v>3.9300000000000002E-2</v>
      </c>
      <c r="U861" s="3">
        <v>8.8199999999999997E-3</v>
      </c>
      <c r="V861" s="3">
        <v>0</v>
      </c>
      <c r="W861" s="3">
        <v>0</v>
      </c>
      <c r="X861" s="3"/>
      <c r="AB861" s="3" t="str">
        <f t="shared" si="7"/>
        <v>___</v>
      </c>
      <c r="AC861" s="3" t="str">
        <f t="shared" si="6"/>
        <v>____</v>
      </c>
    </row>
    <row r="862" spans="2:31" ht="12.5">
      <c r="B862" s="21"/>
      <c r="E862" s="3"/>
      <c r="F862" s="3"/>
      <c r="G862" s="3"/>
      <c r="L862" s="3" t="s">
        <v>39</v>
      </c>
      <c r="M862" s="3">
        <v>23</v>
      </c>
      <c r="N862" s="3">
        <v>6</v>
      </c>
      <c r="O862" s="3">
        <v>10</v>
      </c>
      <c r="Q862" s="3">
        <v>0</v>
      </c>
      <c r="R862" s="3">
        <v>0</v>
      </c>
      <c r="S862" s="3"/>
      <c r="T862" s="3">
        <v>3.2829999999999998E-2</v>
      </c>
      <c r="U862" s="3">
        <v>1.1469999999999999E-2</v>
      </c>
      <c r="V862" s="3">
        <v>0</v>
      </c>
      <c r="W862" s="3">
        <v>0</v>
      </c>
      <c r="X862" s="3"/>
      <c r="AB862" s="3" t="str">
        <f t="shared" si="7"/>
        <v>___</v>
      </c>
      <c r="AC862" s="3" t="str">
        <f t="shared" si="6"/>
        <v>____</v>
      </c>
    </row>
    <row r="863" spans="2:31" ht="12.5">
      <c r="B863" s="20">
        <v>897</v>
      </c>
      <c r="C863" s="3">
        <v>31</v>
      </c>
      <c r="E863" s="3"/>
      <c r="F863" s="3"/>
      <c r="G863" s="3" t="s">
        <v>35</v>
      </c>
      <c r="H863" s="3">
        <v>3</v>
      </c>
      <c r="I863" s="3">
        <v>13.5</v>
      </c>
      <c r="J863" s="3">
        <v>14.4</v>
      </c>
      <c r="K863" s="3">
        <v>4</v>
      </c>
      <c r="L863" s="3" t="s">
        <v>36</v>
      </c>
      <c r="M863" s="3">
        <v>15</v>
      </c>
      <c r="N863" s="3">
        <v>9</v>
      </c>
      <c r="O863" s="3">
        <v>9</v>
      </c>
      <c r="Q863" s="3">
        <v>0</v>
      </c>
      <c r="R863" s="3">
        <v>0</v>
      </c>
      <c r="S863" s="3"/>
      <c r="T863" s="3">
        <v>3.168E-2</v>
      </c>
      <c r="U863" s="3">
        <v>3.2299999999999998E-3</v>
      </c>
      <c r="V863" s="3">
        <v>0</v>
      </c>
      <c r="W863" s="3">
        <v>0</v>
      </c>
      <c r="X863" s="3"/>
      <c r="AB863" s="3" t="str">
        <f t="shared" si="7"/>
        <v>897_31__vv</v>
      </c>
      <c r="AC863" s="3" t="str">
        <f t="shared" si="6"/>
        <v>897_31__vv_3</v>
      </c>
      <c r="AE863" s="3" t="s">
        <v>37</v>
      </c>
    </row>
    <row r="864" spans="2:31" ht="12.5">
      <c r="B864" s="21"/>
      <c r="E864" s="3"/>
      <c r="F864" s="3"/>
      <c r="G864" s="3"/>
      <c r="L864" s="3" t="s">
        <v>38</v>
      </c>
      <c r="M864" s="3">
        <v>27</v>
      </c>
      <c r="N864" s="3">
        <v>9</v>
      </c>
      <c r="O864" s="3">
        <v>15</v>
      </c>
      <c r="Q864" s="3">
        <v>0</v>
      </c>
      <c r="R864" s="3">
        <v>0</v>
      </c>
      <c r="S864" s="3"/>
      <c r="T864" s="3">
        <v>0.12762999999999999</v>
      </c>
      <c r="U864" s="3">
        <v>1.3299999999999999E-2</v>
      </c>
      <c r="V864" s="3">
        <v>0</v>
      </c>
      <c r="W864" s="3">
        <v>0</v>
      </c>
      <c r="X864" s="3"/>
      <c r="AB864" s="3" t="str">
        <f t="shared" si="7"/>
        <v>___</v>
      </c>
      <c r="AC864" s="3" t="str">
        <f t="shared" si="6"/>
        <v>____</v>
      </c>
    </row>
    <row r="865" spans="2:31" ht="12.5">
      <c r="B865" s="21"/>
      <c r="E865" s="3"/>
      <c r="F865" s="3"/>
      <c r="G865" s="3"/>
      <c r="L865" s="3" t="s">
        <v>39</v>
      </c>
      <c r="M865" s="3">
        <v>24</v>
      </c>
      <c r="N865" s="3">
        <v>3</v>
      </c>
      <c r="O865" s="3">
        <v>11</v>
      </c>
      <c r="Q865" s="3">
        <v>0</v>
      </c>
      <c r="R865" s="3">
        <v>0</v>
      </c>
      <c r="S865" s="3"/>
      <c r="T865" s="3">
        <v>3.2890000000000003E-2</v>
      </c>
      <c r="U865" s="3">
        <v>1.993E-2</v>
      </c>
      <c r="V865" s="3">
        <v>0</v>
      </c>
      <c r="W865" s="3">
        <v>0</v>
      </c>
      <c r="X865" s="3"/>
      <c r="AB865" s="3" t="str">
        <f t="shared" si="7"/>
        <v>___</v>
      </c>
      <c r="AC865" s="3" t="str">
        <f t="shared" si="6"/>
        <v>____</v>
      </c>
    </row>
    <row r="866" spans="2:31" ht="12.5">
      <c r="B866" s="20">
        <v>897</v>
      </c>
      <c r="C866" s="6">
        <v>42</v>
      </c>
      <c r="E866" s="3"/>
      <c r="F866" s="3"/>
      <c r="G866" s="3" t="s">
        <v>40</v>
      </c>
      <c r="H866" s="3">
        <v>1</v>
      </c>
      <c r="I866" s="3">
        <v>13.9</v>
      </c>
      <c r="J866" s="3">
        <v>13.9</v>
      </c>
      <c r="K866" s="3">
        <v>6</v>
      </c>
      <c r="L866" s="3" t="s">
        <v>36</v>
      </c>
      <c r="M866" s="3">
        <v>22</v>
      </c>
      <c r="N866" s="3">
        <v>5</v>
      </c>
      <c r="O866" s="3">
        <v>6</v>
      </c>
      <c r="Q866" s="3">
        <v>0</v>
      </c>
      <c r="R866" s="3">
        <v>0</v>
      </c>
      <c r="S866" s="3"/>
      <c r="T866" s="3">
        <v>8.8599999999999998E-3</v>
      </c>
      <c r="U866" s="3">
        <v>6.3499999999999997E-3</v>
      </c>
      <c r="V866" s="3">
        <v>0</v>
      </c>
      <c r="W866" s="3">
        <v>0</v>
      </c>
      <c r="X866" s="3"/>
      <c r="AB866" s="3" t="str">
        <f t="shared" si="7"/>
        <v>897_42__vm</v>
      </c>
      <c r="AC866" s="3" t="str">
        <f t="shared" si="6"/>
        <v>897_42__vm_1</v>
      </c>
      <c r="AD866" s="3" t="s">
        <v>37</v>
      </c>
      <c r="AE866" s="3" t="s">
        <v>37</v>
      </c>
    </row>
    <row r="867" spans="2:31" ht="12.5">
      <c r="B867" s="21"/>
      <c r="E867" s="3"/>
      <c r="F867" s="3"/>
      <c r="G867" s="3"/>
      <c r="L867" s="3" t="s">
        <v>38</v>
      </c>
      <c r="M867" s="3">
        <v>43</v>
      </c>
      <c r="N867" s="3">
        <v>0</v>
      </c>
      <c r="O867" s="3">
        <v>9</v>
      </c>
      <c r="Q867" s="3">
        <v>2</v>
      </c>
      <c r="R867" s="3">
        <v>0</v>
      </c>
      <c r="S867" s="3"/>
      <c r="T867" s="3">
        <v>0</v>
      </c>
      <c r="U867" s="3">
        <v>2.206E-2</v>
      </c>
      <c r="V867" s="3">
        <v>6.7999999999999996E-3</v>
      </c>
      <c r="W867" s="3">
        <v>0</v>
      </c>
      <c r="X867" s="3"/>
      <c r="AB867" s="3" t="str">
        <f t="shared" si="7"/>
        <v>___</v>
      </c>
      <c r="AC867" s="3" t="str">
        <f t="shared" si="6"/>
        <v>____</v>
      </c>
    </row>
    <row r="868" spans="2:31" ht="12.5">
      <c r="B868" s="21"/>
      <c r="E868" s="3"/>
      <c r="F868" s="3"/>
      <c r="G868" s="3"/>
      <c r="L868" s="3" t="s">
        <v>39</v>
      </c>
      <c r="M868" s="3">
        <v>56</v>
      </c>
      <c r="N868" s="3">
        <v>0</v>
      </c>
      <c r="O868" s="3">
        <v>10</v>
      </c>
      <c r="Q868" s="3">
        <v>1</v>
      </c>
      <c r="R868" s="3">
        <v>0</v>
      </c>
      <c r="S868" s="3"/>
      <c r="T868" s="3">
        <v>0</v>
      </c>
      <c r="U868" s="3">
        <v>4.9529999999999998E-2</v>
      </c>
      <c r="V868" s="3">
        <v>8.1399999999999997E-3</v>
      </c>
      <c r="W868" s="3">
        <v>0</v>
      </c>
      <c r="X868" s="3"/>
      <c r="AB868" s="3" t="str">
        <f t="shared" si="7"/>
        <v>___</v>
      </c>
      <c r="AC868" s="3" t="str">
        <f t="shared" si="6"/>
        <v>____</v>
      </c>
    </row>
    <row r="869" spans="2:31" ht="12.5">
      <c r="B869" s="20">
        <v>897</v>
      </c>
      <c r="C869" s="3">
        <v>42</v>
      </c>
      <c r="E869" s="3"/>
      <c r="F869" s="3"/>
      <c r="G869" s="3" t="s">
        <v>40</v>
      </c>
      <c r="H869" s="3">
        <v>2</v>
      </c>
      <c r="I869" s="3">
        <v>10.5</v>
      </c>
      <c r="J869" s="3">
        <v>10.9</v>
      </c>
      <c r="K869" s="3">
        <v>8</v>
      </c>
      <c r="L869" s="3" t="s">
        <v>36</v>
      </c>
      <c r="M869" s="3">
        <v>2</v>
      </c>
      <c r="N869" s="3">
        <v>1</v>
      </c>
      <c r="O869" s="3">
        <v>1</v>
      </c>
      <c r="Q869" s="3">
        <v>0</v>
      </c>
      <c r="R869" s="3">
        <v>0</v>
      </c>
      <c r="S869" s="3"/>
      <c r="T869" s="3">
        <v>1.92E-3</v>
      </c>
      <c r="V869" s="3">
        <v>0</v>
      </c>
      <c r="W869" s="3">
        <v>0</v>
      </c>
      <c r="X869" s="3"/>
      <c r="Z869" s="3" t="s">
        <v>131</v>
      </c>
      <c r="AB869" s="3" t="str">
        <f t="shared" si="7"/>
        <v>897_42__vm</v>
      </c>
      <c r="AC869" s="3" t="str">
        <f t="shared" si="6"/>
        <v>897_42__vm_2</v>
      </c>
      <c r="AD869" s="3" t="s">
        <v>37</v>
      </c>
      <c r="AE869" s="3" t="s">
        <v>37</v>
      </c>
    </row>
    <row r="870" spans="2:31" ht="12.5">
      <c r="B870" s="21"/>
      <c r="E870" s="3"/>
      <c r="F870" s="3"/>
      <c r="G870" s="3"/>
      <c r="L870" s="3" t="s">
        <v>38</v>
      </c>
      <c r="M870" s="3">
        <v>20</v>
      </c>
      <c r="N870" s="3">
        <v>0</v>
      </c>
      <c r="O870" s="3">
        <v>5</v>
      </c>
      <c r="Q870" s="3">
        <v>2</v>
      </c>
      <c r="R870" s="3">
        <v>0</v>
      </c>
      <c r="S870" s="3"/>
      <c r="T870" s="3">
        <v>0</v>
      </c>
      <c r="U870" s="3">
        <v>6.0600000000000003E-3</v>
      </c>
      <c r="V870" s="3">
        <v>2.6099999999999999E-3</v>
      </c>
      <c r="W870" s="3">
        <v>0</v>
      </c>
      <c r="X870" s="3"/>
      <c r="AB870" s="3" t="str">
        <f t="shared" si="7"/>
        <v>___</v>
      </c>
      <c r="AC870" s="3" t="str">
        <f t="shared" si="6"/>
        <v>____</v>
      </c>
    </row>
    <row r="871" spans="2:31" ht="12.5">
      <c r="B871" s="21"/>
      <c r="E871" s="3"/>
      <c r="F871" s="3"/>
      <c r="G871" s="3"/>
      <c r="L871" s="3" t="s">
        <v>39</v>
      </c>
      <c r="M871" s="3">
        <v>16</v>
      </c>
      <c r="N871" s="3">
        <v>0</v>
      </c>
      <c r="O871" s="3">
        <v>5</v>
      </c>
      <c r="Q871" s="3">
        <v>0</v>
      </c>
      <c r="R871" s="3">
        <v>0</v>
      </c>
      <c r="S871" s="3"/>
      <c r="T871" s="3">
        <v>0</v>
      </c>
      <c r="U871" s="3">
        <v>6.2599999999999999E-3</v>
      </c>
      <c r="V871" s="3">
        <v>0</v>
      </c>
      <c r="W871" s="3">
        <v>0</v>
      </c>
      <c r="X871" s="3"/>
      <c r="AB871" s="3" t="str">
        <f t="shared" si="7"/>
        <v>___</v>
      </c>
      <c r="AC871" s="3" t="str">
        <f t="shared" si="6"/>
        <v>____</v>
      </c>
    </row>
    <row r="872" spans="2:31" ht="12.5">
      <c r="B872" s="20">
        <v>897</v>
      </c>
      <c r="C872" s="3">
        <v>42</v>
      </c>
      <c r="E872" s="3"/>
      <c r="F872" s="3"/>
      <c r="G872" s="3" t="s">
        <v>40</v>
      </c>
      <c r="H872" s="3">
        <v>3</v>
      </c>
      <c r="I872" s="3">
        <v>13.1</v>
      </c>
      <c r="J872" s="3">
        <v>12.7</v>
      </c>
      <c r="K872" s="3">
        <v>4</v>
      </c>
      <c r="L872" s="3" t="s">
        <v>36</v>
      </c>
      <c r="M872" s="3">
        <v>12</v>
      </c>
      <c r="N872" s="3">
        <v>5</v>
      </c>
      <c r="O872" s="3">
        <v>5</v>
      </c>
      <c r="Q872" s="3">
        <v>0</v>
      </c>
      <c r="R872" s="3">
        <v>0</v>
      </c>
      <c r="S872" s="3"/>
      <c r="T872" s="3">
        <v>6.5799999999999999E-3</v>
      </c>
      <c r="U872" s="3">
        <v>2.8800000000000002E-3</v>
      </c>
      <c r="V872" s="3">
        <v>0</v>
      </c>
      <c r="W872" s="3">
        <v>0</v>
      </c>
      <c r="X872" s="3"/>
      <c r="AB872" s="3" t="str">
        <f t="shared" si="7"/>
        <v>897_42__vm</v>
      </c>
      <c r="AC872" s="3" t="str">
        <f t="shared" si="6"/>
        <v>897_42__vm_3</v>
      </c>
      <c r="AD872" s="3" t="s">
        <v>37</v>
      </c>
      <c r="AE872" s="3" t="s">
        <v>37</v>
      </c>
    </row>
    <row r="873" spans="2:31" ht="12.5">
      <c r="B873" s="21"/>
      <c r="E873" s="3"/>
      <c r="F873" s="3"/>
      <c r="G873" s="3"/>
      <c r="L873" s="3" t="s">
        <v>38</v>
      </c>
      <c r="M873" s="3">
        <v>46</v>
      </c>
      <c r="N873" s="3">
        <v>0</v>
      </c>
      <c r="O873" s="3">
        <v>8</v>
      </c>
      <c r="Q873" s="3">
        <v>3</v>
      </c>
      <c r="R873" s="3">
        <v>0</v>
      </c>
      <c r="S873" s="3"/>
      <c r="T873" s="3">
        <v>0</v>
      </c>
      <c r="U873" s="3">
        <v>2.989E-2</v>
      </c>
      <c r="V873" s="3">
        <v>1.4189999999999999E-2</v>
      </c>
      <c r="W873" s="3">
        <v>0</v>
      </c>
      <c r="X873" s="3"/>
      <c r="AB873" s="3" t="str">
        <f t="shared" si="7"/>
        <v>___</v>
      </c>
      <c r="AC873" s="3" t="str">
        <f t="shared" si="6"/>
        <v>____</v>
      </c>
    </row>
    <row r="874" spans="2:31" ht="12.5">
      <c r="B874" s="21"/>
      <c r="E874" s="3"/>
      <c r="F874" s="3"/>
      <c r="G874" s="3"/>
      <c r="L874" s="3" t="s">
        <v>39</v>
      </c>
      <c r="M874" s="3">
        <v>58</v>
      </c>
      <c r="N874" s="3">
        <v>0</v>
      </c>
      <c r="O874" s="3">
        <v>7</v>
      </c>
      <c r="Q874" s="3">
        <v>2</v>
      </c>
      <c r="R874" s="3">
        <v>0</v>
      </c>
      <c r="S874" s="3"/>
      <c r="T874" s="3">
        <v>0</v>
      </c>
      <c r="U874" s="3">
        <v>7.2559999999999999E-2</v>
      </c>
      <c r="V874" s="3">
        <v>8.362E-2</v>
      </c>
      <c r="W874" s="3">
        <v>0</v>
      </c>
      <c r="X874" s="3"/>
      <c r="AB874" s="3" t="str">
        <f t="shared" si="7"/>
        <v>___</v>
      </c>
      <c r="AC874" s="3" t="str">
        <f t="shared" si="6"/>
        <v>____</v>
      </c>
    </row>
    <row r="875" spans="2:31" ht="12.5">
      <c r="B875" s="20">
        <v>897</v>
      </c>
      <c r="C875" s="3">
        <v>42</v>
      </c>
      <c r="E875" s="3"/>
      <c r="F875" s="3"/>
      <c r="G875" s="3" t="s">
        <v>35</v>
      </c>
      <c r="H875" s="3">
        <v>1</v>
      </c>
      <c r="I875" s="3">
        <v>11.1</v>
      </c>
      <c r="J875" s="3">
        <v>13.1</v>
      </c>
      <c r="K875" s="3">
        <v>6</v>
      </c>
      <c r="L875" s="3" t="s">
        <v>36</v>
      </c>
      <c r="M875" s="3">
        <v>18</v>
      </c>
      <c r="N875" s="3">
        <v>10</v>
      </c>
      <c r="O875" s="3">
        <v>11</v>
      </c>
      <c r="Q875" s="3">
        <v>0</v>
      </c>
      <c r="R875" s="3">
        <v>0</v>
      </c>
      <c r="S875" s="3"/>
      <c r="T875" s="3">
        <v>3.1519999999999999E-2</v>
      </c>
      <c r="U875" s="3">
        <v>4.7499999999999999E-3</v>
      </c>
      <c r="V875" s="3">
        <v>0</v>
      </c>
      <c r="W875" s="3">
        <v>0</v>
      </c>
      <c r="X875" s="3"/>
      <c r="AB875" s="3" t="str">
        <f t="shared" si="7"/>
        <v>897_42__vv</v>
      </c>
      <c r="AC875" s="3" t="str">
        <f t="shared" si="6"/>
        <v>897_42__vv_1</v>
      </c>
      <c r="AD875" s="3" t="s">
        <v>37</v>
      </c>
      <c r="AE875" s="3" t="s">
        <v>37</v>
      </c>
    </row>
    <row r="876" spans="2:31" ht="12.5">
      <c r="B876" s="21"/>
      <c r="E876" s="3"/>
      <c r="F876" s="3"/>
      <c r="G876" s="3"/>
      <c r="L876" s="3" t="s">
        <v>38</v>
      </c>
      <c r="M876" s="3">
        <v>18</v>
      </c>
      <c r="N876" s="3">
        <v>7</v>
      </c>
      <c r="O876" s="3">
        <v>10</v>
      </c>
      <c r="Q876" s="3">
        <v>0</v>
      </c>
      <c r="R876" s="3">
        <v>0</v>
      </c>
      <c r="S876" s="3"/>
      <c r="T876" s="3">
        <v>4.4749999999999998E-2</v>
      </c>
      <c r="U876" s="3">
        <v>8.5100000000000002E-3</v>
      </c>
      <c r="V876" s="3">
        <v>0</v>
      </c>
      <c r="W876" s="3">
        <v>0</v>
      </c>
      <c r="X876" s="3"/>
      <c r="AB876" s="3" t="str">
        <f t="shared" si="7"/>
        <v>___</v>
      </c>
      <c r="AC876" s="3" t="str">
        <f t="shared" si="6"/>
        <v>____</v>
      </c>
    </row>
    <row r="877" spans="2:31" ht="12.5">
      <c r="E877" s="3"/>
      <c r="F877" s="3"/>
      <c r="G877" s="3"/>
      <c r="L877" s="3" t="s">
        <v>39</v>
      </c>
      <c r="M877" s="3">
        <v>16</v>
      </c>
      <c r="N877" s="3">
        <v>4</v>
      </c>
      <c r="O877" s="3">
        <v>10</v>
      </c>
      <c r="Q877" s="3">
        <v>0</v>
      </c>
      <c r="R877" s="3">
        <v>0</v>
      </c>
      <c r="S877" s="3"/>
      <c r="T877" s="3">
        <v>3.1E-2</v>
      </c>
      <c r="U877" s="3">
        <v>1.1010000000000001E-2</v>
      </c>
      <c r="V877" s="3">
        <v>0</v>
      </c>
      <c r="W877" s="3">
        <v>0</v>
      </c>
      <c r="X877" s="3"/>
      <c r="AB877" s="3" t="str">
        <f t="shared" si="7"/>
        <v>___</v>
      </c>
      <c r="AC877" s="3" t="str">
        <f t="shared" si="6"/>
        <v>____</v>
      </c>
    </row>
    <row r="878" spans="2:31" ht="12.5">
      <c r="B878" s="20">
        <v>897</v>
      </c>
      <c r="C878" s="3">
        <v>42</v>
      </c>
      <c r="E878" s="3"/>
      <c r="F878" s="3"/>
      <c r="G878" s="3" t="s">
        <v>35</v>
      </c>
      <c r="H878" s="3">
        <v>2</v>
      </c>
      <c r="I878" s="3">
        <v>11</v>
      </c>
      <c r="J878" s="3">
        <v>11.5</v>
      </c>
      <c r="K878" s="3">
        <v>5</v>
      </c>
      <c r="L878" s="3" t="s">
        <v>36</v>
      </c>
      <c r="M878" s="3">
        <v>21</v>
      </c>
      <c r="N878" s="3">
        <v>8</v>
      </c>
      <c r="O878" s="3">
        <v>11</v>
      </c>
      <c r="Q878" s="3">
        <v>0</v>
      </c>
      <c r="R878" s="3">
        <v>0</v>
      </c>
      <c r="S878" s="3"/>
      <c r="T878" s="3">
        <v>1.8239999999999999E-2</v>
      </c>
      <c r="U878" s="3">
        <v>3.8500000000000001E-3</v>
      </c>
      <c r="V878" s="3">
        <v>0</v>
      </c>
      <c r="W878" s="3">
        <v>0</v>
      </c>
      <c r="X878" s="3"/>
      <c r="AB878" s="3" t="str">
        <f t="shared" si="7"/>
        <v>897_42__vv</v>
      </c>
      <c r="AC878" s="3" t="str">
        <f t="shared" si="6"/>
        <v>897_42__vv_2</v>
      </c>
      <c r="AD878" s="3" t="s">
        <v>37</v>
      </c>
      <c r="AE878" s="3" t="s">
        <v>37</v>
      </c>
    </row>
    <row r="879" spans="2:31" ht="12.5">
      <c r="E879" s="3"/>
      <c r="F879" s="3"/>
      <c r="G879" s="3"/>
      <c r="L879" s="3" t="s">
        <v>38</v>
      </c>
      <c r="M879" s="3">
        <v>17</v>
      </c>
      <c r="N879" s="3">
        <v>7</v>
      </c>
      <c r="O879" s="3">
        <v>10</v>
      </c>
      <c r="Q879" s="3">
        <v>0</v>
      </c>
      <c r="R879" s="3">
        <v>0</v>
      </c>
      <c r="S879" s="3"/>
      <c r="T879" s="3">
        <v>1.5820000000000001E-2</v>
      </c>
      <c r="U879" s="3">
        <v>5.4200000000000003E-3</v>
      </c>
      <c r="V879" s="3">
        <v>0</v>
      </c>
      <c r="W879" s="3">
        <v>0</v>
      </c>
      <c r="X879" s="3"/>
      <c r="AB879" s="3" t="str">
        <f t="shared" si="7"/>
        <v>___</v>
      </c>
      <c r="AC879" s="3" t="str">
        <f t="shared" si="6"/>
        <v>____</v>
      </c>
    </row>
    <row r="880" spans="2:31" ht="12.5">
      <c r="E880" s="3"/>
      <c r="F880" s="3"/>
      <c r="G880" s="3"/>
      <c r="L880" s="3" t="s">
        <v>39</v>
      </c>
      <c r="M880" s="3">
        <v>23</v>
      </c>
      <c r="N880" s="3">
        <v>2</v>
      </c>
      <c r="O880" s="3">
        <v>10</v>
      </c>
      <c r="Q880" s="3">
        <v>1</v>
      </c>
      <c r="R880" s="3">
        <v>0</v>
      </c>
      <c r="S880" s="3"/>
      <c r="T880" s="3">
        <v>1.072E-2</v>
      </c>
      <c r="U880" s="3">
        <v>1.4E-2</v>
      </c>
      <c r="V880" s="3">
        <v>4.0620000000000003E-2</v>
      </c>
      <c r="W880" s="3">
        <v>0</v>
      </c>
      <c r="X880" s="3"/>
      <c r="AB880" s="3" t="str">
        <f t="shared" si="7"/>
        <v>___</v>
      </c>
      <c r="AC880" s="3" t="str">
        <f t="shared" si="6"/>
        <v>____</v>
      </c>
    </row>
    <row r="881" spans="2:31" ht="12.5">
      <c r="B881" s="3">
        <v>897</v>
      </c>
      <c r="C881" s="3">
        <v>42</v>
      </c>
      <c r="E881" s="3"/>
      <c r="F881" s="3"/>
      <c r="G881" s="3" t="s">
        <v>35</v>
      </c>
      <c r="H881" s="3">
        <v>3</v>
      </c>
      <c r="I881" s="3">
        <v>13.1</v>
      </c>
      <c r="J881" s="3">
        <v>11.8</v>
      </c>
      <c r="K881" s="3">
        <v>5</v>
      </c>
      <c r="L881" s="3" t="s">
        <v>36</v>
      </c>
      <c r="M881" s="3">
        <v>19</v>
      </c>
      <c r="N881" s="3">
        <v>7</v>
      </c>
      <c r="O881" s="3">
        <v>9</v>
      </c>
      <c r="Q881" s="3">
        <v>0</v>
      </c>
      <c r="R881" s="3">
        <v>0</v>
      </c>
      <c r="S881" s="3"/>
      <c r="T881" s="3">
        <v>4.6800000000000001E-2</v>
      </c>
      <c r="U881" s="3">
        <v>5.1900000000000002E-3</v>
      </c>
      <c r="V881" s="3">
        <v>0</v>
      </c>
      <c r="W881" s="3">
        <v>0</v>
      </c>
      <c r="X881" s="3"/>
      <c r="AB881" s="3" t="str">
        <f t="shared" si="7"/>
        <v>897_42__vv</v>
      </c>
      <c r="AC881" s="3" t="str">
        <f t="shared" si="6"/>
        <v>897_42__vv_3</v>
      </c>
      <c r="AD881" s="3" t="s">
        <v>37</v>
      </c>
      <c r="AE881" s="3" t="s">
        <v>37</v>
      </c>
    </row>
    <row r="882" spans="2:31" ht="12.5">
      <c r="E882" s="3"/>
      <c r="F882" s="3"/>
      <c r="G882" s="3"/>
      <c r="L882" s="3" t="s">
        <v>38</v>
      </c>
      <c r="M882" s="3">
        <v>22</v>
      </c>
      <c r="N882" s="3">
        <v>7</v>
      </c>
      <c r="O882" s="3">
        <v>11</v>
      </c>
      <c r="Q882" s="3">
        <v>1</v>
      </c>
      <c r="R882" s="3">
        <v>0</v>
      </c>
      <c r="S882" s="3"/>
      <c r="T882" s="3">
        <v>6.5809999999999994E-2</v>
      </c>
      <c r="U882" s="3">
        <v>1.5820000000000001E-2</v>
      </c>
      <c r="V882" s="3">
        <v>2.3800000000000002E-2</v>
      </c>
      <c r="W882" s="3">
        <v>0</v>
      </c>
      <c r="X882" s="3"/>
      <c r="AB882" s="3" t="str">
        <f t="shared" si="7"/>
        <v>___</v>
      </c>
      <c r="AC882" s="3" t="str">
        <f t="shared" si="6"/>
        <v>____</v>
      </c>
    </row>
    <row r="883" spans="2:31" ht="12.5">
      <c r="E883" s="3"/>
      <c r="F883" s="3"/>
      <c r="G883" s="3"/>
      <c r="L883" s="3" t="s">
        <v>39</v>
      </c>
      <c r="M883" s="3">
        <v>9</v>
      </c>
      <c r="N883" s="3">
        <v>0</v>
      </c>
      <c r="O883" s="3">
        <v>3</v>
      </c>
      <c r="Q883" s="3">
        <v>0</v>
      </c>
      <c r="R883" s="3">
        <v>0</v>
      </c>
      <c r="S883" s="3"/>
      <c r="T883" s="3">
        <v>0</v>
      </c>
      <c r="U883" s="3">
        <v>2.3700000000000001E-3</v>
      </c>
      <c r="V883" s="3">
        <v>0</v>
      </c>
      <c r="W883" s="3">
        <v>0</v>
      </c>
      <c r="X883" s="3"/>
      <c r="AB883" s="3" t="str">
        <f t="shared" si="7"/>
        <v>___</v>
      </c>
      <c r="AC883" s="3" t="str">
        <f t="shared" si="6"/>
        <v>____</v>
      </c>
    </row>
    <row r="884" spans="2:31" ht="12.5">
      <c r="B884" s="7">
        <v>794</v>
      </c>
      <c r="C884" s="6">
        <v>62</v>
      </c>
      <c r="E884" s="3"/>
      <c r="F884" s="3"/>
      <c r="G884" s="3" t="s">
        <v>40</v>
      </c>
      <c r="H884" s="3">
        <v>1</v>
      </c>
      <c r="I884" s="3">
        <v>28.3</v>
      </c>
      <c r="J884" s="3">
        <v>35.200000000000003</v>
      </c>
      <c r="K884" s="3">
        <v>3</v>
      </c>
      <c r="L884" s="3" t="s">
        <v>36</v>
      </c>
      <c r="M884" s="3">
        <v>73</v>
      </c>
      <c r="N884" s="3">
        <v>8</v>
      </c>
      <c r="O884" s="3">
        <v>8</v>
      </c>
      <c r="Q884" s="3">
        <v>0</v>
      </c>
      <c r="R884" s="3">
        <v>0</v>
      </c>
      <c r="S884" s="3"/>
      <c r="T884" s="3">
        <v>5.0180000000000002E-2</v>
      </c>
      <c r="U884" s="3">
        <v>5.4609999999999999E-2</v>
      </c>
      <c r="V884" s="3">
        <v>0</v>
      </c>
      <c r="W884" s="3">
        <v>0</v>
      </c>
      <c r="X884" s="3"/>
      <c r="AB884" s="3" t="str">
        <f t="shared" si="7"/>
        <v>794_62__vm</v>
      </c>
      <c r="AC884" s="3" t="str">
        <f t="shared" si="6"/>
        <v>794_62__vm_1</v>
      </c>
      <c r="AE884" s="3" t="s">
        <v>37</v>
      </c>
    </row>
    <row r="885" spans="2:31" ht="12.5">
      <c r="E885" s="3"/>
      <c r="F885" s="3"/>
      <c r="G885" s="3"/>
      <c r="L885" s="3" t="s">
        <v>38</v>
      </c>
      <c r="M885" s="3">
        <v>143</v>
      </c>
      <c r="N885" s="3">
        <v>0</v>
      </c>
      <c r="O885" s="3">
        <v>12</v>
      </c>
      <c r="Q885" s="3">
        <v>4</v>
      </c>
      <c r="R885" s="3">
        <v>0</v>
      </c>
      <c r="S885" s="3"/>
      <c r="T885" s="3">
        <v>0</v>
      </c>
      <c r="U885" s="3">
        <v>0.28219</v>
      </c>
      <c r="V885" s="3">
        <v>0.28842000000000001</v>
      </c>
      <c r="W885" s="3">
        <v>0</v>
      </c>
      <c r="X885" s="3"/>
      <c r="AB885" s="3" t="str">
        <f t="shared" si="7"/>
        <v>___</v>
      </c>
      <c r="AC885" s="3" t="str">
        <f t="shared" si="6"/>
        <v>____</v>
      </c>
    </row>
    <row r="886" spans="2:31" ht="12.5">
      <c r="E886" s="3"/>
      <c r="F886" s="3"/>
      <c r="G886" s="3"/>
      <c r="L886" s="3" t="s">
        <v>39</v>
      </c>
      <c r="M886" s="3">
        <v>129</v>
      </c>
      <c r="N886" s="3">
        <v>0</v>
      </c>
      <c r="O886" s="3">
        <v>15</v>
      </c>
      <c r="Q886" s="3">
        <v>0</v>
      </c>
      <c r="R886" s="3">
        <v>0</v>
      </c>
      <c r="S886" s="3"/>
      <c r="T886" s="3">
        <v>0</v>
      </c>
      <c r="U886" s="3">
        <v>0.32318000000000002</v>
      </c>
      <c r="V886" s="3">
        <v>0</v>
      </c>
      <c r="W886" s="3">
        <v>0</v>
      </c>
      <c r="X886" s="3"/>
      <c r="AB886" s="3" t="str">
        <f t="shared" si="7"/>
        <v>___</v>
      </c>
      <c r="AC886" s="3" t="str">
        <f t="shared" si="6"/>
        <v>____</v>
      </c>
    </row>
    <row r="887" spans="2:31" ht="12.5">
      <c r="B887" s="7">
        <v>794</v>
      </c>
      <c r="C887" s="3">
        <v>62</v>
      </c>
      <c r="E887" s="3"/>
      <c r="F887" s="3"/>
      <c r="G887" s="3" t="s">
        <v>40</v>
      </c>
      <c r="H887" s="3">
        <v>2</v>
      </c>
      <c r="I887" s="3">
        <v>33.5</v>
      </c>
      <c r="J887" s="3">
        <v>31.5</v>
      </c>
      <c r="K887" s="3">
        <v>5</v>
      </c>
      <c r="L887" s="3" t="s">
        <v>36</v>
      </c>
      <c r="M887" s="3">
        <v>31</v>
      </c>
      <c r="N887" s="3">
        <v>5</v>
      </c>
      <c r="O887" s="3">
        <v>5</v>
      </c>
      <c r="Q887" s="3">
        <v>0</v>
      </c>
      <c r="R887" s="3">
        <v>0</v>
      </c>
      <c r="S887" s="3"/>
      <c r="T887" s="3">
        <v>2.3109999999999999E-2</v>
      </c>
      <c r="U887" s="3">
        <v>9.1599999999999997E-3</v>
      </c>
      <c r="V887" s="3">
        <v>0</v>
      </c>
      <c r="W887" s="3">
        <v>0</v>
      </c>
      <c r="X887" s="3"/>
      <c r="AB887" s="3" t="str">
        <f t="shared" si="7"/>
        <v>794_62__vm</v>
      </c>
      <c r="AC887" s="3" t="str">
        <f t="shared" si="6"/>
        <v>794_62__vm_2</v>
      </c>
      <c r="AE887" s="3" t="s">
        <v>37</v>
      </c>
    </row>
    <row r="888" spans="2:31" ht="12.5">
      <c r="E888" s="3"/>
      <c r="F888" s="3"/>
      <c r="G888" s="3"/>
      <c r="L888" s="3" t="s">
        <v>38</v>
      </c>
      <c r="M888" s="3">
        <v>65</v>
      </c>
      <c r="N888" s="3">
        <v>0</v>
      </c>
      <c r="O888" s="3">
        <v>7</v>
      </c>
      <c r="Q888" s="3">
        <v>3</v>
      </c>
      <c r="R888" s="3">
        <v>0</v>
      </c>
      <c r="S888" s="3"/>
      <c r="T888" s="3">
        <v>0</v>
      </c>
      <c r="U888" s="3">
        <v>3.866E-2</v>
      </c>
      <c r="V888" s="3">
        <v>6.3320000000000001E-2</v>
      </c>
      <c r="W888" s="3">
        <v>0</v>
      </c>
      <c r="X888" s="3"/>
      <c r="AB888" s="3" t="str">
        <f t="shared" si="7"/>
        <v>___</v>
      </c>
      <c r="AC888" s="3" t="str">
        <f t="shared" si="6"/>
        <v>____</v>
      </c>
    </row>
    <row r="889" spans="2:31" ht="12.5">
      <c r="E889" s="3"/>
      <c r="F889" s="3"/>
      <c r="G889" s="3"/>
      <c r="L889" s="3" t="s">
        <v>39</v>
      </c>
      <c r="M889" s="3">
        <v>76</v>
      </c>
      <c r="N889" s="3">
        <v>0</v>
      </c>
      <c r="O889" s="3">
        <v>8</v>
      </c>
      <c r="Q889" s="3">
        <v>2</v>
      </c>
      <c r="R889" s="3">
        <v>0</v>
      </c>
      <c r="S889" s="3"/>
      <c r="T889" s="3">
        <v>0</v>
      </c>
      <c r="U889" s="3">
        <v>0.99970000000000003</v>
      </c>
      <c r="V889" s="3">
        <v>0.25186999999999998</v>
      </c>
      <c r="W889" s="3">
        <v>0</v>
      </c>
      <c r="X889" s="3"/>
      <c r="AB889" s="3" t="str">
        <f t="shared" si="7"/>
        <v>___</v>
      </c>
      <c r="AC889" s="3" t="str">
        <f t="shared" si="6"/>
        <v>____</v>
      </c>
    </row>
    <row r="890" spans="2:31" ht="12.5">
      <c r="B890" s="7">
        <v>794</v>
      </c>
      <c r="C890" s="3">
        <v>62</v>
      </c>
      <c r="E890" s="3"/>
      <c r="F890" s="3"/>
      <c r="G890" s="3" t="s">
        <v>40</v>
      </c>
      <c r="H890" s="3">
        <v>3</v>
      </c>
      <c r="I890" s="3">
        <v>30.4</v>
      </c>
      <c r="J890" s="3">
        <v>30.9</v>
      </c>
      <c r="K890" s="3">
        <v>6</v>
      </c>
      <c r="L890" s="3" t="s">
        <v>36</v>
      </c>
      <c r="M890" s="3">
        <v>76</v>
      </c>
      <c r="N890" s="3">
        <v>8</v>
      </c>
      <c r="O890" s="3">
        <v>8</v>
      </c>
      <c r="Q890" s="3">
        <v>0</v>
      </c>
      <c r="R890" s="3">
        <v>0</v>
      </c>
      <c r="S890" s="3"/>
      <c r="T890" s="3">
        <v>7.5600000000000001E-2</v>
      </c>
      <c r="U890" s="3">
        <v>5.1549999999999999E-2</v>
      </c>
      <c r="V890" s="3">
        <v>0</v>
      </c>
      <c r="W890" s="3">
        <v>0</v>
      </c>
      <c r="X890" s="3"/>
      <c r="AB890" s="3" t="str">
        <f t="shared" si="7"/>
        <v>794_62__vm</v>
      </c>
      <c r="AC890" s="3" t="str">
        <f t="shared" si="6"/>
        <v>794_62__vm_3</v>
      </c>
      <c r="AE890" s="3" t="s">
        <v>37</v>
      </c>
    </row>
    <row r="891" spans="2:31" ht="12.5">
      <c r="E891" s="3"/>
      <c r="F891" s="3"/>
      <c r="G891" s="3"/>
      <c r="L891" s="3" t="s">
        <v>38</v>
      </c>
      <c r="M891" s="3">
        <v>87</v>
      </c>
      <c r="N891" s="3">
        <v>0</v>
      </c>
      <c r="O891" s="3">
        <v>8</v>
      </c>
      <c r="Q891" s="3">
        <v>2</v>
      </c>
      <c r="R891" s="3">
        <v>0</v>
      </c>
      <c r="S891" s="3"/>
      <c r="T891" s="3">
        <v>0</v>
      </c>
      <c r="U891" s="3">
        <v>0.13173000000000001</v>
      </c>
      <c r="V891" s="3">
        <v>0.23014000000000001</v>
      </c>
      <c r="W891" s="3">
        <v>0</v>
      </c>
      <c r="X891" s="3"/>
      <c r="AB891" s="3" t="str">
        <f t="shared" si="7"/>
        <v>___</v>
      </c>
      <c r="AC891" s="3" t="str">
        <f t="shared" si="6"/>
        <v>____</v>
      </c>
    </row>
    <row r="892" spans="2:31" ht="12.5">
      <c r="E892" s="3"/>
      <c r="F892" s="3"/>
      <c r="G892" s="3"/>
      <c r="L892" s="3" t="s">
        <v>39</v>
      </c>
      <c r="M892" s="3">
        <v>21</v>
      </c>
      <c r="N892" s="3">
        <v>0</v>
      </c>
      <c r="O892" s="3">
        <v>1</v>
      </c>
      <c r="Q892" s="3">
        <v>0</v>
      </c>
      <c r="R892" s="3">
        <v>0</v>
      </c>
      <c r="S892" s="3"/>
      <c r="T892" s="3">
        <v>0</v>
      </c>
      <c r="U892" s="3">
        <v>4.3839999999999997E-2</v>
      </c>
      <c r="V892" s="3">
        <v>0</v>
      </c>
      <c r="W892" s="3">
        <v>0</v>
      </c>
      <c r="X892" s="3"/>
      <c r="AB892" s="3" t="str">
        <f t="shared" si="7"/>
        <v>___</v>
      </c>
      <c r="AC892" s="3" t="str">
        <f t="shared" si="6"/>
        <v>____</v>
      </c>
    </row>
    <row r="893" spans="2:31" ht="12.5">
      <c r="B893" s="7">
        <v>794</v>
      </c>
      <c r="C893" s="3">
        <v>62</v>
      </c>
      <c r="E893" s="3"/>
      <c r="F893" s="3"/>
      <c r="G893" s="3" t="s">
        <v>35</v>
      </c>
      <c r="H893" s="3">
        <v>1</v>
      </c>
      <c r="I893" s="3">
        <v>32.799999999999997</v>
      </c>
      <c r="J893" s="3">
        <v>39</v>
      </c>
      <c r="K893" s="3">
        <v>4</v>
      </c>
      <c r="L893" s="3" t="s">
        <v>36</v>
      </c>
      <c r="M893" s="3">
        <v>87</v>
      </c>
      <c r="N893" s="3">
        <v>15</v>
      </c>
      <c r="O893" s="3">
        <v>19</v>
      </c>
      <c r="Q893" s="3">
        <v>0</v>
      </c>
      <c r="R893" s="3">
        <v>0</v>
      </c>
      <c r="S893" s="3"/>
      <c r="T893" s="3">
        <v>0.36082999999999998</v>
      </c>
      <c r="U893" s="3">
        <v>7.3270000000000002E-2</v>
      </c>
      <c r="V893" s="3">
        <v>0</v>
      </c>
      <c r="W893" s="3">
        <v>0</v>
      </c>
      <c r="X893" s="3"/>
      <c r="AB893" s="3" t="str">
        <f t="shared" si="7"/>
        <v>794_62__vv</v>
      </c>
      <c r="AC893" s="3" t="str">
        <f t="shared" si="6"/>
        <v>794_62__vv_1</v>
      </c>
      <c r="AE893" s="3" t="s">
        <v>37</v>
      </c>
    </row>
    <row r="894" spans="2:31" ht="12.5">
      <c r="E894" s="3"/>
      <c r="F894" s="3"/>
      <c r="G894" s="3"/>
      <c r="L894" s="3" t="s">
        <v>38</v>
      </c>
      <c r="M894" s="3">
        <v>105</v>
      </c>
      <c r="N894" s="3">
        <v>7</v>
      </c>
      <c r="O894" s="3">
        <v>14</v>
      </c>
      <c r="Q894" s="3">
        <v>0</v>
      </c>
      <c r="R894" s="3">
        <v>0</v>
      </c>
      <c r="S894" s="3"/>
      <c r="T894" s="3">
        <v>0.21515999999999999</v>
      </c>
      <c r="U894" s="3">
        <v>0.15276999999999999</v>
      </c>
      <c r="V894" s="3">
        <v>0</v>
      </c>
      <c r="W894" s="3">
        <v>0</v>
      </c>
      <c r="X894" s="3"/>
      <c r="AB894" s="3" t="str">
        <f t="shared" si="7"/>
        <v>___</v>
      </c>
      <c r="AC894" s="3" t="str">
        <f t="shared" si="6"/>
        <v>____</v>
      </c>
    </row>
    <row r="895" spans="2:31" ht="12.5">
      <c r="E895" s="3"/>
      <c r="F895" s="3"/>
      <c r="G895" s="3"/>
      <c r="L895" s="3" t="s">
        <v>39</v>
      </c>
      <c r="M895" s="3">
        <v>103</v>
      </c>
      <c r="N895" s="3">
        <v>0</v>
      </c>
      <c r="O895" s="3">
        <v>9</v>
      </c>
      <c r="Q895" s="3">
        <v>0</v>
      </c>
      <c r="R895" s="3">
        <v>0</v>
      </c>
      <c r="S895" s="3"/>
      <c r="T895" s="3">
        <v>0</v>
      </c>
      <c r="U895" s="3">
        <v>0.16306999999999999</v>
      </c>
      <c r="V895" s="3">
        <v>0</v>
      </c>
      <c r="W895" s="3">
        <v>0</v>
      </c>
      <c r="X895" s="3"/>
      <c r="AB895" s="3" t="str">
        <f t="shared" si="7"/>
        <v>___</v>
      </c>
      <c r="AC895" s="3" t="str">
        <f t="shared" si="6"/>
        <v>____</v>
      </c>
    </row>
    <row r="896" spans="2:31" ht="12.5">
      <c r="B896" s="7">
        <v>794</v>
      </c>
      <c r="C896" s="3">
        <v>62</v>
      </c>
      <c r="E896" s="3"/>
      <c r="F896" s="3"/>
      <c r="G896" s="3" t="s">
        <v>35</v>
      </c>
      <c r="H896" s="3">
        <v>2</v>
      </c>
      <c r="I896" s="3">
        <v>27.9</v>
      </c>
      <c r="J896" s="3">
        <v>27.4</v>
      </c>
      <c r="K896" s="3">
        <v>4</v>
      </c>
      <c r="L896" s="3" t="s">
        <v>36</v>
      </c>
      <c r="M896" s="3">
        <v>56</v>
      </c>
      <c r="N896" s="3">
        <v>11</v>
      </c>
      <c r="O896" s="3">
        <v>13</v>
      </c>
      <c r="Q896" s="3">
        <v>0</v>
      </c>
      <c r="R896" s="3">
        <v>0</v>
      </c>
      <c r="S896" s="3"/>
      <c r="T896" s="3">
        <v>0.13005</v>
      </c>
      <c r="U896" s="3">
        <v>2.7869999999999999E-2</v>
      </c>
      <c r="V896" s="3">
        <v>0</v>
      </c>
      <c r="W896" s="3">
        <v>0</v>
      </c>
      <c r="X896" s="3"/>
      <c r="AB896" s="3" t="str">
        <f t="shared" si="7"/>
        <v>794_62__vv</v>
      </c>
      <c r="AC896" s="3" t="str">
        <f t="shared" si="6"/>
        <v>794_62__vv_2</v>
      </c>
      <c r="AE896" s="3" t="s">
        <v>37</v>
      </c>
    </row>
    <row r="897" spans="2:31" ht="12.5">
      <c r="E897" s="3"/>
      <c r="F897" s="3"/>
      <c r="G897" s="3"/>
      <c r="L897" s="3" t="s">
        <v>38</v>
      </c>
      <c r="M897" s="3">
        <v>94</v>
      </c>
      <c r="N897" s="3">
        <v>8</v>
      </c>
      <c r="O897" s="3">
        <v>29</v>
      </c>
      <c r="Q897" s="3">
        <v>0</v>
      </c>
      <c r="R897" s="3">
        <v>0</v>
      </c>
      <c r="S897" s="3"/>
      <c r="T897" s="3">
        <v>4.4450000000000003E-2</v>
      </c>
      <c r="U897" s="3">
        <v>8.7050000000000002E-2</v>
      </c>
      <c r="V897" s="3">
        <v>0</v>
      </c>
      <c r="W897" s="3">
        <v>0</v>
      </c>
      <c r="X897" s="3"/>
      <c r="AB897" s="3" t="str">
        <f t="shared" si="7"/>
        <v>___</v>
      </c>
      <c r="AC897" s="3" t="str">
        <f t="shared" si="6"/>
        <v>____</v>
      </c>
    </row>
    <row r="898" spans="2:31" ht="12.5">
      <c r="E898" s="3"/>
      <c r="F898" s="3"/>
      <c r="G898" s="3"/>
      <c r="L898" s="3" t="s">
        <v>39</v>
      </c>
      <c r="M898" s="3">
        <v>61</v>
      </c>
      <c r="N898" s="3">
        <v>0</v>
      </c>
      <c r="O898" s="3">
        <v>16</v>
      </c>
      <c r="Q898" s="3">
        <v>0</v>
      </c>
      <c r="R898" s="3">
        <v>0</v>
      </c>
      <c r="S898" s="3"/>
      <c r="T898" s="3">
        <v>0</v>
      </c>
      <c r="U898" s="3">
        <v>7.2370000000000004E-2</v>
      </c>
      <c r="V898" s="3">
        <v>0</v>
      </c>
      <c r="W898" s="3">
        <v>0</v>
      </c>
      <c r="X898" s="3"/>
      <c r="AB898" s="3" t="str">
        <f t="shared" si="7"/>
        <v>___</v>
      </c>
      <c r="AC898" s="3" t="str">
        <f t="shared" si="6"/>
        <v>____</v>
      </c>
    </row>
    <row r="899" spans="2:31" ht="12.5">
      <c r="B899" s="7">
        <v>794</v>
      </c>
      <c r="C899" s="3">
        <v>62</v>
      </c>
      <c r="E899" s="3"/>
      <c r="F899" s="3"/>
      <c r="G899" s="3" t="s">
        <v>35</v>
      </c>
      <c r="H899" s="3">
        <v>3</v>
      </c>
      <c r="I899" s="3">
        <v>19.100000000000001</v>
      </c>
      <c r="J899" s="3">
        <v>27.1</v>
      </c>
      <c r="K899" s="3">
        <v>4</v>
      </c>
      <c r="L899" s="3" t="s">
        <v>36</v>
      </c>
      <c r="M899" s="3">
        <v>61</v>
      </c>
      <c r="N899" s="3">
        <v>13</v>
      </c>
      <c r="O899" s="3">
        <v>17</v>
      </c>
      <c r="Q899" s="3">
        <v>0</v>
      </c>
      <c r="R899" s="3">
        <v>0</v>
      </c>
      <c r="S899" s="3"/>
      <c r="T899" s="3">
        <v>0.17979000000000001</v>
      </c>
      <c r="U899" s="3">
        <v>2.614E-2</v>
      </c>
      <c r="V899" s="3">
        <v>0</v>
      </c>
      <c r="W899" s="3">
        <v>0</v>
      </c>
      <c r="X899" s="3"/>
      <c r="AB899" s="3" t="str">
        <f t="shared" si="7"/>
        <v>794_62__vv</v>
      </c>
      <c r="AC899" s="3" t="str">
        <f t="shared" si="6"/>
        <v>794_62__vv_3</v>
      </c>
      <c r="AE899" s="3" t="s">
        <v>37</v>
      </c>
    </row>
    <row r="900" spans="2:31" ht="12.5">
      <c r="E900" s="3"/>
      <c r="F900" s="3"/>
      <c r="G900" s="3"/>
      <c r="L900" s="3" t="s">
        <v>38</v>
      </c>
      <c r="M900" s="3">
        <v>76</v>
      </c>
      <c r="N900" s="3">
        <v>9</v>
      </c>
      <c r="O900" s="3">
        <v>16</v>
      </c>
      <c r="Q900" s="3">
        <v>0</v>
      </c>
      <c r="R900" s="3">
        <v>0</v>
      </c>
      <c r="S900" s="3"/>
      <c r="T900" s="3">
        <v>0.20330000000000001</v>
      </c>
      <c r="U900" s="3">
        <v>5.6599999999999998E-2</v>
      </c>
      <c r="V900" s="3">
        <v>0</v>
      </c>
      <c r="W900" s="3">
        <v>0</v>
      </c>
      <c r="X900" s="3"/>
      <c r="AB900" s="3" t="str">
        <f t="shared" si="7"/>
        <v>___</v>
      </c>
      <c r="AC900" s="3" t="str">
        <f t="shared" si="6"/>
        <v>____</v>
      </c>
    </row>
    <row r="901" spans="2:31" ht="12.5">
      <c r="E901" s="3"/>
      <c r="F901" s="3"/>
      <c r="G901" s="3"/>
      <c r="L901" s="3" t="s">
        <v>39</v>
      </c>
      <c r="M901" s="3">
        <v>83</v>
      </c>
      <c r="N901" s="3">
        <v>6</v>
      </c>
      <c r="O901" s="3">
        <v>15</v>
      </c>
      <c r="Q901" s="3">
        <v>0</v>
      </c>
      <c r="R901" s="3">
        <v>0</v>
      </c>
      <c r="S901" s="3"/>
      <c r="T901" s="3">
        <v>8.8980000000000004E-2</v>
      </c>
      <c r="U901" s="3">
        <v>8.4150000000000003E-2</v>
      </c>
      <c r="V901" s="3">
        <v>0</v>
      </c>
      <c r="W901" s="3">
        <v>0</v>
      </c>
      <c r="X901" s="3"/>
      <c r="AB901" s="3" t="str">
        <f t="shared" si="7"/>
        <v>___</v>
      </c>
      <c r="AC901" s="3" t="str">
        <f t="shared" si="6"/>
        <v>____</v>
      </c>
    </row>
    <row r="902" spans="2:31" ht="12.5">
      <c r="B902" s="7">
        <v>794</v>
      </c>
      <c r="C902" s="10">
        <v>66</v>
      </c>
      <c r="E902" s="3"/>
      <c r="F902" s="3"/>
      <c r="G902" s="3" t="s">
        <v>40</v>
      </c>
      <c r="H902" s="3">
        <v>1</v>
      </c>
      <c r="I902" s="3">
        <v>20.8</v>
      </c>
      <c r="J902" s="3">
        <v>25.1</v>
      </c>
      <c r="K902" s="3">
        <v>4</v>
      </c>
      <c r="L902" s="3" t="s">
        <v>36</v>
      </c>
      <c r="M902" s="3">
        <v>29</v>
      </c>
      <c r="N902" s="3">
        <v>5</v>
      </c>
      <c r="O902" s="3">
        <v>6</v>
      </c>
      <c r="Q902" s="3">
        <v>0</v>
      </c>
      <c r="R902" s="3">
        <v>0</v>
      </c>
      <c r="S902" s="3"/>
      <c r="T902" s="3">
        <v>2.5690000000000001E-2</v>
      </c>
      <c r="U902" s="3">
        <v>1.328E-2</v>
      </c>
      <c r="V902" s="3">
        <v>0</v>
      </c>
      <c r="W902" s="3">
        <v>0</v>
      </c>
      <c r="X902" s="3"/>
      <c r="AB902" s="3" t="str">
        <f t="shared" si="7"/>
        <v>794_66__vm</v>
      </c>
      <c r="AC902" s="3" t="str">
        <f t="shared" si="6"/>
        <v>794_66__vm_1</v>
      </c>
      <c r="AD902" s="3" t="s">
        <v>37</v>
      </c>
      <c r="AE902" s="3" t="s">
        <v>37</v>
      </c>
    </row>
    <row r="903" spans="2:31" ht="12.5">
      <c r="E903" s="3"/>
      <c r="F903" s="3"/>
      <c r="G903" s="3"/>
      <c r="L903" s="3" t="s">
        <v>38</v>
      </c>
      <c r="M903" s="3">
        <v>88</v>
      </c>
      <c r="N903" s="3">
        <v>0</v>
      </c>
      <c r="O903" s="3">
        <v>8</v>
      </c>
      <c r="Q903" s="3">
        <v>4</v>
      </c>
      <c r="R903" s="3">
        <v>0</v>
      </c>
      <c r="S903" s="3"/>
      <c r="T903" s="3">
        <v>0</v>
      </c>
      <c r="U903" s="3">
        <v>0.11018</v>
      </c>
      <c r="V903" s="3">
        <v>0.17666999999999999</v>
      </c>
      <c r="W903" s="3">
        <v>0</v>
      </c>
      <c r="X903" s="3"/>
      <c r="AB903" s="3" t="str">
        <f t="shared" si="7"/>
        <v>___</v>
      </c>
      <c r="AC903" s="3" t="str">
        <f t="shared" si="6"/>
        <v>____</v>
      </c>
    </row>
    <row r="904" spans="2:31" ht="12.5">
      <c r="E904" s="3"/>
      <c r="F904" s="3"/>
      <c r="G904" s="3"/>
      <c r="L904" s="3" t="s">
        <v>39</v>
      </c>
      <c r="M904" s="3">
        <v>96</v>
      </c>
      <c r="N904" s="3">
        <v>0</v>
      </c>
      <c r="O904" s="3">
        <v>9</v>
      </c>
      <c r="Q904" s="3">
        <v>2</v>
      </c>
      <c r="R904" s="3">
        <v>0</v>
      </c>
      <c r="S904" s="3"/>
      <c r="T904" s="3">
        <v>0</v>
      </c>
      <c r="U904" s="3">
        <v>0.27554000000000001</v>
      </c>
      <c r="V904" s="3">
        <v>0.48691000000000001</v>
      </c>
      <c r="W904" s="3">
        <v>0</v>
      </c>
      <c r="X904" s="3"/>
      <c r="AB904" s="3" t="str">
        <f t="shared" si="7"/>
        <v>___</v>
      </c>
      <c r="AC904" s="3" t="str">
        <f t="shared" si="6"/>
        <v>____</v>
      </c>
    </row>
    <row r="905" spans="2:31" ht="12.5">
      <c r="B905" s="7">
        <v>794</v>
      </c>
      <c r="C905" s="3">
        <v>66</v>
      </c>
      <c r="E905" s="3"/>
      <c r="F905" s="3"/>
      <c r="G905" s="3" t="s">
        <v>40</v>
      </c>
      <c r="H905" s="3">
        <v>2</v>
      </c>
      <c r="I905" s="3">
        <v>22.4</v>
      </c>
      <c r="J905" s="3">
        <v>33.700000000000003</v>
      </c>
      <c r="K905" s="3">
        <v>7</v>
      </c>
      <c r="L905" s="3" t="s">
        <v>36</v>
      </c>
      <c r="M905" s="3">
        <v>46</v>
      </c>
      <c r="N905" s="3">
        <v>7</v>
      </c>
      <c r="O905" s="3">
        <v>7</v>
      </c>
      <c r="Q905" s="3">
        <v>0</v>
      </c>
      <c r="R905" s="3">
        <v>0</v>
      </c>
      <c r="S905" s="3"/>
      <c r="T905" s="3">
        <v>4.2419999999999999E-2</v>
      </c>
      <c r="U905" s="3">
        <v>2.597E-2</v>
      </c>
      <c r="V905" s="3">
        <v>0</v>
      </c>
      <c r="W905" s="3">
        <v>0</v>
      </c>
      <c r="X905" s="3"/>
      <c r="AB905" s="3" t="str">
        <f t="shared" si="7"/>
        <v>794_66__vm</v>
      </c>
      <c r="AC905" s="3" t="str">
        <f t="shared" si="6"/>
        <v>794_66__vm_2</v>
      </c>
      <c r="AD905" s="3" t="s">
        <v>37</v>
      </c>
      <c r="AE905" s="3" t="s">
        <v>37</v>
      </c>
    </row>
    <row r="906" spans="2:31" ht="12.5">
      <c r="E906" s="3"/>
      <c r="F906" s="3"/>
      <c r="G906" s="3"/>
      <c r="L906" s="3" t="s">
        <v>38</v>
      </c>
      <c r="M906" s="3">
        <v>58</v>
      </c>
      <c r="N906" s="3">
        <v>0</v>
      </c>
      <c r="O906" s="3">
        <v>7</v>
      </c>
      <c r="Q906" s="3">
        <v>2</v>
      </c>
      <c r="R906" s="3">
        <v>0</v>
      </c>
      <c r="S906" s="3"/>
      <c r="T906" s="3">
        <v>0</v>
      </c>
      <c r="U906" s="3">
        <v>5.1200000000000002E-2</v>
      </c>
      <c r="V906" s="3">
        <v>7.2289999999999993E-2</v>
      </c>
      <c r="W906" s="3">
        <v>0</v>
      </c>
      <c r="X906" s="3"/>
      <c r="AB906" s="3" t="str">
        <f t="shared" si="7"/>
        <v>___</v>
      </c>
      <c r="AC906" s="3" t="str">
        <f t="shared" si="6"/>
        <v>____</v>
      </c>
    </row>
    <row r="907" spans="2:31" ht="12.5">
      <c r="E907" s="3"/>
      <c r="F907" s="3"/>
      <c r="G907" s="3"/>
      <c r="L907" s="3" t="s">
        <v>39</v>
      </c>
      <c r="M907" s="3">
        <v>81</v>
      </c>
      <c r="N907" s="3">
        <v>0</v>
      </c>
      <c r="O907" s="3">
        <v>9</v>
      </c>
      <c r="Q907" s="3">
        <v>4</v>
      </c>
      <c r="R907" s="3">
        <v>0</v>
      </c>
      <c r="S907" s="3"/>
      <c r="T907" s="3">
        <v>0</v>
      </c>
      <c r="U907" s="3">
        <v>0.20216999999999999</v>
      </c>
      <c r="V907" s="3">
        <v>0.61119000000000001</v>
      </c>
      <c r="W907" s="3">
        <v>0</v>
      </c>
      <c r="X907" s="3"/>
      <c r="AB907" s="3" t="str">
        <f t="shared" si="7"/>
        <v>___</v>
      </c>
      <c r="AC907" s="3" t="str">
        <f t="shared" si="6"/>
        <v>____</v>
      </c>
    </row>
    <row r="908" spans="2:31" ht="12.5">
      <c r="B908" s="7">
        <v>794</v>
      </c>
      <c r="C908" s="3">
        <v>66</v>
      </c>
      <c r="E908" s="3"/>
      <c r="F908" s="3"/>
      <c r="G908" s="3" t="s">
        <v>40</v>
      </c>
      <c r="H908" s="3">
        <v>3</v>
      </c>
      <c r="I908" s="3">
        <v>40.200000000000003</v>
      </c>
      <c r="J908" s="3">
        <v>40.200000000000003</v>
      </c>
      <c r="K908" s="3">
        <v>4</v>
      </c>
      <c r="L908" s="3" t="s">
        <v>36</v>
      </c>
      <c r="M908" s="3">
        <v>44</v>
      </c>
      <c r="N908" s="3">
        <v>6</v>
      </c>
      <c r="O908" s="3">
        <v>6</v>
      </c>
      <c r="Q908" s="3">
        <v>0</v>
      </c>
      <c r="R908" s="3">
        <v>0</v>
      </c>
      <c r="S908" s="3"/>
      <c r="T908" s="3">
        <v>5.697E-2</v>
      </c>
      <c r="U908" s="3">
        <v>3.8780000000000002E-2</v>
      </c>
      <c r="V908" s="3">
        <v>0</v>
      </c>
      <c r="W908" s="3">
        <v>0</v>
      </c>
      <c r="X908" s="3"/>
      <c r="AB908" s="3" t="str">
        <f t="shared" si="7"/>
        <v>794_66__vm</v>
      </c>
      <c r="AC908" s="3" t="str">
        <f t="shared" si="6"/>
        <v>794_66__vm_3</v>
      </c>
      <c r="AD908" s="3" t="s">
        <v>37</v>
      </c>
      <c r="AE908" s="3" t="s">
        <v>37</v>
      </c>
    </row>
    <row r="909" spans="2:31" ht="12.5">
      <c r="E909" s="3"/>
      <c r="F909" s="3"/>
      <c r="G909" s="3"/>
      <c r="L909" s="3" t="s">
        <v>38</v>
      </c>
      <c r="M909" s="3">
        <v>107</v>
      </c>
      <c r="N909" s="3">
        <v>0</v>
      </c>
      <c r="O909" s="3">
        <v>10</v>
      </c>
      <c r="Q909" s="3">
        <v>3</v>
      </c>
      <c r="R909" s="3">
        <v>0</v>
      </c>
      <c r="S909" s="3"/>
      <c r="T909" s="3">
        <v>0</v>
      </c>
      <c r="U909" s="3">
        <v>0.16719000000000001</v>
      </c>
      <c r="V909" s="3">
        <v>0.19606000000000001</v>
      </c>
      <c r="W909" s="3">
        <v>0</v>
      </c>
      <c r="X909" s="3"/>
      <c r="AB909" s="3" t="str">
        <f t="shared" si="7"/>
        <v>___</v>
      </c>
      <c r="AC909" s="3" t="str">
        <f t="shared" si="6"/>
        <v>____</v>
      </c>
    </row>
    <row r="910" spans="2:31" ht="12.5">
      <c r="E910" s="3"/>
      <c r="F910" s="3"/>
      <c r="G910" s="3"/>
      <c r="L910" s="3" t="s">
        <v>39</v>
      </c>
      <c r="M910" s="3">
        <v>126</v>
      </c>
      <c r="N910" s="3">
        <v>0</v>
      </c>
      <c r="O910" s="3">
        <v>10</v>
      </c>
      <c r="Q910" s="3">
        <v>3</v>
      </c>
      <c r="R910" s="3">
        <v>0</v>
      </c>
      <c r="S910" s="3"/>
      <c r="T910" s="3">
        <v>0</v>
      </c>
      <c r="U910" s="3">
        <v>0.52690999999999999</v>
      </c>
      <c r="V910" s="3">
        <v>0.82660999999999996</v>
      </c>
      <c r="W910" s="3">
        <v>0</v>
      </c>
      <c r="X910" s="3"/>
      <c r="AB910" s="3" t="str">
        <f t="shared" si="7"/>
        <v>___</v>
      </c>
      <c r="AC910" s="3" t="str">
        <f t="shared" si="6"/>
        <v>____</v>
      </c>
    </row>
    <row r="911" spans="2:31" ht="12.5">
      <c r="B911" s="7">
        <v>794</v>
      </c>
      <c r="C911" s="3">
        <v>66</v>
      </c>
      <c r="E911" s="3"/>
      <c r="F911" s="3"/>
      <c r="G911" s="3" t="s">
        <v>35</v>
      </c>
      <c r="H911" s="3">
        <v>1</v>
      </c>
      <c r="I911" s="3">
        <v>30.1</v>
      </c>
      <c r="J911" s="3">
        <v>27.9</v>
      </c>
      <c r="K911" s="3">
        <v>4</v>
      </c>
      <c r="L911" s="3" t="s">
        <v>36</v>
      </c>
      <c r="M911" s="3">
        <v>54</v>
      </c>
      <c r="N911" s="3">
        <v>9</v>
      </c>
      <c r="O911" s="3">
        <v>14</v>
      </c>
      <c r="Q911" s="3">
        <v>0</v>
      </c>
      <c r="R911" s="3">
        <v>0</v>
      </c>
      <c r="S911" s="3"/>
      <c r="T911" s="3">
        <v>0.10423</v>
      </c>
      <c r="U911" s="3">
        <v>2.6360000000000001E-2</v>
      </c>
      <c r="V911" s="3">
        <v>0</v>
      </c>
      <c r="W911" s="3">
        <v>0</v>
      </c>
      <c r="X911" s="3"/>
      <c r="AB911" s="3" t="str">
        <f t="shared" si="7"/>
        <v>794_66__vv</v>
      </c>
      <c r="AC911" s="3" t="str">
        <f t="shared" si="6"/>
        <v>794_66__vv_1</v>
      </c>
      <c r="AD911" s="3" t="s">
        <v>37</v>
      </c>
      <c r="AE911" s="3" t="s">
        <v>37</v>
      </c>
    </row>
    <row r="912" spans="2:31" ht="12.5">
      <c r="E912" s="3"/>
      <c r="F912" s="3"/>
      <c r="G912" s="3"/>
      <c r="L912" s="3" t="s">
        <v>38</v>
      </c>
      <c r="M912" s="3">
        <v>87</v>
      </c>
      <c r="N912" s="3">
        <v>11</v>
      </c>
      <c r="O912" s="3">
        <v>20</v>
      </c>
      <c r="Q912" s="3">
        <v>1</v>
      </c>
      <c r="R912" s="3">
        <v>0</v>
      </c>
      <c r="S912" s="3"/>
      <c r="T912" s="3">
        <v>0.31143999999999999</v>
      </c>
      <c r="U912" s="3">
        <v>0.10635</v>
      </c>
      <c r="V912" s="3">
        <v>0.16883000000000001</v>
      </c>
      <c r="W912" s="3">
        <v>0</v>
      </c>
      <c r="X912" s="3"/>
      <c r="AB912" s="3" t="str">
        <f t="shared" si="7"/>
        <v>___</v>
      </c>
      <c r="AC912" s="3" t="str">
        <f t="shared" si="6"/>
        <v>____</v>
      </c>
    </row>
    <row r="913" spans="2:31" ht="12.5">
      <c r="E913" s="3"/>
      <c r="F913" s="3"/>
      <c r="G913" s="3"/>
      <c r="L913" s="3" t="s">
        <v>39</v>
      </c>
      <c r="M913" s="3">
        <v>89</v>
      </c>
      <c r="N913" s="3">
        <v>4</v>
      </c>
      <c r="O913" s="3">
        <v>17</v>
      </c>
      <c r="Q913" s="3">
        <v>0</v>
      </c>
      <c r="R913" s="3">
        <v>0</v>
      </c>
      <c r="S913" s="3"/>
      <c r="T913" s="3">
        <v>0.10854999999999999</v>
      </c>
      <c r="U913" s="3">
        <v>0.14985000000000001</v>
      </c>
      <c r="V913" s="3">
        <v>0</v>
      </c>
      <c r="W913" s="3">
        <v>0</v>
      </c>
      <c r="X913" s="3"/>
      <c r="AB913" s="3" t="str">
        <f t="shared" si="7"/>
        <v>___</v>
      </c>
      <c r="AC913" s="3" t="str">
        <f t="shared" si="6"/>
        <v>____</v>
      </c>
    </row>
    <row r="914" spans="2:31" ht="12.5">
      <c r="B914" s="7">
        <v>794</v>
      </c>
      <c r="C914" s="3">
        <v>66</v>
      </c>
      <c r="E914" s="3"/>
      <c r="F914" s="3"/>
      <c r="G914" s="3" t="s">
        <v>35</v>
      </c>
      <c r="H914" s="3">
        <v>2</v>
      </c>
      <c r="I914" s="3">
        <v>36.700000000000003</v>
      </c>
      <c r="J914" s="3">
        <v>31.3</v>
      </c>
      <c r="K914" s="3">
        <v>4</v>
      </c>
      <c r="L914" s="3" t="s">
        <v>36</v>
      </c>
      <c r="M914" s="3">
        <v>45</v>
      </c>
      <c r="N914" s="3">
        <v>10</v>
      </c>
      <c r="O914" s="3">
        <v>13</v>
      </c>
      <c r="Q914" s="3">
        <v>0</v>
      </c>
      <c r="R914" s="3">
        <v>0</v>
      </c>
      <c r="S914" s="3"/>
      <c r="T914" s="3">
        <v>6.3009999999999997E-2</v>
      </c>
      <c r="U914" s="3">
        <v>1.5709999999999998E-2</v>
      </c>
      <c r="V914" s="3">
        <v>0</v>
      </c>
      <c r="W914" s="3">
        <v>0</v>
      </c>
      <c r="X914" s="3"/>
      <c r="AB914" s="3" t="str">
        <f t="shared" si="7"/>
        <v>794_66__vv</v>
      </c>
      <c r="AC914" s="3" t="str">
        <f t="shared" si="6"/>
        <v>794_66__vv_2</v>
      </c>
      <c r="AD914" s="3" t="s">
        <v>37</v>
      </c>
      <c r="AE914" s="3" t="s">
        <v>37</v>
      </c>
    </row>
    <row r="915" spans="2:31" ht="12.5">
      <c r="E915" s="3"/>
      <c r="F915" s="3"/>
      <c r="G915" s="3"/>
      <c r="L915" s="3" t="s">
        <v>38</v>
      </c>
      <c r="M915" s="3">
        <v>121</v>
      </c>
      <c r="N915" s="3">
        <v>13</v>
      </c>
      <c r="O915" s="3">
        <v>21</v>
      </c>
      <c r="Q915" s="3">
        <v>1</v>
      </c>
      <c r="R915" s="3">
        <v>0</v>
      </c>
      <c r="S915" s="3"/>
      <c r="T915" s="3">
        <v>0.36534</v>
      </c>
      <c r="U915" s="3">
        <v>0.17272999999999999</v>
      </c>
      <c r="V915" s="3">
        <v>9.6129999999999993E-2</v>
      </c>
      <c r="W915" s="3">
        <v>0</v>
      </c>
      <c r="X915" s="3"/>
      <c r="AB915" s="3" t="str">
        <f t="shared" si="7"/>
        <v>___</v>
      </c>
      <c r="AC915" s="3" t="str">
        <f t="shared" si="6"/>
        <v>____</v>
      </c>
    </row>
    <row r="916" spans="2:31" ht="12.5">
      <c r="E916" s="3"/>
      <c r="F916" s="3"/>
      <c r="G916" s="3"/>
      <c r="L916" s="3" t="s">
        <v>39</v>
      </c>
      <c r="M916" s="3">
        <v>100</v>
      </c>
      <c r="N916" s="3">
        <v>7</v>
      </c>
      <c r="O916" s="3">
        <v>12</v>
      </c>
      <c r="Q916" s="3">
        <v>0</v>
      </c>
      <c r="R916" s="3">
        <v>0</v>
      </c>
      <c r="S916" s="3"/>
      <c r="T916" s="3">
        <v>0.16667000000000001</v>
      </c>
      <c r="U916" s="3">
        <v>0.19223000000000001</v>
      </c>
      <c r="V916" s="3">
        <v>0</v>
      </c>
      <c r="W916" s="3">
        <v>0</v>
      </c>
      <c r="X916" s="3"/>
      <c r="AB916" s="3" t="str">
        <f t="shared" si="7"/>
        <v>___</v>
      </c>
      <c r="AC916" s="3" t="str">
        <f t="shared" si="6"/>
        <v>____</v>
      </c>
    </row>
    <row r="917" spans="2:31" ht="12.5">
      <c r="B917" s="3">
        <v>794</v>
      </c>
      <c r="C917" s="3">
        <v>66</v>
      </c>
      <c r="E917" s="3"/>
      <c r="F917" s="3"/>
      <c r="G917" s="3" t="s">
        <v>35</v>
      </c>
      <c r="H917" s="3">
        <v>3</v>
      </c>
      <c r="I917" s="3">
        <v>34.5</v>
      </c>
      <c r="J917" s="3">
        <v>27.2</v>
      </c>
      <c r="K917" s="3">
        <v>4</v>
      </c>
      <c r="L917" s="3" t="s">
        <v>36</v>
      </c>
      <c r="M917" s="3">
        <v>54</v>
      </c>
      <c r="N917" s="3">
        <v>10</v>
      </c>
      <c r="O917" s="3">
        <v>17</v>
      </c>
      <c r="Q917" s="3">
        <v>0</v>
      </c>
      <c r="R917" s="3">
        <v>0</v>
      </c>
      <c r="S917" s="3"/>
      <c r="T917" s="3">
        <v>0.12639</v>
      </c>
      <c r="U917" s="3">
        <v>3.9440000000000003E-2</v>
      </c>
      <c r="V917" s="3">
        <v>0</v>
      </c>
      <c r="W917" s="3">
        <v>0</v>
      </c>
      <c r="X917" s="3"/>
      <c r="AB917" s="3" t="str">
        <f t="shared" si="7"/>
        <v>794_66__vv</v>
      </c>
      <c r="AC917" s="3" t="str">
        <f t="shared" si="6"/>
        <v>794_66__vv_3</v>
      </c>
      <c r="AD917" s="3" t="s">
        <v>37</v>
      </c>
      <c r="AE917" s="3" t="s">
        <v>37</v>
      </c>
    </row>
    <row r="918" spans="2:31" ht="12.5">
      <c r="E918" s="3"/>
      <c r="F918" s="3"/>
      <c r="G918" s="3"/>
      <c r="L918" s="3" t="s">
        <v>38</v>
      </c>
      <c r="M918" s="3">
        <v>99</v>
      </c>
      <c r="N918" s="3">
        <v>15</v>
      </c>
      <c r="O918" s="3">
        <v>26</v>
      </c>
      <c r="Q918" s="3">
        <v>0</v>
      </c>
      <c r="R918" s="3">
        <v>0</v>
      </c>
      <c r="S918" s="3"/>
      <c r="T918" s="3">
        <v>0.17907999999999999</v>
      </c>
      <c r="U918" s="3">
        <v>0.11115</v>
      </c>
      <c r="V918" s="3">
        <v>0</v>
      </c>
      <c r="W918" s="3">
        <v>0</v>
      </c>
      <c r="X918" s="3"/>
      <c r="AB918" s="3" t="str">
        <f t="shared" si="7"/>
        <v>___</v>
      </c>
      <c r="AC918" s="3" t="str">
        <f t="shared" si="6"/>
        <v>____</v>
      </c>
    </row>
    <row r="919" spans="2:31" ht="12.5">
      <c r="E919" s="3"/>
      <c r="F919" s="3"/>
      <c r="G919" s="3"/>
      <c r="L919" s="3" t="s">
        <v>39</v>
      </c>
      <c r="M919" s="3">
        <v>98</v>
      </c>
      <c r="N919" s="3">
        <v>7</v>
      </c>
      <c r="O919" s="3">
        <v>20</v>
      </c>
      <c r="Q919" s="3">
        <v>0</v>
      </c>
      <c r="R919" s="3">
        <v>0</v>
      </c>
      <c r="S919" s="3"/>
      <c r="T919" s="3">
        <v>9.1300000000000006E-2</v>
      </c>
      <c r="U919" s="3">
        <v>0.17773</v>
      </c>
      <c r="V919" s="3">
        <v>0</v>
      </c>
      <c r="W919" s="3">
        <v>0</v>
      </c>
      <c r="X919" s="3"/>
      <c r="AB919" s="3" t="str">
        <f t="shared" si="7"/>
        <v>___</v>
      </c>
      <c r="AC919" s="3" t="str">
        <f t="shared" si="6"/>
        <v>____</v>
      </c>
    </row>
    <row r="920" spans="2:31" ht="12.5">
      <c r="B920" s="7">
        <v>647</v>
      </c>
      <c r="C920" s="10">
        <v>32</v>
      </c>
      <c r="E920" s="3"/>
      <c r="F920" s="3"/>
      <c r="G920" s="3" t="s">
        <v>40</v>
      </c>
      <c r="H920" s="3">
        <v>1</v>
      </c>
      <c r="I920" s="3">
        <v>10.8</v>
      </c>
      <c r="J920" s="3">
        <v>17.2</v>
      </c>
      <c r="K920" s="3">
        <v>8</v>
      </c>
      <c r="L920" s="3" t="s">
        <v>36</v>
      </c>
      <c r="M920" s="3">
        <v>14</v>
      </c>
      <c r="N920" s="3">
        <v>4</v>
      </c>
      <c r="O920" s="3">
        <v>4</v>
      </c>
      <c r="Q920" s="3">
        <v>0</v>
      </c>
      <c r="R920" s="3">
        <v>0</v>
      </c>
      <c r="S920" s="3"/>
      <c r="T920" s="3">
        <v>1.218E-2</v>
      </c>
      <c r="U920" s="3">
        <v>3.3999999999999998E-3</v>
      </c>
      <c r="V920" s="3">
        <v>0</v>
      </c>
      <c r="W920" s="3">
        <v>0</v>
      </c>
      <c r="X920" s="3"/>
      <c r="AB920" s="3" t="str">
        <f t="shared" si="7"/>
        <v>647_32__vm</v>
      </c>
      <c r="AC920" s="3" t="str">
        <f t="shared" si="6"/>
        <v>647_32__vm_1</v>
      </c>
      <c r="AE920" s="3" t="s">
        <v>37</v>
      </c>
    </row>
    <row r="921" spans="2:31" ht="12.5">
      <c r="E921" s="3"/>
      <c r="F921" s="3"/>
      <c r="G921" s="3"/>
      <c r="L921" s="3" t="s">
        <v>38</v>
      </c>
      <c r="M921" s="3">
        <v>22</v>
      </c>
      <c r="N921" s="3">
        <v>0</v>
      </c>
      <c r="O921" s="3">
        <v>5</v>
      </c>
      <c r="Q921" s="3">
        <v>2</v>
      </c>
      <c r="R921" s="3">
        <v>0</v>
      </c>
      <c r="S921" s="3"/>
      <c r="T921" s="3">
        <v>0</v>
      </c>
      <c r="U921" s="3">
        <v>8.6999999999999994E-3</v>
      </c>
      <c r="V921" s="3">
        <v>1.553E-2</v>
      </c>
      <c r="W921" s="3">
        <v>0</v>
      </c>
      <c r="X921" s="3"/>
      <c r="AB921" s="3" t="str">
        <f t="shared" si="7"/>
        <v>___</v>
      </c>
      <c r="AC921" s="3" t="str">
        <f t="shared" si="6"/>
        <v>____</v>
      </c>
    </row>
    <row r="922" spans="2:31" ht="12.5">
      <c r="E922" s="3"/>
      <c r="F922" s="3"/>
      <c r="G922" s="3"/>
      <c r="L922" s="3" t="s">
        <v>39</v>
      </c>
      <c r="M922" s="3">
        <v>32</v>
      </c>
      <c r="N922" s="3">
        <v>0</v>
      </c>
      <c r="O922" s="3">
        <v>6</v>
      </c>
      <c r="Q922" s="3">
        <v>1</v>
      </c>
      <c r="R922" s="3">
        <v>0</v>
      </c>
      <c r="S922" s="3"/>
      <c r="T922" s="3">
        <v>0</v>
      </c>
      <c r="U922" s="3">
        <v>1.5939999999999999E-2</v>
      </c>
      <c r="V922" s="3">
        <v>2.0959999999999999E-2</v>
      </c>
      <c r="W922" s="3">
        <v>0</v>
      </c>
      <c r="X922" s="3"/>
      <c r="AB922" s="3" t="str">
        <f t="shared" si="7"/>
        <v>___</v>
      </c>
      <c r="AC922" s="3" t="str">
        <f t="shared" si="6"/>
        <v>____</v>
      </c>
    </row>
    <row r="923" spans="2:31" ht="12.5">
      <c r="B923" s="7">
        <v>647</v>
      </c>
      <c r="C923" s="3">
        <v>32</v>
      </c>
      <c r="E923" s="3"/>
      <c r="F923" s="3"/>
      <c r="G923" s="3" t="s">
        <v>40</v>
      </c>
      <c r="H923" s="3">
        <v>2</v>
      </c>
      <c r="I923" s="3">
        <v>12.9</v>
      </c>
      <c r="J923" s="3">
        <v>12.5</v>
      </c>
      <c r="K923" s="3">
        <v>7</v>
      </c>
      <c r="L923" s="3" t="s">
        <v>36</v>
      </c>
      <c r="M923" s="3">
        <v>11</v>
      </c>
      <c r="N923" s="3">
        <v>4</v>
      </c>
      <c r="O923" s="3">
        <v>4</v>
      </c>
      <c r="Q923" s="3">
        <v>0</v>
      </c>
      <c r="R923" s="3">
        <v>0</v>
      </c>
      <c r="S923" s="3"/>
      <c r="T923" s="3">
        <v>9.7599999999999996E-3</v>
      </c>
      <c r="U923" s="3">
        <v>2.33E-3</v>
      </c>
      <c r="V923" s="3">
        <v>0</v>
      </c>
      <c r="W923" s="3">
        <v>0</v>
      </c>
      <c r="X923" s="3"/>
      <c r="AB923" s="3" t="str">
        <f t="shared" si="7"/>
        <v>647_32__vm</v>
      </c>
      <c r="AC923" s="3" t="str">
        <f t="shared" si="6"/>
        <v>647_32__vm_2</v>
      </c>
      <c r="AE923" s="3" t="s">
        <v>37</v>
      </c>
    </row>
    <row r="924" spans="2:31" ht="12.5">
      <c r="E924" s="3"/>
      <c r="F924" s="3"/>
      <c r="G924" s="3"/>
      <c r="L924" s="3" t="s">
        <v>38</v>
      </c>
      <c r="M924" s="3">
        <v>13</v>
      </c>
      <c r="N924" s="3">
        <v>0</v>
      </c>
      <c r="O924" s="3">
        <v>4</v>
      </c>
      <c r="Q924" s="3">
        <v>1</v>
      </c>
      <c r="R924" s="3">
        <v>0</v>
      </c>
      <c r="S924" s="3"/>
      <c r="T924" s="3">
        <v>0</v>
      </c>
      <c r="U924" s="3">
        <v>4.81E-3</v>
      </c>
      <c r="V924" s="3">
        <v>7.8799999999999999E-3</v>
      </c>
      <c r="W924" s="3">
        <v>0</v>
      </c>
      <c r="X924" s="3"/>
      <c r="AB924" s="3" t="str">
        <f t="shared" si="7"/>
        <v>___</v>
      </c>
      <c r="AC924" s="3" t="str">
        <f t="shared" si="6"/>
        <v>____</v>
      </c>
    </row>
    <row r="925" spans="2:31" ht="12.5">
      <c r="E925" s="3"/>
      <c r="F925" s="3"/>
      <c r="G925" s="3"/>
      <c r="L925" s="3" t="s">
        <v>39</v>
      </c>
      <c r="M925" s="3">
        <v>19</v>
      </c>
      <c r="N925" s="3">
        <v>0</v>
      </c>
      <c r="O925" s="3">
        <v>5</v>
      </c>
      <c r="Q925" s="3">
        <v>1</v>
      </c>
      <c r="R925" s="3">
        <v>0</v>
      </c>
      <c r="S925" s="3"/>
      <c r="T925" s="3">
        <v>0</v>
      </c>
      <c r="U925" s="3">
        <v>8.2199999999999999E-3</v>
      </c>
      <c r="V925" s="3">
        <v>1.133E-2</v>
      </c>
      <c r="W925" s="3">
        <v>0</v>
      </c>
      <c r="X925" s="3"/>
      <c r="AB925" s="3" t="str">
        <f t="shared" si="7"/>
        <v>___</v>
      </c>
      <c r="AC925" s="3" t="str">
        <f t="shared" si="6"/>
        <v>____</v>
      </c>
    </row>
    <row r="926" spans="2:31" ht="12.5">
      <c r="B926" s="7">
        <v>647</v>
      </c>
      <c r="C926" s="3">
        <v>32</v>
      </c>
      <c r="E926" s="3"/>
      <c r="F926" s="3"/>
      <c r="G926" s="3" t="s">
        <v>40</v>
      </c>
      <c r="H926" s="3">
        <v>3</v>
      </c>
      <c r="I926" s="3">
        <v>11.5</v>
      </c>
      <c r="J926" s="3">
        <v>10.9</v>
      </c>
      <c r="K926" s="3">
        <v>6</v>
      </c>
      <c r="L926" s="3" t="s">
        <v>36</v>
      </c>
      <c r="M926" s="3">
        <v>12</v>
      </c>
      <c r="N926" s="3">
        <v>5</v>
      </c>
      <c r="O926" s="3">
        <v>5</v>
      </c>
      <c r="Q926" s="3">
        <v>0</v>
      </c>
      <c r="R926" s="3">
        <v>0</v>
      </c>
      <c r="S926" s="3"/>
      <c r="T926" s="3">
        <v>8.8000000000000005E-3</v>
      </c>
      <c r="U926" s="3">
        <v>3.3400000000000001E-3</v>
      </c>
      <c r="V926" s="3">
        <v>0</v>
      </c>
      <c r="W926" s="3">
        <v>0</v>
      </c>
      <c r="X926" s="3"/>
      <c r="AB926" s="3" t="str">
        <f t="shared" si="7"/>
        <v>647_32__vm</v>
      </c>
      <c r="AC926" s="3" t="str">
        <f t="shared" si="6"/>
        <v>647_32__vm_3</v>
      </c>
      <c r="AE926" s="3" t="s">
        <v>37</v>
      </c>
    </row>
    <row r="927" spans="2:31" ht="12.5">
      <c r="E927" s="3"/>
      <c r="F927" s="3"/>
      <c r="G927" s="3"/>
      <c r="L927" s="3" t="s">
        <v>38</v>
      </c>
      <c r="M927" s="3">
        <v>22</v>
      </c>
      <c r="N927" s="3">
        <v>0</v>
      </c>
      <c r="O927" s="3">
        <v>6</v>
      </c>
      <c r="Q927" s="3">
        <v>1</v>
      </c>
      <c r="R927" s="3">
        <v>0</v>
      </c>
      <c r="S927" s="3"/>
      <c r="T927" s="3">
        <v>0</v>
      </c>
      <c r="U927" s="3">
        <v>8.2900000000000005E-3</v>
      </c>
      <c r="V927" s="3">
        <v>8.3499999999999998E-3</v>
      </c>
      <c r="W927" s="3">
        <v>0</v>
      </c>
      <c r="X927" s="3"/>
      <c r="AB927" s="3" t="str">
        <f t="shared" si="7"/>
        <v>___</v>
      </c>
      <c r="AC927" s="3" t="str">
        <f t="shared" si="6"/>
        <v>____</v>
      </c>
    </row>
    <row r="928" spans="2:31" ht="12.5">
      <c r="E928" s="3"/>
      <c r="F928" s="3"/>
      <c r="G928" s="3"/>
      <c r="L928" s="3" t="s">
        <v>39</v>
      </c>
      <c r="M928" s="3">
        <v>27</v>
      </c>
      <c r="N928" s="3">
        <v>0</v>
      </c>
      <c r="O928" s="3">
        <v>6</v>
      </c>
      <c r="Q928" s="3">
        <v>1</v>
      </c>
      <c r="R928" s="3">
        <v>0</v>
      </c>
      <c r="S928" s="3"/>
      <c r="T928" s="3">
        <v>0</v>
      </c>
      <c r="U928" s="3">
        <v>1.6789999999999999E-2</v>
      </c>
      <c r="V928" s="3">
        <v>1.9210000000000001E-2</v>
      </c>
      <c r="W928" s="3">
        <v>0</v>
      </c>
      <c r="X928" s="3"/>
      <c r="AB928" s="3" t="str">
        <f t="shared" si="7"/>
        <v>___</v>
      </c>
      <c r="AC928" s="3" t="str">
        <f t="shared" si="6"/>
        <v>____</v>
      </c>
    </row>
    <row r="929" spans="1:31" ht="12.5">
      <c r="B929" s="7">
        <v>647</v>
      </c>
      <c r="C929" s="3">
        <v>32</v>
      </c>
      <c r="E929" s="3"/>
      <c r="F929" s="3"/>
      <c r="G929" s="3" t="s">
        <v>35</v>
      </c>
      <c r="H929" s="3">
        <v>1</v>
      </c>
      <c r="I929" s="3">
        <v>11.2</v>
      </c>
      <c r="J929" s="3">
        <v>14.9</v>
      </c>
      <c r="K929" s="3">
        <v>4</v>
      </c>
      <c r="L929" s="3" t="s">
        <v>36</v>
      </c>
      <c r="M929" s="3">
        <v>34</v>
      </c>
      <c r="N929" s="3">
        <v>12</v>
      </c>
      <c r="O929" s="3">
        <v>14</v>
      </c>
      <c r="Q929" s="3">
        <v>0</v>
      </c>
      <c r="R929" s="3">
        <v>0</v>
      </c>
      <c r="S929" s="3"/>
      <c r="T929" s="3">
        <v>0.12060999999999999</v>
      </c>
      <c r="U929" s="3">
        <v>1.21E-2</v>
      </c>
      <c r="V929" s="3">
        <v>0</v>
      </c>
      <c r="W929" s="3">
        <v>0</v>
      </c>
      <c r="X929" s="3"/>
      <c r="AB929" s="3" t="str">
        <f t="shared" si="7"/>
        <v>647_32__vv</v>
      </c>
      <c r="AC929" s="3" t="str">
        <f t="shared" si="6"/>
        <v>647_32__vv_1</v>
      </c>
      <c r="AE929" s="3" t="s">
        <v>37</v>
      </c>
    </row>
    <row r="930" spans="1:31" ht="12.5">
      <c r="E930" s="3"/>
      <c r="F930" s="3"/>
      <c r="G930" s="3"/>
      <c r="L930" s="3" t="s">
        <v>38</v>
      </c>
      <c r="M930" s="3">
        <v>54</v>
      </c>
      <c r="N930" s="3">
        <v>11</v>
      </c>
      <c r="O930" s="3">
        <v>14</v>
      </c>
      <c r="Q930" s="3">
        <v>0</v>
      </c>
      <c r="R930" s="3">
        <v>0</v>
      </c>
      <c r="S930" s="3"/>
      <c r="T930" s="3">
        <v>0.12950999999999999</v>
      </c>
      <c r="U930" s="3">
        <v>3.6150000000000002E-2</v>
      </c>
      <c r="V930" s="3">
        <v>0</v>
      </c>
      <c r="W930" s="3">
        <v>0</v>
      </c>
      <c r="X930" s="3"/>
      <c r="AB930" s="3" t="str">
        <f t="shared" si="7"/>
        <v>___</v>
      </c>
      <c r="AC930" s="3" t="str">
        <f t="shared" si="6"/>
        <v>____</v>
      </c>
    </row>
    <row r="931" spans="1:31" ht="12.5">
      <c r="E931" s="3"/>
      <c r="F931" s="3"/>
      <c r="G931" s="3"/>
      <c r="L931" s="3" t="s">
        <v>39</v>
      </c>
      <c r="M931" s="3">
        <v>45</v>
      </c>
      <c r="N931" s="3">
        <v>0</v>
      </c>
      <c r="O931" s="3">
        <v>17</v>
      </c>
      <c r="Q931" s="3">
        <v>0</v>
      </c>
      <c r="R931" s="3">
        <v>0</v>
      </c>
      <c r="S931" s="3"/>
      <c r="T931" s="3">
        <v>0</v>
      </c>
      <c r="U931" s="3">
        <v>4.4170000000000001E-2</v>
      </c>
      <c r="V931" s="3">
        <v>0</v>
      </c>
      <c r="W931" s="3">
        <v>0</v>
      </c>
      <c r="X931" s="3"/>
      <c r="AB931" s="3" t="str">
        <f t="shared" si="7"/>
        <v>___</v>
      </c>
      <c r="AC931" s="3" t="str">
        <f t="shared" si="6"/>
        <v>____</v>
      </c>
    </row>
    <row r="932" spans="1:31" ht="12.5">
      <c r="B932" s="7">
        <v>647</v>
      </c>
      <c r="C932" s="3">
        <v>32</v>
      </c>
      <c r="E932" s="3"/>
      <c r="F932" s="3"/>
      <c r="G932" s="3" t="s">
        <v>35</v>
      </c>
      <c r="H932" s="3">
        <v>2</v>
      </c>
      <c r="I932" s="3">
        <v>10.7</v>
      </c>
      <c r="J932" s="3">
        <v>12.7</v>
      </c>
      <c r="K932" s="3">
        <v>4</v>
      </c>
      <c r="L932" s="3" t="s">
        <v>36</v>
      </c>
      <c r="M932" s="3">
        <v>22</v>
      </c>
      <c r="N932" s="3">
        <v>11</v>
      </c>
      <c r="O932" s="3">
        <v>11</v>
      </c>
      <c r="Q932" s="3">
        <v>0</v>
      </c>
      <c r="R932" s="3">
        <v>0</v>
      </c>
      <c r="S932" s="3"/>
      <c r="T932" s="3">
        <v>8.344E-2</v>
      </c>
      <c r="U932" s="3">
        <v>6.1900000000000002E-3</v>
      </c>
      <c r="V932" s="3">
        <v>0</v>
      </c>
      <c r="W932" s="3">
        <v>0</v>
      </c>
      <c r="X932" s="3"/>
      <c r="AB932" s="3" t="str">
        <f t="shared" si="7"/>
        <v>647_32__vv</v>
      </c>
      <c r="AC932" s="3" t="str">
        <f t="shared" si="6"/>
        <v>647_32__vv_2</v>
      </c>
      <c r="AE932" s="3" t="s">
        <v>37</v>
      </c>
    </row>
    <row r="933" spans="1:31" ht="12.5">
      <c r="E933" s="3"/>
      <c r="F933" s="3"/>
      <c r="G933" s="3"/>
      <c r="L933" s="3" t="s">
        <v>38</v>
      </c>
      <c r="M933" s="3">
        <v>28</v>
      </c>
      <c r="N933" s="3">
        <v>11</v>
      </c>
      <c r="O933" s="3">
        <v>13</v>
      </c>
      <c r="Q933" s="3">
        <v>0</v>
      </c>
      <c r="R933" s="3">
        <v>0</v>
      </c>
      <c r="S933" s="3"/>
      <c r="T933" s="3">
        <v>0.11881</v>
      </c>
      <c r="U933" s="3">
        <v>1.46E-2</v>
      </c>
      <c r="V933" s="3">
        <v>0</v>
      </c>
      <c r="W933" s="3">
        <v>0</v>
      </c>
      <c r="X933" s="3"/>
      <c r="AB933" s="3" t="str">
        <f t="shared" si="7"/>
        <v>___</v>
      </c>
      <c r="AC933" s="3" t="str">
        <f t="shared" si="6"/>
        <v>____</v>
      </c>
    </row>
    <row r="934" spans="1:31" ht="12.5">
      <c r="E934" s="3"/>
      <c r="F934" s="3"/>
      <c r="G934" s="3"/>
      <c r="L934" s="3" t="s">
        <v>39</v>
      </c>
      <c r="M934" s="3">
        <v>42</v>
      </c>
      <c r="N934" s="3">
        <v>5</v>
      </c>
      <c r="O934" s="3">
        <v>13</v>
      </c>
      <c r="Q934" s="3">
        <v>0</v>
      </c>
      <c r="R934" s="3">
        <v>0</v>
      </c>
      <c r="S934" s="3"/>
      <c r="T934" s="3">
        <v>5.0909999999999997E-2</v>
      </c>
      <c r="U934" s="3">
        <v>3.3090000000000001E-2</v>
      </c>
      <c r="V934" s="3">
        <v>0</v>
      </c>
      <c r="W934" s="3">
        <v>0</v>
      </c>
      <c r="X934" s="3"/>
      <c r="AB934" s="3" t="str">
        <f t="shared" si="7"/>
        <v>___</v>
      </c>
      <c r="AC934" s="3" t="str">
        <f t="shared" si="6"/>
        <v>____</v>
      </c>
    </row>
    <row r="935" spans="1:31" ht="12.5">
      <c r="B935" s="3">
        <v>647</v>
      </c>
      <c r="C935" s="3">
        <v>32</v>
      </c>
      <c r="E935" s="3"/>
      <c r="F935" s="3"/>
      <c r="G935" s="3" t="s">
        <v>35</v>
      </c>
      <c r="H935" s="3">
        <v>3</v>
      </c>
      <c r="I935" s="3">
        <v>10.199999999999999</v>
      </c>
      <c r="J935" s="3">
        <v>9.1999999999999993</v>
      </c>
      <c r="K935" s="3">
        <v>4</v>
      </c>
      <c r="L935" s="3" t="s">
        <v>36</v>
      </c>
      <c r="M935" s="3">
        <v>32</v>
      </c>
      <c r="N935" s="3">
        <v>10</v>
      </c>
      <c r="O935" s="3">
        <v>13</v>
      </c>
      <c r="Q935" s="3">
        <v>0</v>
      </c>
      <c r="R935" s="3">
        <v>0</v>
      </c>
      <c r="S935" s="3"/>
      <c r="T935" s="3">
        <v>9.4350000000000003E-2</v>
      </c>
      <c r="U935" s="3">
        <v>1.141E-2</v>
      </c>
      <c r="V935" s="3">
        <v>0</v>
      </c>
      <c r="W935" s="3">
        <v>0</v>
      </c>
      <c r="X935" s="3"/>
      <c r="AB935" s="3" t="str">
        <f t="shared" si="7"/>
        <v>647_32__vv</v>
      </c>
      <c r="AC935" s="3" t="str">
        <f t="shared" si="6"/>
        <v>647_32__vv_3</v>
      </c>
      <c r="AE935" s="3" t="s">
        <v>37</v>
      </c>
    </row>
    <row r="936" spans="1:31" ht="12.5">
      <c r="E936" s="3"/>
      <c r="F936" s="3"/>
      <c r="G936" s="3"/>
      <c r="L936" s="3" t="s">
        <v>38</v>
      </c>
      <c r="M936" s="3">
        <v>34</v>
      </c>
      <c r="N936" s="3">
        <v>8</v>
      </c>
      <c r="O936" s="3">
        <v>14</v>
      </c>
      <c r="Q936" s="3">
        <v>0</v>
      </c>
      <c r="R936" s="3">
        <v>0</v>
      </c>
      <c r="S936" s="3"/>
      <c r="T936" s="3">
        <v>5.5289999999999999E-2</v>
      </c>
      <c r="U936" s="3">
        <v>2.3099999999999999E-2</v>
      </c>
      <c r="V936" s="3">
        <v>0</v>
      </c>
      <c r="W936" s="3">
        <v>0</v>
      </c>
      <c r="X936" s="3"/>
      <c r="AB936" s="3" t="str">
        <f t="shared" si="7"/>
        <v>___</v>
      </c>
      <c r="AC936" s="3" t="str">
        <f t="shared" si="6"/>
        <v>____</v>
      </c>
    </row>
    <row r="937" spans="1:31" ht="12.5">
      <c r="E937" s="3"/>
      <c r="F937" s="3"/>
      <c r="L937" s="3" t="s">
        <v>39</v>
      </c>
      <c r="M937" s="3">
        <v>8</v>
      </c>
      <c r="N937" s="3">
        <v>0</v>
      </c>
      <c r="O937" s="3">
        <v>3</v>
      </c>
      <c r="Q937" s="3">
        <v>0</v>
      </c>
      <c r="R937" s="3">
        <v>0</v>
      </c>
      <c r="S937" s="3"/>
      <c r="T937" s="3">
        <v>0</v>
      </c>
      <c r="U937" s="3">
        <v>4.5599999999999998E-3</v>
      </c>
      <c r="V937" s="3">
        <v>0</v>
      </c>
      <c r="W937" s="3">
        <v>0</v>
      </c>
      <c r="X937" s="3"/>
      <c r="AB937" s="3" t="str">
        <f t="shared" si="7"/>
        <v>___</v>
      </c>
      <c r="AC937" s="3" t="str">
        <f t="shared" si="6"/>
        <v>____</v>
      </c>
    </row>
    <row r="938" spans="1:31" ht="14">
      <c r="A938" s="22" t="s">
        <v>132</v>
      </c>
      <c r="B938" s="23" t="s">
        <v>133</v>
      </c>
      <c r="C938" s="22">
        <v>46</v>
      </c>
      <c r="D938" s="23" t="s">
        <v>134</v>
      </c>
      <c r="E938" s="23" t="s">
        <v>135</v>
      </c>
      <c r="F938" s="23" t="s">
        <v>136</v>
      </c>
      <c r="G938" s="23" t="s">
        <v>40</v>
      </c>
      <c r="H938" s="22">
        <v>1</v>
      </c>
      <c r="I938" s="23"/>
      <c r="J938" s="22">
        <v>29.6</v>
      </c>
      <c r="K938" s="22">
        <v>6</v>
      </c>
      <c r="L938" s="23" t="s">
        <v>36</v>
      </c>
      <c r="M938" s="22">
        <v>4.96</v>
      </c>
      <c r="N938" s="22">
        <v>5</v>
      </c>
      <c r="O938" s="22">
        <v>6</v>
      </c>
      <c r="P938" s="23"/>
      <c r="Q938" s="22">
        <v>0</v>
      </c>
      <c r="R938" s="23"/>
      <c r="S938" s="23"/>
      <c r="Z938" s="23"/>
      <c r="AA938" s="22">
        <v>100</v>
      </c>
      <c r="AB938" s="3" t="str">
        <f t="shared" si="7"/>
        <v>ANO_0166_46_T4-C1_vm</v>
      </c>
      <c r="AC938" s="3" t="str">
        <f t="shared" si="6"/>
        <v>ANO_0166_46_T4-C1_vm_1</v>
      </c>
    </row>
    <row r="939" spans="1:31" ht="14">
      <c r="A939" s="23"/>
      <c r="B939" s="23"/>
      <c r="C939" s="23"/>
      <c r="D939" s="23"/>
      <c r="E939" s="23"/>
      <c r="F939" s="23"/>
      <c r="G939" s="23"/>
      <c r="H939" s="22">
        <v>2</v>
      </c>
      <c r="I939" s="23"/>
      <c r="J939" s="23"/>
      <c r="K939" s="23"/>
      <c r="L939" s="23" t="s">
        <v>38</v>
      </c>
      <c r="M939" s="22">
        <v>6.52</v>
      </c>
      <c r="N939" s="22">
        <v>5</v>
      </c>
      <c r="O939" s="22">
        <v>2</v>
      </c>
      <c r="P939" s="22">
        <v>2</v>
      </c>
      <c r="Q939" s="22">
        <v>3</v>
      </c>
      <c r="R939" s="23"/>
      <c r="S939" s="23"/>
      <c r="Z939" s="23" t="s">
        <v>137</v>
      </c>
      <c r="AA939" s="23"/>
      <c r="AB939" s="3" t="str">
        <f t="shared" si="7"/>
        <v>___</v>
      </c>
      <c r="AC939" s="3" t="str">
        <f t="shared" si="6"/>
        <v>____2</v>
      </c>
    </row>
    <row r="940" spans="1:31" ht="14">
      <c r="A940" s="23"/>
      <c r="B940" s="23"/>
      <c r="C940" s="23"/>
      <c r="D940" s="23"/>
      <c r="E940" s="23"/>
      <c r="F940" s="23"/>
      <c r="G940" s="23"/>
      <c r="H940" s="22">
        <v>3</v>
      </c>
      <c r="I940" s="23"/>
      <c r="J940" s="23"/>
      <c r="K940" s="23"/>
      <c r="L940" s="23" t="s">
        <v>39</v>
      </c>
      <c r="M940" s="22">
        <v>7.05</v>
      </c>
      <c r="N940" s="22">
        <v>0</v>
      </c>
      <c r="O940" s="22">
        <v>7</v>
      </c>
      <c r="P940" s="22">
        <v>0</v>
      </c>
      <c r="Q940" s="22">
        <v>0</v>
      </c>
      <c r="R940" s="23"/>
      <c r="S940" s="23"/>
      <c r="Z940" s="23" t="s">
        <v>137</v>
      </c>
      <c r="AA940" s="23"/>
      <c r="AB940" s="3" t="str">
        <f t="shared" si="7"/>
        <v>___</v>
      </c>
      <c r="AC940" s="3" t="str">
        <f t="shared" si="6"/>
        <v>____3</v>
      </c>
    </row>
    <row r="941" spans="1:31" ht="14">
      <c r="A941" s="22" t="s">
        <v>132</v>
      </c>
      <c r="B941" s="23" t="s">
        <v>133</v>
      </c>
      <c r="C941" s="22">
        <v>46</v>
      </c>
      <c r="D941" s="23" t="s">
        <v>134</v>
      </c>
      <c r="E941" s="23" t="s">
        <v>135</v>
      </c>
      <c r="F941" s="23" t="s">
        <v>136</v>
      </c>
      <c r="G941" s="23" t="s">
        <v>40</v>
      </c>
      <c r="H941" s="22">
        <v>1</v>
      </c>
      <c r="I941" s="23"/>
      <c r="J941" s="22">
        <v>27</v>
      </c>
      <c r="K941" s="22">
        <v>5</v>
      </c>
      <c r="L941" s="23" t="s">
        <v>36</v>
      </c>
      <c r="M941" s="22">
        <v>6.35</v>
      </c>
      <c r="N941" s="22">
        <v>6</v>
      </c>
      <c r="O941" s="22">
        <v>6</v>
      </c>
      <c r="P941" s="22">
        <v>0</v>
      </c>
      <c r="Q941" s="22">
        <v>0</v>
      </c>
      <c r="R941" s="23"/>
      <c r="S941" s="23"/>
      <c r="Z941" s="23"/>
      <c r="AA941" s="22">
        <v>101</v>
      </c>
      <c r="AB941" s="3" t="str">
        <f t="shared" si="7"/>
        <v>ANO_0166_46_T4-C1_vm</v>
      </c>
      <c r="AC941" s="3" t="str">
        <f t="shared" si="6"/>
        <v>ANO_0166_46_T4-C1_vm_1</v>
      </c>
    </row>
    <row r="942" spans="1:31" ht="14">
      <c r="A942" s="23"/>
      <c r="B942" s="23"/>
      <c r="C942" s="23"/>
      <c r="D942" s="23"/>
      <c r="E942" s="23"/>
      <c r="F942" s="23"/>
      <c r="G942" s="23"/>
      <c r="H942" s="22">
        <v>2</v>
      </c>
      <c r="I942" s="23"/>
      <c r="J942" s="23"/>
      <c r="K942" s="23"/>
      <c r="L942" s="23" t="s">
        <v>38</v>
      </c>
      <c r="M942" s="22">
        <v>5.53</v>
      </c>
      <c r="N942" s="22">
        <v>0</v>
      </c>
      <c r="O942" s="22">
        <v>6</v>
      </c>
      <c r="P942" s="22">
        <v>0</v>
      </c>
      <c r="Q942" s="22">
        <v>5</v>
      </c>
      <c r="R942" s="23"/>
      <c r="S942" s="23"/>
      <c r="Z942" s="23" t="s">
        <v>137</v>
      </c>
      <c r="AA942" s="23"/>
      <c r="AB942" s="3" t="str">
        <f t="shared" si="7"/>
        <v>___</v>
      </c>
      <c r="AC942" s="3" t="str">
        <f t="shared" si="6"/>
        <v>____2</v>
      </c>
    </row>
    <row r="943" spans="1:31" ht="14">
      <c r="A943" s="23"/>
      <c r="B943" s="23"/>
      <c r="C943" s="23"/>
      <c r="D943" s="23"/>
      <c r="E943" s="23"/>
      <c r="F943" s="23"/>
      <c r="G943" s="23"/>
      <c r="H943" s="22">
        <v>3</v>
      </c>
      <c r="I943" s="23"/>
      <c r="J943" s="23"/>
      <c r="K943" s="23"/>
      <c r="L943" s="23" t="s">
        <v>39</v>
      </c>
      <c r="M943" s="22">
        <v>12.32</v>
      </c>
      <c r="N943" s="22">
        <v>0</v>
      </c>
      <c r="O943" s="22">
        <v>11</v>
      </c>
      <c r="P943" s="23"/>
      <c r="Q943" s="22">
        <v>5</v>
      </c>
      <c r="R943" s="23"/>
      <c r="S943" s="23"/>
      <c r="Z943" s="23" t="s">
        <v>137</v>
      </c>
      <c r="AA943" s="23"/>
      <c r="AB943" s="3" t="str">
        <f t="shared" si="7"/>
        <v>___</v>
      </c>
      <c r="AC943" s="3" t="str">
        <f t="shared" si="6"/>
        <v>____3</v>
      </c>
    </row>
    <row r="944" spans="1:31" ht="14">
      <c r="A944" s="22" t="s">
        <v>132</v>
      </c>
      <c r="B944" s="23" t="s">
        <v>133</v>
      </c>
      <c r="C944" s="22">
        <v>46</v>
      </c>
      <c r="D944" s="23" t="s">
        <v>134</v>
      </c>
      <c r="E944" s="23" t="s">
        <v>135</v>
      </c>
      <c r="F944" s="23" t="s">
        <v>136</v>
      </c>
      <c r="G944" s="23" t="s">
        <v>40</v>
      </c>
      <c r="H944" s="22">
        <v>1</v>
      </c>
      <c r="I944" s="23"/>
      <c r="J944" s="22">
        <v>39.6</v>
      </c>
      <c r="K944" s="22">
        <v>7</v>
      </c>
      <c r="L944" s="23" t="s">
        <v>36</v>
      </c>
      <c r="M944" s="22">
        <v>6.35</v>
      </c>
      <c r="N944" s="22">
        <v>7</v>
      </c>
      <c r="O944" s="22">
        <v>7</v>
      </c>
      <c r="P944" s="22">
        <v>0</v>
      </c>
      <c r="Q944" s="22">
        <v>0</v>
      </c>
      <c r="R944" s="23"/>
      <c r="S944" s="23"/>
      <c r="Z944" s="23"/>
      <c r="AA944" s="22">
        <v>102</v>
      </c>
      <c r="AB944" s="3" t="str">
        <f t="shared" si="7"/>
        <v>ANO_0166_46_T4-C1_vm</v>
      </c>
      <c r="AC944" s="3" t="str">
        <f t="shared" si="6"/>
        <v>ANO_0166_46_T4-C1_vm_1</v>
      </c>
    </row>
    <row r="945" spans="1:29" ht="14">
      <c r="A945" s="23"/>
      <c r="B945" s="23"/>
      <c r="C945" s="23"/>
      <c r="D945" s="23"/>
      <c r="E945" s="23"/>
      <c r="F945" s="23"/>
      <c r="G945" s="23"/>
      <c r="H945" s="22">
        <v>2</v>
      </c>
      <c r="I945" s="23"/>
      <c r="J945" s="23"/>
      <c r="K945" s="23"/>
      <c r="L945" s="23" t="s">
        <v>38</v>
      </c>
      <c r="M945" s="22">
        <v>7.5</v>
      </c>
      <c r="N945" s="22">
        <v>0</v>
      </c>
      <c r="O945" s="22">
        <v>4</v>
      </c>
      <c r="P945" s="23"/>
      <c r="Q945" s="22">
        <v>1</v>
      </c>
      <c r="R945" s="23"/>
      <c r="S945" s="23"/>
      <c r="Z945" s="23" t="s">
        <v>137</v>
      </c>
      <c r="AA945" s="23"/>
      <c r="AB945" s="3" t="str">
        <f t="shared" si="7"/>
        <v>___</v>
      </c>
      <c r="AC945" s="3" t="str">
        <f t="shared" si="6"/>
        <v>____2</v>
      </c>
    </row>
    <row r="946" spans="1:29" ht="14">
      <c r="A946" s="23"/>
      <c r="B946" s="23"/>
      <c r="C946" s="23"/>
      <c r="D946" s="23"/>
      <c r="E946" s="23"/>
      <c r="F946" s="23"/>
      <c r="G946" s="23"/>
      <c r="H946" s="22">
        <v>3</v>
      </c>
      <c r="I946" s="23"/>
      <c r="J946" s="23"/>
      <c r="K946" s="23"/>
      <c r="L946" s="23" t="s">
        <v>39</v>
      </c>
      <c r="M946" s="22">
        <v>4.93</v>
      </c>
      <c r="N946" s="22">
        <v>0</v>
      </c>
      <c r="O946" s="22">
        <v>1</v>
      </c>
      <c r="P946" s="23"/>
      <c r="Q946" s="22">
        <v>2</v>
      </c>
      <c r="R946" s="23"/>
      <c r="S946" s="23"/>
      <c r="Z946" s="23" t="s">
        <v>137</v>
      </c>
      <c r="AA946" s="23"/>
      <c r="AB946" s="3" t="str">
        <f t="shared" si="7"/>
        <v>___</v>
      </c>
      <c r="AC946" s="3" t="str">
        <f t="shared" si="6"/>
        <v>____3</v>
      </c>
    </row>
    <row r="947" spans="1:29" ht="14">
      <c r="A947" s="22" t="s">
        <v>132</v>
      </c>
      <c r="B947" s="23" t="s">
        <v>133</v>
      </c>
      <c r="C947" s="22">
        <v>46</v>
      </c>
      <c r="D947" s="23" t="s">
        <v>134</v>
      </c>
      <c r="E947" s="23" t="s">
        <v>135</v>
      </c>
      <c r="F947" s="23" t="s">
        <v>136</v>
      </c>
      <c r="G947" s="23" t="s">
        <v>35</v>
      </c>
      <c r="H947" s="22">
        <v>1</v>
      </c>
      <c r="I947" s="23"/>
      <c r="J947" s="22">
        <v>15.1</v>
      </c>
      <c r="K947" s="22">
        <v>4</v>
      </c>
      <c r="L947" s="23" t="s">
        <v>36</v>
      </c>
      <c r="M947" s="22">
        <v>3.95</v>
      </c>
      <c r="N947" s="22">
        <v>9</v>
      </c>
      <c r="O947" s="22">
        <v>2</v>
      </c>
      <c r="P947" s="23"/>
      <c r="Q947" s="23"/>
      <c r="R947" s="23"/>
      <c r="S947" s="23"/>
      <c r="Z947" s="23"/>
      <c r="AA947" s="22">
        <v>103</v>
      </c>
      <c r="AB947" s="3" t="str">
        <f t="shared" si="7"/>
        <v>ANO_0166_46_T4-C1_vv</v>
      </c>
      <c r="AC947" s="3" t="str">
        <f t="shared" si="6"/>
        <v>ANO_0166_46_T4-C1_vv_1</v>
      </c>
    </row>
    <row r="948" spans="1:29" ht="14">
      <c r="A948" s="23"/>
      <c r="B948" s="23"/>
      <c r="C948" s="23"/>
      <c r="D948" s="23"/>
      <c r="E948" s="23"/>
      <c r="F948" s="23"/>
      <c r="G948" s="23"/>
      <c r="H948" s="22">
        <v>2</v>
      </c>
      <c r="I948" s="23"/>
      <c r="J948" s="23"/>
      <c r="K948" s="23"/>
      <c r="L948" s="23" t="s">
        <v>38</v>
      </c>
      <c r="M948" s="22">
        <v>5.22</v>
      </c>
      <c r="N948" s="22">
        <v>9</v>
      </c>
      <c r="O948" s="22">
        <v>2</v>
      </c>
      <c r="P948" s="23"/>
      <c r="Q948" s="23"/>
      <c r="R948" s="23"/>
      <c r="S948" s="23"/>
      <c r="Z948" s="23"/>
      <c r="AA948" s="23"/>
      <c r="AB948" s="3" t="str">
        <f t="shared" si="7"/>
        <v>___</v>
      </c>
      <c r="AC948" s="3" t="str">
        <f t="shared" si="6"/>
        <v>____2</v>
      </c>
    </row>
    <row r="949" spans="1:29" ht="14">
      <c r="A949" s="23"/>
      <c r="B949" s="23"/>
      <c r="C949" s="23"/>
      <c r="D949" s="23"/>
      <c r="E949" s="23"/>
      <c r="F949" s="23"/>
      <c r="G949" s="23"/>
      <c r="H949" s="22">
        <v>3</v>
      </c>
      <c r="I949" s="23"/>
      <c r="J949" s="23"/>
      <c r="K949" s="23"/>
      <c r="L949" s="23" t="s">
        <v>39</v>
      </c>
      <c r="M949" s="22">
        <v>4.79</v>
      </c>
      <c r="N949" s="22">
        <v>4</v>
      </c>
      <c r="O949" s="22">
        <v>3</v>
      </c>
      <c r="P949" s="23"/>
      <c r="Q949" s="23"/>
      <c r="R949" s="23"/>
      <c r="S949" s="23"/>
      <c r="Z949" s="23"/>
      <c r="AA949" s="23"/>
      <c r="AB949" s="3" t="str">
        <f t="shared" si="7"/>
        <v>___</v>
      </c>
      <c r="AC949" s="3" t="str">
        <f t="shared" si="6"/>
        <v>____3</v>
      </c>
    </row>
    <row r="950" spans="1:29" ht="14">
      <c r="A950" s="22" t="s">
        <v>132</v>
      </c>
      <c r="B950" s="23" t="s">
        <v>133</v>
      </c>
      <c r="C950" s="22">
        <v>46</v>
      </c>
      <c r="D950" s="23" t="s">
        <v>134</v>
      </c>
      <c r="E950" s="23" t="s">
        <v>135</v>
      </c>
      <c r="F950" s="23" t="s">
        <v>136</v>
      </c>
      <c r="G950" s="23" t="s">
        <v>35</v>
      </c>
      <c r="H950" s="22">
        <v>1</v>
      </c>
      <c r="I950" s="23"/>
      <c r="J950" s="22">
        <v>10.7</v>
      </c>
      <c r="K950" s="22">
        <v>4</v>
      </c>
      <c r="L950" s="23" t="s">
        <v>36</v>
      </c>
      <c r="M950" s="22">
        <v>3.08</v>
      </c>
      <c r="N950" s="22">
        <v>7</v>
      </c>
      <c r="O950" s="22">
        <v>0</v>
      </c>
      <c r="P950" s="23"/>
      <c r="Q950" s="23"/>
      <c r="R950" s="23"/>
      <c r="S950" s="23"/>
      <c r="Z950" s="23"/>
      <c r="AA950" s="22">
        <v>104</v>
      </c>
      <c r="AB950" s="3" t="str">
        <f t="shared" si="7"/>
        <v>ANO_0166_46_T4-C1_vv</v>
      </c>
      <c r="AC950" s="3" t="str">
        <f t="shared" si="6"/>
        <v>ANO_0166_46_T4-C1_vv_1</v>
      </c>
    </row>
    <row r="951" spans="1:29" ht="14">
      <c r="A951" s="23"/>
      <c r="B951" s="23"/>
      <c r="C951" s="23"/>
      <c r="D951" s="23"/>
      <c r="E951" s="23"/>
      <c r="F951" s="23"/>
      <c r="G951" s="23"/>
      <c r="H951" s="22">
        <v>2</v>
      </c>
      <c r="I951" s="23"/>
      <c r="J951" s="23"/>
      <c r="K951" s="23"/>
      <c r="L951" s="23" t="s">
        <v>38</v>
      </c>
      <c r="M951" s="22">
        <v>4.68</v>
      </c>
      <c r="N951" s="22">
        <v>6</v>
      </c>
      <c r="O951" s="22">
        <v>4</v>
      </c>
      <c r="P951" s="23"/>
      <c r="Q951" s="23"/>
      <c r="R951" s="23"/>
      <c r="S951" s="23"/>
      <c r="Z951" s="23"/>
      <c r="AA951" s="23"/>
      <c r="AB951" s="3" t="str">
        <f t="shared" si="7"/>
        <v>___</v>
      </c>
      <c r="AC951" s="3" t="str">
        <f t="shared" si="6"/>
        <v>____2</v>
      </c>
    </row>
    <row r="952" spans="1:29" ht="14">
      <c r="A952" s="23"/>
      <c r="B952" s="23"/>
      <c r="C952" s="23"/>
      <c r="D952" s="23"/>
      <c r="E952" s="23"/>
      <c r="F952" s="23"/>
      <c r="G952" s="23"/>
      <c r="H952" s="22">
        <v>3</v>
      </c>
      <c r="I952" s="23"/>
      <c r="J952" s="23"/>
      <c r="K952" s="23"/>
      <c r="L952" s="23" t="s">
        <v>39</v>
      </c>
      <c r="M952" s="22">
        <v>2.21</v>
      </c>
      <c r="N952" s="22">
        <v>0</v>
      </c>
      <c r="O952" s="22">
        <v>2</v>
      </c>
      <c r="P952" s="23"/>
      <c r="Q952" s="22">
        <v>1</v>
      </c>
      <c r="R952" s="23"/>
      <c r="S952" s="23"/>
      <c r="Z952" s="23"/>
      <c r="AA952" s="23"/>
      <c r="AB952" s="3" t="str">
        <f t="shared" si="7"/>
        <v>___</v>
      </c>
      <c r="AC952" s="3" t="str">
        <f t="shared" si="6"/>
        <v>____3</v>
      </c>
    </row>
    <row r="953" spans="1:29" ht="14">
      <c r="A953" s="22" t="s">
        <v>132</v>
      </c>
      <c r="B953" s="23" t="s">
        <v>133</v>
      </c>
      <c r="C953" s="22">
        <v>46</v>
      </c>
      <c r="D953" s="23" t="s">
        <v>134</v>
      </c>
      <c r="E953" s="23" t="s">
        <v>135</v>
      </c>
      <c r="F953" s="23" t="s">
        <v>136</v>
      </c>
      <c r="G953" s="23" t="s">
        <v>35</v>
      </c>
      <c r="H953" s="22">
        <v>1</v>
      </c>
      <c r="I953" s="23"/>
      <c r="J953" s="22">
        <v>17</v>
      </c>
      <c r="K953" s="22">
        <v>4</v>
      </c>
      <c r="L953" s="23" t="s">
        <v>36</v>
      </c>
      <c r="M953" s="22">
        <v>3.43</v>
      </c>
      <c r="N953" s="22">
        <v>9</v>
      </c>
      <c r="O953" s="22">
        <v>2</v>
      </c>
      <c r="P953" s="23"/>
      <c r="Q953" s="23"/>
      <c r="R953" s="23"/>
      <c r="S953" s="23"/>
      <c r="Z953" s="23"/>
      <c r="AA953" s="22">
        <v>105</v>
      </c>
      <c r="AB953" s="3" t="str">
        <f t="shared" si="7"/>
        <v>ANO_0166_46_T4-C1_vv</v>
      </c>
      <c r="AC953" s="3" t="str">
        <f t="shared" si="6"/>
        <v>ANO_0166_46_T4-C1_vv_1</v>
      </c>
    </row>
    <row r="954" spans="1:29" ht="14">
      <c r="A954" s="23"/>
      <c r="B954" s="23"/>
      <c r="C954" s="23"/>
      <c r="D954" s="23"/>
      <c r="E954" s="23"/>
      <c r="F954" s="23"/>
      <c r="G954" s="23"/>
      <c r="H954" s="22">
        <v>2</v>
      </c>
      <c r="I954" s="23"/>
      <c r="J954" s="23"/>
      <c r="K954" s="23"/>
      <c r="L954" s="23" t="s">
        <v>38</v>
      </c>
      <c r="M954" s="22">
        <v>3.29</v>
      </c>
      <c r="N954" s="22">
        <v>8</v>
      </c>
      <c r="O954" s="22">
        <v>0</v>
      </c>
      <c r="P954" s="23"/>
      <c r="Q954" s="23"/>
      <c r="R954" s="23"/>
      <c r="S954" s="23"/>
      <c r="Z954" s="23"/>
      <c r="AA954" s="23"/>
      <c r="AB954" s="3" t="str">
        <f t="shared" si="7"/>
        <v>___</v>
      </c>
      <c r="AC954" s="3" t="str">
        <f t="shared" si="6"/>
        <v>____2</v>
      </c>
    </row>
    <row r="955" spans="1:29" ht="14">
      <c r="A955" s="23"/>
      <c r="B955" s="23"/>
      <c r="C955" s="23"/>
      <c r="D955" s="23"/>
      <c r="E955" s="23"/>
      <c r="F955" s="23"/>
      <c r="G955" s="23"/>
      <c r="H955" s="22">
        <v>3</v>
      </c>
      <c r="I955" s="23"/>
      <c r="J955" s="23"/>
      <c r="K955" s="23"/>
      <c r="L955" s="23" t="s">
        <v>39</v>
      </c>
      <c r="M955" s="22">
        <v>5.33</v>
      </c>
      <c r="N955" s="22">
        <v>4</v>
      </c>
      <c r="O955" s="22">
        <v>2</v>
      </c>
      <c r="P955" s="23"/>
      <c r="Q955" s="23"/>
      <c r="R955" s="23"/>
      <c r="S955" s="23"/>
      <c r="Z955" s="23"/>
      <c r="AA955" s="23"/>
      <c r="AB955" s="3" t="str">
        <f t="shared" si="7"/>
        <v>___</v>
      </c>
      <c r="AC955" s="3" t="str">
        <f t="shared" si="6"/>
        <v>____3</v>
      </c>
    </row>
    <row r="956" spans="1:29" ht="14">
      <c r="A956" s="22" t="s">
        <v>138</v>
      </c>
      <c r="B956" s="23" t="s">
        <v>139</v>
      </c>
      <c r="C956" s="22">
        <v>55</v>
      </c>
      <c r="D956" s="23" t="s">
        <v>134</v>
      </c>
      <c r="E956" s="23" t="s">
        <v>34</v>
      </c>
      <c r="F956" s="23" t="s">
        <v>140</v>
      </c>
      <c r="G956" s="23" t="s">
        <v>35</v>
      </c>
      <c r="H956" s="22">
        <v>1</v>
      </c>
      <c r="I956" s="22">
        <v>15</v>
      </c>
      <c r="J956" s="22">
        <v>17.5</v>
      </c>
      <c r="K956" s="22">
        <v>3</v>
      </c>
      <c r="L956" s="23" t="s">
        <v>36</v>
      </c>
      <c r="M956" s="22">
        <v>4.9000000000000004</v>
      </c>
      <c r="N956" s="22">
        <v>12</v>
      </c>
      <c r="O956" s="22">
        <v>1</v>
      </c>
      <c r="P956" s="23"/>
      <c r="Q956" s="23"/>
      <c r="R956" s="23"/>
      <c r="S956" s="23"/>
      <c r="Z956" s="23"/>
      <c r="AA956" s="22">
        <v>106</v>
      </c>
      <c r="AB956" s="3" t="str">
        <f t="shared" si="7"/>
        <v>ANO_0022_55_T3-C3_vv</v>
      </c>
      <c r="AC956" s="3" t="str">
        <f t="shared" si="6"/>
        <v>ANO_0022_55_T3-C3_vv_1</v>
      </c>
    </row>
    <row r="957" spans="1:29" ht="14">
      <c r="A957" s="23"/>
      <c r="B957" s="23"/>
      <c r="C957" s="23"/>
      <c r="D957" s="23"/>
      <c r="E957" s="23"/>
      <c r="F957" s="23"/>
      <c r="G957" s="23"/>
      <c r="H957" s="22">
        <v>2</v>
      </c>
      <c r="I957" s="23"/>
      <c r="J957" s="23"/>
      <c r="K957" s="23"/>
      <c r="L957" s="23" t="s">
        <v>38</v>
      </c>
      <c r="M957" s="22">
        <v>7.2</v>
      </c>
      <c r="N957" s="22">
        <v>10</v>
      </c>
      <c r="O957" s="22">
        <v>3</v>
      </c>
      <c r="P957" s="23"/>
      <c r="Q957" s="23"/>
      <c r="R957" s="23"/>
      <c r="S957" s="23"/>
      <c r="Z957" s="23"/>
      <c r="AA957" s="23"/>
      <c r="AB957" s="3" t="str">
        <f t="shared" si="7"/>
        <v>___</v>
      </c>
      <c r="AC957" s="3" t="str">
        <f t="shared" si="6"/>
        <v>____2</v>
      </c>
    </row>
    <row r="958" spans="1:29" ht="14">
      <c r="A958" s="23"/>
      <c r="B958" s="23"/>
      <c r="C958" s="23"/>
      <c r="D958" s="23"/>
      <c r="E958" s="23"/>
      <c r="F958" s="23"/>
      <c r="G958" s="23"/>
      <c r="H958" s="22">
        <v>3</v>
      </c>
      <c r="I958" s="23"/>
      <c r="J958" s="23"/>
      <c r="K958" s="23"/>
      <c r="L958" s="23" t="s">
        <v>39</v>
      </c>
      <c r="M958" s="22">
        <v>5.3</v>
      </c>
      <c r="N958" s="22">
        <v>0</v>
      </c>
      <c r="O958" s="22">
        <v>8</v>
      </c>
      <c r="P958" s="23"/>
      <c r="Q958" s="23"/>
      <c r="R958" s="23"/>
      <c r="S958" s="23"/>
      <c r="Z958" s="23"/>
      <c r="AA958" s="23"/>
      <c r="AB958" s="3" t="str">
        <f t="shared" si="7"/>
        <v>___</v>
      </c>
      <c r="AC958" s="3" t="str">
        <f t="shared" si="6"/>
        <v>____3</v>
      </c>
    </row>
    <row r="959" spans="1:29" ht="14">
      <c r="A959" s="22" t="s">
        <v>138</v>
      </c>
      <c r="B959" s="23" t="s">
        <v>139</v>
      </c>
      <c r="C959" s="22">
        <v>55</v>
      </c>
      <c r="D959" s="23" t="s">
        <v>134</v>
      </c>
      <c r="E959" s="23" t="s">
        <v>34</v>
      </c>
      <c r="F959" s="23" t="s">
        <v>140</v>
      </c>
      <c r="G959" s="23" t="s">
        <v>35</v>
      </c>
      <c r="H959" s="22">
        <v>1</v>
      </c>
      <c r="I959" s="22">
        <v>19</v>
      </c>
      <c r="J959" s="22">
        <v>21.8</v>
      </c>
      <c r="K959" s="22">
        <v>4</v>
      </c>
      <c r="L959" s="23" t="s">
        <v>36</v>
      </c>
      <c r="M959" s="22">
        <v>4.9000000000000004</v>
      </c>
      <c r="N959" s="22">
        <v>12</v>
      </c>
      <c r="O959" s="22">
        <v>1</v>
      </c>
      <c r="P959" s="23"/>
      <c r="Q959" s="23"/>
      <c r="R959" s="23"/>
      <c r="S959" s="23"/>
      <c r="Z959" s="23"/>
      <c r="AA959" s="22">
        <v>107</v>
      </c>
      <c r="AB959" s="3" t="str">
        <f t="shared" si="7"/>
        <v>ANO_0022_55_T3-C3_vv</v>
      </c>
      <c r="AC959" s="3" t="str">
        <f t="shared" si="6"/>
        <v>ANO_0022_55_T3-C3_vv_1</v>
      </c>
    </row>
    <row r="960" spans="1:29" ht="14">
      <c r="A960" s="23"/>
      <c r="B960" s="23"/>
      <c r="C960" s="23"/>
      <c r="D960" s="23"/>
      <c r="E960" s="23"/>
      <c r="F960" s="23"/>
      <c r="G960" s="23"/>
      <c r="H960" s="22">
        <v>2</v>
      </c>
      <c r="I960" s="23"/>
      <c r="J960" s="23"/>
      <c r="K960" s="23"/>
      <c r="L960" s="23" t="s">
        <v>38</v>
      </c>
      <c r="M960" s="22">
        <v>6.1</v>
      </c>
      <c r="N960" s="22">
        <v>9</v>
      </c>
      <c r="O960" s="22">
        <v>2</v>
      </c>
      <c r="P960" s="23"/>
      <c r="Q960" s="23"/>
      <c r="R960" s="23"/>
      <c r="S960" s="23"/>
      <c r="Z960" s="23"/>
      <c r="AA960" s="23"/>
      <c r="AB960" s="3" t="str">
        <f t="shared" si="7"/>
        <v>___</v>
      </c>
      <c r="AC960" s="3" t="str">
        <f t="shared" si="6"/>
        <v>____2</v>
      </c>
    </row>
    <row r="961" spans="1:29" ht="14">
      <c r="A961" s="23"/>
      <c r="B961" s="23"/>
      <c r="C961" s="23"/>
      <c r="D961" s="23"/>
      <c r="E961" s="23"/>
      <c r="F961" s="23"/>
      <c r="G961" s="23"/>
      <c r="H961" s="22">
        <v>3</v>
      </c>
      <c r="I961" s="23"/>
      <c r="J961" s="23"/>
      <c r="K961" s="23"/>
      <c r="L961" s="23" t="s">
        <v>39</v>
      </c>
      <c r="M961" s="22">
        <v>6.4</v>
      </c>
      <c r="N961" s="22">
        <v>3</v>
      </c>
      <c r="O961" s="22">
        <v>6</v>
      </c>
      <c r="P961" s="23"/>
      <c r="Q961" s="23"/>
      <c r="R961" s="23"/>
      <c r="S961" s="23"/>
      <c r="Z961" s="23"/>
      <c r="AA961" s="23"/>
      <c r="AB961" s="3" t="str">
        <f t="shared" si="7"/>
        <v>___</v>
      </c>
      <c r="AC961" s="3" t="str">
        <f t="shared" si="6"/>
        <v>____3</v>
      </c>
    </row>
    <row r="962" spans="1:29" ht="14">
      <c r="A962" s="22" t="s">
        <v>138</v>
      </c>
      <c r="B962" s="23" t="s">
        <v>139</v>
      </c>
      <c r="C962" s="22">
        <v>55</v>
      </c>
      <c r="D962" s="23" t="s">
        <v>134</v>
      </c>
      <c r="E962" s="23" t="s">
        <v>34</v>
      </c>
      <c r="F962" s="23" t="s">
        <v>140</v>
      </c>
      <c r="G962" s="23" t="s">
        <v>35</v>
      </c>
      <c r="H962" s="22">
        <v>1</v>
      </c>
      <c r="I962" s="22">
        <v>12.5</v>
      </c>
      <c r="J962" s="22">
        <v>14.8</v>
      </c>
      <c r="K962" s="22">
        <v>3</v>
      </c>
      <c r="L962" s="23" t="s">
        <v>36</v>
      </c>
      <c r="M962" s="22">
        <v>3.4</v>
      </c>
      <c r="N962" s="22">
        <v>11</v>
      </c>
      <c r="O962" s="22">
        <v>2</v>
      </c>
      <c r="P962" s="23"/>
      <c r="Q962" s="23"/>
      <c r="R962" s="23"/>
      <c r="S962" s="23"/>
      <c r="Z962" s="23"/>
      <c r="AA962" s="22">
        <v>108</v>
      </c>
      <c r="AB962" s="3" t="str">
        <f t="shared" si="7"/>
        <v>ANO_0022_55_T3-C3_vv</v>
      </c>
      <c r="AC962" s="3" t="str">
        <f t="shared" si="6"/>
        <v>ANO_0022_55_T3-C3_vv_1</v>
      </c>
    </row>
    <row r="963" spans="1:29" ht="14">
      <c r="A963" s="23"/>
      <c r="B963" s="23"/>
      <c r="C963" s="23"/>
      <c r="D963" s="23"/>
      <c r="E963" s="23"/>
      <c r="F963" s="23"/>
      <c r="G963" s="23"/>
      <c r="H963" s="22">
        <v>2</v>
      </c>
      <c r="I963" s="23"/>
      <c r="J963" s="23"/>
      <c r="K963" s="23"/>
      <c r="L963" s="23" t="s">
        <v>38</v>
      </c>
      <c r="M963" s="22">
        <v>4.9000000000000004</v>
      </c>
      <c r="N963" s="22">
        <v>8</v>
      </c>
      <c r="O963" s="22">
        <v>6</v>
      </c>
      <c r="P963" s="23"/>
      <c r="Q963" s="23"/>
      <c r="R963" s="23"/>
      <c r="S963" s="23"/>
      <c r="Z963" s="23"/>
      <c r="AA963" s="23"/>
      <c r="AB963" s="3" t="str">
        <f t="shared" si="7"/>
        <v>___</v>
      </c>
      <c r="AC963" s="3" t="str">
        <f t="shared" si="6"/>
        <v>____2</v>
      </c>
    </row>
    <row r="964" spans="1:29" ht="14">
      <c r="A964" s="23"/>
      <c r="B964" s="23"/>
      <c r="C964" s="23"/>
      <c r="D964" s="23"/>
      <c r="E964" s="23"/>
      <c r="F964" s="23"/>
      <c r="G964" s="23"/>
      <c r="H964" s="22">
        <v>3</v>
      </c>
      <c r="I964" s="23"/>
      <c r="J964" s="23"/>
      <c r="K964" s="23"/>
      <c r="L964" s="23" t="s">
        <v>39</v>
      </c>
      <c r="M964" s="22">
        <v>6.2</v>
      </c>
      <c r="N964" s="22">
        <v>1</v>
      </c>
      <c r="O964" s="22">
        <v>7</v>
      </c>
      <c r="P964" s="23"/>
      <c r="Q964" s="23"/>
      <c r="R964" s="23"/>
      <c r="S964" s="23"/>
      <c r="Z964" s="23"/>
      <c r="AA964" s="23"/>
      <c r="AB964" s="3" t="str">
        <f t="shared" si="7"/>
        <v>___</v>
      </c>
      <c r="AC964" s="3" t="str">
        <f t="shared" si="6"/>
        <v>____3</v>
      </c>
    </row>
    <row r="965" spans="1:29" ht="14">
      <c r="A965" s="22" t="s">
        <v>138</v>
      </c>
      <c r="B965" s="23" t="s">
        <v>139</v>
      </c>
      <c r="C965" s="22">
        <v>55</v>
      </c>
      <c r="D965" s="23" t="s">
        <v>134</v>
      </c>
      <c r="E965" s="23" t="s">
        <v>34</v>
      </c>
      <c r="F965" s="23" t="s">
        <v>140</v>
      </c>
      <c r="G965" s="23" t="s">
        <v>40</v>
      </c>
      <c r="H965" s="22">
        <v>1</v>
      </c>
      <c r="I965" s="22">
        <v>20.5</v>
      </c>
      <c r="J965" s="22">
        <v>21</v>
      </c>
      <c r="K965" s="22">
        <v>6</v>
      </c>
      <c r="L965" s="23" t="s">
        <v>36</v>
      </c>
      <c r="M965" s="22">
        <v>4.0999999999999996</v>
      </c>
      <c r="N965" s="22">
        <v>7</v>
      </c>
      <c r="O965" s="22">
        <v>0</v>
      </c>
      <c r="P965" s="23"/>
      <c r="Q965" s="22">
        <v>0</v>
      </c>
      <c r="R965" s="23"/>
      <c r="S965" s="23"/>
      <c r="Z965" s="23"/>
      <c r="AA965" s="22">
        <v>109</v>
      </c>
      <c r="AB965" s="3" t="str">
        <f t="shared" si="7"/>
        <v>ANO_0022_55_T3-C3_vm</v>
      </c>
      <c r="AC965" s="3" t="str">
        <f t="shared" si="6"/>
        <v>ANO_0022_55_T3-C3_vm_1</v>
      </c>
    </row>
    <row r="966" spans="1:29" ht="14">
      <c r="A966" s="23"/>
      <c r="B966" s="23"/>
      <c r="C966" s="23"/>
      <c r="D966" s="23"/>
      <c r="E966" s="23"/>
      <c r="F966" s="23"/>
      <c r="G966" s="23"/>
      <c r="H966" s="22">
        <v>2</v>
      </c>
      <c r="I966" s="23"/>
      <c r="J966" s="23"/>
      <c r="K966" s="23"/>
      <c r="L966" s="23" t="s">
        <v>38</v>
      </c>
      <c r="M966" s="22">
        <v>3.4</v>
      </c>
      <c r="N966" s="22">
        <v>0</v>
      </c>
      <c r="O966" s="22">
        <v>1</v>
      </c>
      <c r="P966" s="23"/>
      <c r="Q966" s="22">
        <v>2</v>
      </c>
      <c r="R966" s="23"/>
      <c r="S966" s="23"/>
      <c r="Z966" s="23"/>
      <c r="AA966" s="23"/>
      <c r="AB966" s="3" t="str">
        <f t="shared" si="7"/>
        <v>___</v>
      </c>
      <c r="AC966" s="3" t="str">
        <f t="shared" si="6"/>
        <v>____2</v>
      </c>
    </row>
    <row r="967" spans="1:29" ht="14">
      <c r="A967" s="23"/>
      <c r="B967" s="23"/>
      <c r="C967" s="23"/>
      <c r="D967" s="23"/>
      <c r="E967" s="23"/>
      <c r="F967" s="23"/>
      <c r="G967" s="23"/>
      <c r="H967" s="22">
        <v>3</v>
      </c>
      <c r="I967" s="23"/>
      <c r="J967" s="23"/>
      <c r="K967" s="23"/>
      <c r="L967" s="23" t="s">
        <v>39</v>
      </c>
      <c r="M967" s="22">
        <v>4.4000000000000004</v>
      </c>
      <c r="N967" s="22">
        <v>0</v>
      </c>
      <c r="O967" s="22">
        <v>3</v>
      </c>
      <c r="P967" s="23"/>
      <c r="Q967" s="22">
        <v>1</v>
      </c>
      <c r="R967" s="23"/>
      <c r="S967" s="23"/>
      <c r="Z967" s="23"/>
      <c r="AA967" s="23"/>
      <c r="AB967" s="3" t="str">
        <f t="shared" si="7"/>
        <v>___</v>
      </c>
      <c r="AC967" s="3" t="str">
        <f t="shared" si="6"/>
        <v>____3</v>
      </c>
    </row>
    <row r="968" spans="1:29" ht="14">
      <c r="A968" s="22" t="s">
        <v>138</v>
      </c>
      <c r="B968" s="23" t="s">
        <v>139</v>
      </c>
      <c r="C968" s="22">
        <v>55</v>
      </c>
      <c r="D968" s="23" t="s">
        <v>134</v>
      </c>
      <c r="E968" s="23" t="s">
        <v>34</v>
      </c>
      <c r="F968" s="23" t="s">
        <v>140</v>
      </c>
      <c r="G968" s="23" t="s">
        <v>40</v>
      </c>
      <c r="H968" s="22">
        <v>1</v>
      </c>
      <c r="I968" s="22">
        <v>23</v>
      </c>
      <c r="J968" s="22">
        <v>29</v>
      </c>
      <c r="K968" s="22">
        <v>5</v>
      </c>
      <c r="L968" s="23" t="s">
        <v>36</v>
      </c>
      <c r="M968" s="22">
        <v>5.6</v>
      </c>
      <c r="N968" s="22">
        <v>6</v>
      </c>
      <c r="O968" s="22">
        <v>0</v>
      </c>
      <c r="P968" s="23"/>
      <c r="Q968" s="22">
        <v>0</v>
      </c>
      <c r="R968" s="23"/>
      <c r="S968" s="23"/>
      <c r="Z968" s="23"/>
      <c r="AA968" s="22">
        <v>110</v>
      </c>
      <c r="AB968" s="3" t="str">
        <f t="shared" si="7"/>
        <v>ANO_0022_55_T3-C3_vm</v>
      </c>
      <c r="AC968" s="3" t="str">
        <f t="shared" si="6"/>
        <v>ANO_0022_55_T3-C3_vm_1</v>
      </c>
    </row>
    <row r="969" spans="1:29" ht="14">
      <c r="A969" s="23"/>
      <c r="B969" s="23"/>
      <c r="C969" s="23"/>
      <c r="D969" s="23"/>
      <c r="E969" s="23"/>
      <c r="F969" s="23"/>
      <c r="G969" s="23"/>
      <c r="H969" s="22">
        <v>2</v>
      </c>
      <c r="I969" s="23"/>
      <c r="J969" s="23"/>
      <c r="K969" s="23"/>
      <c r="L969" s="23" t="s">
        <v>38</v>
      </c>
      <c r="M969" s="22">
        <v>7.5</v>
      </c>
      <c r="N969" s="22">
        <v>2</v>
      </c>
      <c r="O969" s="22">
        <v>6</v>
      </c>
      <c r="P969" s="23"/>
      <c r="Q969" s="22">
        <v>2</v>
      </c>
      <c r="R969" s="23"/>
      <c r="S969" s="23"/>
      <c r="Z969" s="23"/>
      <c r="AA969" s="23"/>
      <c r="AB969" s="3" t="str">
        <f t="shared" si="7"/>
        <v>___</v>
      </c>
      <c r="AC969" s="3" t="str">
        <f t="shared" si="6"/>
        <v>____2</v>
      </c>
    </row>
    <row r="970" spans="1:29" ht="14">
      <c r="A970" s="23"/>
      <c r="B970" s="23"/>
      <c r="C970" s="23"/>
      <c r="D970" s="23"/>
      <c r="E970" s="23"/>
      <c r="F970" s="23"/>
      <c r="G970" s="23"/>
      <c r="H970" s="22">
        <v>3</v>
      </c>
      <c r="I970" s="23"/>
      <c r="J970" s="23"/>
      <c r="K970" s="23"/>
      <c r="L970" s="23" t="s">
        <v>39</v>
      </c>
      <c r="M970" s="22">
        <v>5.9</v>
      </c>
      <c r="N970" s="22">
        <v>0</v>
      </c>
      <c r="O970" s="22">
        <v>5</v>
      </c>
      <c r="P970" s="23"/>
      <c r="Q970" s="22">
        <v>2</v>
      </c>
      <c r="R970" s="23"/>
      <c r="S970" s="23"/>
      <c r="Z970" s="23"/>
      <c r="AA970" s="23"/>
      <c r="AB970" s="3" t="str">
        <f t="shared" si="7"/>
        <v>___</v>
      </c>
      <c r="AC970" s="3" t="str">
        <f t="shared" si="6"/>
        <v>____3</v>
      </c>
    </row>
    <row r="971" spans="1:29" ht="14">
      <c r="A971" s="22" t="s">
        <v>138</v>
      </c>
      <c r="B971" s="23" t="s">
        <v>139</v>
      </c>
      <c r="C971" s="22">
        <v>55</v>
      </c>
      <c r="D971" s="23" t="s">
        <v>134</v>
      </c>
      <c r="E971" s="23" t="s">
        <v>34</v>
      </c>
      <c r="F971" s="23" t="s">
        <v>140</v>
      </c>
      <c r="G971" s="23" t="s">
        <v>40</v>
      </c>
      <c r="H971" s="22">
        <v>1</v>
      </c>
      <c r="I971" s="22">
        <v>20</v>
      </c>
      <c r="J971" s="22">
        <v>23.1</v>
      </c>
      <c r="K971" s="22">
        <v>6</v>
      </c>
      <c r="L971" s="23" t="s">
        <v>36</v>
      </c>
      <c r="M971" s="22">
        <v>4.9000000000000004</v>
      </c>
      <c r="N971" s="22">
        <v>6</v>
      </c>
      <c r="O971" s="22">
        <v>0</v>
      </c>
      <c r="P971" s="23"/>
      <c r="Q971" s="22">
        <v>1</v>
      </c>
      <c r="R971" s="23"/>
      <c r="S971" s="23"/>
      <c r="Z971" s="23"/>
      <c r="AA971" s="22">
        <v>111</v>
      </c>
      <c r="AB971" s="3" t="str">
        <f t="shared" si="7"/>
        <v>ANO_0022_55_T3-C3_vm</v>
      </c>
      <c r="AC971" s="3" t="str">
        <f t="shared" si="6"/>
        <v>ANO_0022_55_T3-C3_vm_1</v>
      </c>
    </row>
    <row r="972" spans="1:29" ht="14">
      <c r="A972" s="23"/>
      <c r="B972" s="23"/>
      <c r="C972" s="23"/>
      <c r="D972" s="23"/>
      <c r="E972" s="23"/>
      <c r="F972" s="23"/>
      <c r="G972" s="23"/>
      <c r="H972" s="22">
        <v>2</v>
      </c>
      <c r="I972" s="23"/>
      <c r="J972" s="23"/>
      <c r="K972" s="23"/>
      <c r="L972" s="23" t="s">
        <v>38</v>
      </c>
      <c r="M972" s="22">
        <v>6.7</v>
      </c>
      <c r="N972" s="22">
        <v>0</v>
      </c>
      <c r="O972" s="22">
        <v>6</v>
      </c>
      <c r="P972" s="23"/>
      <c r="Q972" s="22">
        <v>3</v>
      </c>
      <c r="R972" s="23"/>
      <c r="S972" s="23"/>
      <c r="Z972" s="23"/>
      <c r="AA972" s="23"/>
      <c r="AB972" s="3" t="str">
        <f t="shared" si="7"/>
        <v>___</v>
      </c>
      <c r="AC972" s="3" t="str">
        <f t="shared" si="6"/>
        <v>____2</v>
      </c>
    </row>
    <row r="973" spans="1:29" ht="14">
      <c r="A973" s="23"/>
      <c r="B973" s="23"/>
      <c r="C973" s="23"/>
      <c r="D973" s="23"/>
      <c r="E973" s="23"/>
      <c r="F973" s="23"/>
      <c r="G973" s="23"/>
      <c r="H973" s="22">
        <v>3</v>
      </c>
      <c r="I973" s="23"/>
      <c r="J973" s="23"/>
      <c r="K973" s="23"/>
      <c r="L973" s="23" t="s">
        <v>39</v>
      </c>
      <c r="M973" s="22">
        <v>4.0999999999999996</v>
      </c>
      <c r="N973" s="22">
        <v>0</v>
      </c>
      <c r="O973" s="22">
        <v>3</v>
      </c>
      <c r="P973" s="23"/>
      <c r="Q973" s="22">
        <v>0</v>
      </c>
      <c r="R973" s="23"/>
      <c r="S973" s="23"/>
      <c r="Z973" s="23"/>
      <c r="AA973" s="23"/>
      <c r="AB973" s="3" t="str">
        <f t="shared" si="7"/>
        <v>___</v>
      </c>
      <c r="AC973" s="3" t="str">
        <f t="shared" si="6"/>
        <v>____3</v>
      </c>
    </row>
    <row r="974" spans="1:29" ht="14">
      <c r="A974" s="22" t="s">
        <v>138</v>
      </c>
      <c r="B974" s="23" t="s">
        <v>139</v>
      </c>
      <c r="C974" s="22">
        <v>26</v>
      </c>
      <c r="D974" s="23" t="s">
        <v>134</v>
      </c>
      <c r="E974" s="23" t="s">
        <v>135</v>
      </c>
      <c r="F974" s="23" t="s">
        <v>136</v>
      </c>
      <c r="G974" s="23" t="s">
        <v>40</v>
      </c>
      <c r="H974" s="22">
        <v>1</v>
      </c>
      <c r="I974" s="22">
        <v>19.5</v>
      </c>
      <c r="J974" s="22">
        <v>21.7</v>
      </c>
      <c r="K974" s="22">
        <v>6</v>
      </c>
      <c r="L974" s="23" t="s">
        <v>36</v>
      </c>
      <c r="M974" s="22">
        <v>1.6</v>
      </c>
      <c r="N974" s="22">
        <v>4</v>
      </c>
      <c r="O974" s="22">
        <v>0</v>
      </c>
      <c r="P974" s="23"/>
      <c r="Q974" s="23"/>
      <c r="R974" s="23"/>
      <c r="S974" s="23"/>
      <c r="Z974" s="23"/>
      <c r="AA974" s="22">
        <v>112</v>
      </c>
      <c r="AB974" s="3" t="str">
        <f t="shared" si="7"/>
        <v>ANO_0022_26_T4-C1_vm</v>
      </c>
      <c r="AC974" s="3" t="str">
        <f t="shared" si="6"/>
        <v>ANO_0022_26_T4-C1_vm_1</v>
      </c>
    </row>
    <row r="975" spans="1:29" ht="14">
      <c r="A975" s="23"/>
      <c r="B975" s="23"/>
      <c r="C975" s="23"/>
      <c r="D975" s="23"/>
      <c r="E975" s="23"/>
      <c r="F975" s="23"/>
      <c r="G975" s="23"/>
      <c r="H975" s="22">
        <v>2</v>
      </c>
      <c r="I975" s="23"/>
      <c r="J975" s="23"/>
      <c r="K975" s="23"/>
      <c r="L975" s="23" t="s">
        <v>38</v>
      </c>
      <c r="M975" s="22">
        <v>4.2</v>
      </c>
      <c r="N975" s="22">
        <v>0</v>
      </c>
      <c r="O975" s="22">
        <v>4</v>
      </c>
      <c r="P975" s="23"/>
      <c r="Q975" s="22">
        <v>2</v>
      </c>
      <c r="R975" s="23"/>
      <c r="S975" s="23"/>
      <c r="Z975" s="23"/>
      <c r="AA975" s="23"/>
      <c r="AB975" s="3" t="str">
        <f t="shared" si="7"/>
        <v>___</v>
      </c>
      <c r="AC975" s="3" t="str">
        <f t="shared" si="6"/>
        <v>____2</v>
      </c>
    </row>
    <row r="976" spans="1:29" ht="14">
      <c r="A976" s="23"/>
      <c r="B976" s="23"/>
      <c r="C976" s="23"/>
      <c r="D976" s="23"/>
      <c r="E976" s="23"/>
      <c r="F976" s="23"/>
      <c r="G976" s="23"/>
      <c r="H976" s="22">
        <v>3</v>
      </c>
      <c r="I976" s="23"/>
      <c r="J976" s="23"/>
      <c r="K976" s="23"/>
      <c r="L976" s="23" t="s">
        <v>39</v>
      </c>
      <c r="M976" s="22">
        <v>6.6</v>
      </c>
      <c r="N976" s="22">
        <v>0</v>
      </c>
      <c r="O976" s="22">
        <v>5</v>
      </c>
      <c r="P976" s="23"/>
      <c r="Q976" s="22">
        <v>3</v>
      </c>
      <c r="R976" s="23"/>
      <c r="S976" s="23"/>
      <c r="Z976" s="23"/>
      <c r="AA976" s="23"/>
      <c r="AB976" s="3" t="str">
        <f t="shared" si="7"/>
        <v>___</v>
      </c>
      <c r="AC976" s="3" t="str">
        <f t="shared" si="6"/>
        <v>____3</v>
      </c>
    </row>
    <row r="977" spans="1:29" ht="14">
      <c r="A977" s="22" t="s">
        <v>138</v>
      </c>
      <c r="B977" s="23" t="s">
        <v>139</v>
      </c>
      <c r="C977" s="22">
        <v>26</v>
      </c>
      <c r="D977" s="23" t="s">
        <v>134</v>
      </c>
      <c r="E977" s="23" t="s">
        <v>135</v>
      </c>
      <c r="F977" s="23" t="s">
        <v>136</v>
      </c>
      <c r="G977" s="23" t="s">
        <v>40</v>
      </c>
      <c r="H977" s="22">
        <v>1</v>
      </c>
      <c r="I977" s="22">
        <v>19</v>
      </c>
      <c r="J977" s="22">
        <v>22</v>
      </c>
      <c r="K977" s="22">
        <v>7</v>
      </c>
      <c r="L977" s="23" t="s">
        <v>36</v>
      </c>
      <c r="M977" s="22">
        <v>3.9</v>
      </c>
      <c r="N977" s="22">
        <v>6</v>
      </c>
      <c r="O977" s="22">
        <v>2</v>
      </c>
      <c r="P977" s="23"/>
      <c r="Q977" s="23"/>
      <c r="R977" s="23"/>
      <c r="S977" s="23"/>
      <c r="Z977" s="23"/>
      <c r="AA977" s="22">
        <v>113</v>
      </c>
      <c r="AB977" s="3" t="str">
        <f t="shared" si="7"/>
        <v>ANO_0022_26_T4-C1_vm</v>
      </c>
      <c r="AC977" s="3" t="str">
        <f t="shared" si="6"/>
        <v>ANO_0022_26_T4-C1_vm_1</v>
      </c>
    </row>
    <row r="978" spans="1:29" ht="14">
      <c r="A978" s="23"/>
      <c r="B978" s="23"/>
      <c r="C978" s="23"/>
      <c r="D978" s="23"/>
      <c r="E978" s="23"/>
      <c r="F978" s="23"/>
      <c r="G978" s="23"/>
      <c r="H978" s="22">
        <v>2</v>
      </c>
      <c r="I978" s="23"/>
      <c r="J978" s="23"/>
      <c r="K978" s="23"/>
      <c r="L978" s="23" t="s">
        <v>38</v>
      </c>
      <c r="M978" s="22">
        <v>5.6</v>
      </c>
      <c r="N978" s="22">
        <v>2</v>
      </c>
      <c r="O978" s="22">
        <v>2</v>
      </c>
      <c r="P978" s="23"/>
      <c r="Q978" s="22">
        <v>3</v>
      </c>
      <c r="R978" s="23"/>
      <c r="S978" s="23"/>
      <c r="Z978" s="23"/>
      <c r="AA978" s="23"/>
      <c r="AB978" s="3" t="str">
        <f t="shared" si="7"/>
        <v>___</v>
      </c>
      <c r="AC978" s="3" t="str">
        <f t="shared" si="6"/>
        <v>____2</v>
      </c>
    </row>
    <row r="979" spans="1:29" ht="14">
      <c r="A979" s="23"/>
      <c r="B979" s="23"/>
      <c r="C979" s="23"/>
      <c r="D979" s="23"/>
      <c r="E979" s="23"/>
      <c r="F979" s="23"/>
      <c r="G979" s="23"/>
      <c r="H979" s="22">
        <v>3</v>
      </c>
      <c r="I979" s="23"/>
      <c r="J979" s="23"/>
      <c r="K979" s="23"/>
      <c r="L979" s="23" t="s">
        <v>39</v>
      </c>
      <c r="M979" s="22">
        <v>6.5</v>
      </c>
      <c r="N979" s="22">
        <v>0</v>
      </c>
      <c r="O979" s="22">
        <v>4</v>
      </c>
      <c r="P979" s="23"/>
      <c r="Q979" s="22">
        <v>3</v>
      </c>
      <c r="R979" s="23"/>
      <c r="S979" s="23"/>
      <c r="Z979" s="23"/>
      <c r="AA979" s="23"/>
      <c r="AB979" s="3" t="str">
        <f t="shared" si="7"/>
        <v>___</v>
      </c>
      <c r="AC979" s="3" t="str">
        <f t="shared" si="6"/>
        <v>____3</v>
      </c>
    </row>
    <row r="980" spans="1:29" ht="14">
      <c r="A980" s="22" t="s">
        <v>138</v>
      </c>
      <c r="B980" s="23" t="s">
        <v>139</v>
      </c>
      <c r="C980" s="22">
        <v>26</v>
      </c>
      <c r="D980" s="23" t="s">
        <v>134</v>
      </c>
      <c r="E980" s="23" t="s">
        <v>135</v>
      </c>
      <c r="F980" s="23" t="s">
        <v>136</v>
      </c>
      <c r="G980" s="23" t="s">
        <v>40</v>
      </c>
      <c r="H980" s="22">
        <v>1</v>
      </c>
      <c r="I980" s="22">
        <v>25.5</v>
      </c>
      <c r="J980" s="22">
        <v>28.9</v>
      </c>
      <c r="K980" s="22">
        <v>8</v>
      </c>
      <c r="L980" s="23" t="s">
        <v>36</v>
      </c>
      <c r="M980" s="22">
        <v>1.9</v>
      </c>
      <c r="N980" s="22">
        <v>4</v>
      </c>
      <c r="O980" s="22">
        <v>0</v>
      </c>
      <c r="P980" s="23"/>
      <c r="Q980" s="23"/>
      <c r="R980" s="23"/>
      <c r="S980" s="23"/>
      <c r="Z980" s="23"/>
      <c r="AA980" s="22">
        <v>114</v>
      </c>
      <c r="AB980" s="3" t="str">
        <f t="shared" si="7"/>
        <v>ANO_0022_26_T4-C1_vm</v>
      </c>
      <c r="AC980" s="3" t="str">
        <f t="shared" si="6"/>
        <v>ANO_0022_26_T4-C1_vm_1</v>
      </c>
    </row>
    <row r="981" spans="1:29" ht="14">
      <c r="A981" s="23"/>
      <c r="B981" s="23"/>
      <c r="C981" s="23"/>
      <c r="D981" s="23"/>
      <c r="E981" s="23"/>
      <c r="F981" s="23"/>
      <c r="G981" s="23"/>
      <c r="H981" s="22">
        <v>2</v>
      </c>
      <c r="I981" s="23"/>
      <c r="J981" s="23"/>
      <c r="K981" s="23"/>
      <c r="L981" s="23" t="s">
        <v>38</v>
      </c>
      <c r="M981" s="22">
        <v>4.0999999999999996</v>
      </c>
      <c r="N981" s="22">
        <v>2</v>
      </c>
      <c r="O981" s="22">
        <v>2</v>
      </c>
      <c r="P981" s="23"/>
      <c r="Q981" s="22">
        <v>3</v>
      </c>
      <c r="R981" s="23"/>
      <c r="S981" s="23"/>
      <c r="Z981" s="23"/>
      <c r="AA981" s="23"/>
      <c r="AB981" s="3" t="str">
        <f t="shared" si="7"/>
        <v>___</v>
      </c>
      <c r="AC981" s="3" t="str">
        <f t="shared" si="6"/>
        <v>____2</v>
      </c>
    </row>
    <row r="982" spans="1:29" ht="14">
      <c r="A982" s="23"/>
      <c r="B982" s="23"/>
      <c r="C982" s="23"/>
      <c r="D982" s="23"/>
      <c r="E982" s="23"/>
      <c r="F982" s="23"/>
      <c r="G982" s="23"/>
      <c r="H982" s="22">
        <v>3</v>
      </c>
      <c r="I982" s="23"/>
      <c r="J982" s="23"/>
      <c r="K982" s="23"/>
      <c r="L982" s="23" t="s">
        <v>39</v>
      </c>
      <c r="M982" s="22">
        <v>8.5</v>
      </c>
      <c r="N982" s="22">
        <v>0</v>
      </c>
      <c r="O982" s="22">
        <v>1</v>
      </c>
      <c r="P982" s="23"/>
      <c r="Q982" s="22">
        <v>6</v>
      </c>
      <c r="R982" s="23"/>
      <c r="S982" s="23"/>
      <c r="Z982" s="23"/>
      <c r="AA982" s="23"/>
      <c r="AB982" s="3" t="str">
        <f t="shared" si="7"/>
        <v>___</v>
      </c>
      <c r="AC982" s="3" t="str">
        <f t="shared" si="6"/>
        <v>____3</v>
      </c>
    </row>
    <row r="983" spans="1:29" ht="14">
      <c r="A983" s="22" t="s">
        <v>138</v>
      </c>
      <c r="B983" s="23" t="s">
        <v>139</v>
      </c>
      <c r="C983" s="22">
        <v>26</v>
      </c>
      <c r="D983" s="23" t="s">
        <v>134</v>
      </c>
      <c r="E983" s="23" t="s">
        <v>135</v>
      </c>
      <c r="F983" s="23" t="s">
        <v>136</v>
      </c>
      <c r="G983" s="23" t="s">
        <v>35</v>
      </c>
      <c r="H983" s="22">
        <v>1</v>
      </c>
      <c r="I983" s="22">
        <v>13</v>
      </c>
      <c r="J983" s="22">
        <v>17.5</v>
      </c>
      <c r="K983" s="22">
        <v>5</v>
      </c>
      <c r="L983" s="23" t="s">
        <v>36</v>
      </c>
      <c r="M983" s="22">
        <v>2.2000000000000002</v>
      </c>
      <c r="N983" s="22">
        <v>11</v>
      </c>
      <c r="O983" s="22">
        <v>0</v>
      </c>
      <c r="P983" s="23"/>
      <c r="Q983" s="23"/>
      <c r="R983" s="23"/>
      <c r="S983" s="23"/>
      <c r="Z983" s="23"/>
      <c r="AA983" s="22">
        <v>115</v>
      </c>
      <c r="AB983" s="3" t="str">
        <f t="shared" si="7"/>
        <v>ANO_0022_26_T4-C1_vv</v>
      </c>
      <c r="AC983" s="3" t="str">
        <f t="shared" si="6"/>
        <v>ANO_0022_26_T4-C1_vv_1</v>
      </c>
    </row>
    <row r="984" spans="1:29" ht="14">
      <c r="A984" s="23"/>
      <c r="B984" s="23"/>
      <c r="C984" s="23"/>
      <c r="D984" s="23"/>
      <c r="E984" s="23"/>
      <c r="F984" s="23"/>
      <c r="G984" s="23"/>
      <c r="H984" s="22">
        <v>2</v>
      </c>
      <c r="I984" s="23"/>
      <c r="J984" s="23"/>
      <c r="K984" s="23"/>
      <c r="L984" s="23" t="s">
        <v>38</v>
      </c>
      <c r="M984" s="22">
        <v>4</v>
      </c>
      <c r="N984" s="22">
        <v>8</v>
      </c>
      <c r="O984" s="22">
        <v>3</v>
      </c>
      <c r="P984" s="23"/>
      <c r="Q984" s="23"/>
      <c r="R984" s="23"/>
      <c r="S984" s="23"/>
      <c r="Z984" s="23"/>
      <c r="AA984" s="23"/>
      <c r="AB984" s="3" t="str">
        <f t="shared" si="7"/>
        <v>___</v>
      </c>
      <c r="AC984" s="3" t="str">
        <f t="shared" si="6"/>
        <v>____2</v>
      </c>
    </row>
    <row r="985" spans="1:29" ht="14">
      <c r="A985" s="23"/>
      <c r="B985" s="23"/>
      <c r="C985" s="23"/>
      <c r="D985" s="23"/>
      <c r="E985" s="23"/>
      <c r="F985" s="23"/>
      <c r="G985" s="23"/>
      <c r="H985" s="22">
        <v>3</v>
      </c>
      <c r="I985" s="23"/>
      <c r="J985" s="23"/>
      <c r="K985" s="23"/>
      <c r="L985" s="23" t="s">
        <v>39</v>
      </c>
      <c r="M985" s="22">
        <v>3.7</v>
      </c>
      <c r="N985" s="22">
        <v>3</v>
      </c>
      <c r="O985" s="22">
        <v>4</v>
      </c>
      <c r="P985" s="23"/>
      <c r="Q985" s="23"/>
      <c r="R985" s="23"/>
      <c r="S985" s="23"/>
      <c r="Z985" s="23"/>
      <c r="AA985" s="23"/>
      <c r="AB985" s="3" t="str">
        <f t="shared" si="7"/>
        <v>___</v>
      </c>
      <c r="AC985" s="3" t="str">
        <f t="shared" si="6"/>
        <v>____3</v>
      </c>
    </row>
    <row r="986" spans="1:29" ht="14">
      <c r="A986" s="22" t="s">
        <v>138</v>
      </c>
      <c r="B986" s="23" t="s">
        <v>139</v>
      </c>
      <c r="C986" s="22">
        <v>26</v>
      </c>
      <c r="D986" s="23" t="s">
        <v>134</v>
      </c>
      <c r="E986" s="23" t="s">
        <v>135</v>
      </c>
      <c r="F986" s="23" t="s">
        <v>136</v>
      </c>
      <c r="G986" s="23" t="s">
        <v>35</v>
      </c>
      <c r="H986" s="22">
        <v>1</v>
      </c>
      <c r="I986" s="22">
        <v>11.4</v>
      </c>
      <c r="J986" s="22">
        <v>10</v>
      </c>
      <c r="K986" s="22">
        <v>4</v>
      </c>
      <c r="L986" s="23" t="s">
        <v>36</v>
      </c>
      <c r="M986" s="22">
        <v>3.5</v>
      </c>
      <c r="N986" s="22">
        <v>18</v>
      </c>
      <c r="O986" s="22">
        <v>0</v>
      </c>
      <c r="P986" s="23"/>
      <c r="Q986" s="23"/>
      <c r="R986" s="23"/>
      <c r="S986" s="23"/>
      <c r="Z986" s="23" t="s">
        <v>141</v>
      </c>
      <c r="AA986" s="22">
        <v>116</v>
      </c>
      <c r="AB986" s="3" t="str">
        <f t="shared" si="7"/>
        <v>ANO_0022_26_T4-C1_vv</v>
      </c>
      <c r="AC986" s="3" t="str">
        <f t="shared" si="6"/>
        <v>ANO_0022_26_T4-C1_vv_1</v>
      </c>
    </row>
    <row r="987" spans="1:29" ht="14">
      <c r="A987" s="23"/>
      <c r="B987" s="23"/>
      <c r="C987" s="23"/>
      <c r="D987" s="23"/>
      <c r="E987" s="23"/>
      <c r="F987" s="23"/>
      <c r="G987" s="23"/>
      <c r="H987" s="22">
        <v>2</v>
      </c>
      <c r="I987" s="23"/>
      <c r="J987" s="23"/>
      <c r="K987" s="23"/>
      <c r="L987" s="23" t="s">
        <v>38</v>
      </c>
      <c r="M987" s="22">
        <v>2.6</v>
      </c>
      <c r="N987" s="22">
        <v>11</v>
      </c>
      <c r="O987" s="22">
        <v>1</v>
      </c>
      <c r="P987" s="23"/>
      <c r="Q987" s="23"/>
      <c r="R987" s="23"/>
      <c r="S987" s="23"/>
      <c r="Z987" s="23"/>
      <c r="AA987" s="23"/>
      <c r="AB987" s="3" t="str">
        <f t="shared" si="7"/>
        <v>___</v>
      </c>
      <c r="AC987" s="3" t="str">
        <f t="shared" si="6"/>
        <v>____2</v>
      </c>
    </row>
    <row r="988" spans="1:29" ht="14">
      <c r="A988" s="23"/>
      <c r="B988" s="23"/>
      <c r="C988" s="23"/>
      <c r="D988" s="23"/>
      <c r="E988" s="23"/>
      <c r="F988" s="23"/>
      <c r="G988" s="23"/>
      <c r="H988" s="22">
        <v>3</v>
      </c>
      <c r="I988" s="23"/>
      <c r="J988" s="23"/>
      <c r="K988" s="23"/>
      <c r="L988" s="23" t="s">
        <v>39</v>
      </c>
      <c r="M988" s="22">
        <v>3</v>
      </c>
      <c r="N988" s="22">
        <v>6</v>
      </c>
      <c r="O988" s="22">
        <v>4</v>
      </c>
      <c r="P988" s="23"/>
      <c r="Q988" s="23"/>
      <c r="R988" s="23"/>
      <c r="S988" s="23"/>
      <c r="Z988" s="23"/>
      <c r="AA988" s="23"/>
      <c r="AB988" s="3" t="str">
        <f t="shared" si="7"/>
        <v>___</v>
      </c>
      <c r="AC988" s="3" t="str">
        <f t="shared" si="6"/>
        <v>____3</v>
      </c>
    </row>
    <row r="989" spans="1:29" ht="14">
      <c r="A989" s="22" t="s">
        <v>138</v>
      </c>
      <c r="B989" s="23" t="s">
        <v>139</v>
      </c>
      <c r="C989" s="22">
        <v>26</v>
      </c>
      <c r="D989" s="23" t="s">
        <v>134</v>
      </c>
      <c r="E989" s="23" t="s">
        <v>135</v>
      </c>
      <c r="F989" s="23" t="s">
        <v>136</v>
      </c>
      <c r="G989" s="23" t="s">
        <v>35</v>
      </c>
      <c r="H989" s="22">
        <v>1</v>
      </c>
      <c r="I989" s="22">
        <v>15</v>
      </c>
      <c r="J989" s="22">
        <v>19.399999999999999</v>
      </c>
      <c r="K989" s="22">
        <v>6</v>
      </c>
      <c r="L989" s="23" t="s">
        <v>36</v>
      </c>
      <c r="M989" s="22">
        <v>3.7</v>
      </c>
      <c r="N989" s="22">
        <v>16</v>
      </c>
      <c r="O989" s="22">
        <v>1</v>
      </c>
      <c r="P989" s="23"/>
      <c r="Q989" s="23"/>
      <c r="R989" s="23"/>
      <c r="S989" s="23"/>
      <c r="Z989" s="23" t="s">
        <v>141</v>
      </c>
      <c r="AA989" s="22">
        <v>117</v>
      </c>
      <c r="AB989" s="3" t="str">
        <f t="shared" si="7"/>
        <v>ANO_0022_26_T4-C1_vv</v>
      </c>
      <c r="AC989" s="3" t="str">
        <f t="shared" si="6"/>
        <v>ANO_0022_26_T4-C1_vv_1</v>
      </c>
    </row>
    <row r="990" spans="1:29" ht="14">
      <c r="A990" s="23"/>
      <c r="B990" s="23"/>
      <c r="C990" s="23"/>
      <c r="D990" s="23"/>
      <c r="E990" s="23"/>
      <c r="F990" s="23"/>
      <c r="G990" s="23"/>
      <c r="H990" s="22">
        <v>2</v>
      </c>
      <c r="I990" s="23"/>
      <c r="J990" s="23"/>
      <c r="K990" s="23"/>
      <c r="L990" s="23" t="s">
        <v>38</v>
      </c>
      <c r="M990" s="22">
        <v>2.9</v>
      </c>
      <c r="N990" s="22">
        <v>10</v>
      </c>
      <c r="O990" s="22">
        <v>1</v>
      </c>
      <c r="P990" s="23"/>
      <c r="Q990" s="23"/>
      <c r="R990" s="23"/>
      <c r="S990" s="23"/>
      <c r="Z990" s="23"/>
      <c r="AA990" s="23"/>
      <c r="AB990" s="3" t="str">
        <f t="shared" si="7"/>
        <v>___</v>
      </c>
      <c r="AC990" s="3" t="str">
        <f t="shared" si="6"/>
        <v>____2</v>
      </c>
    </row>
    <row r="991" spans="1:29" ht="14">
      <c r="A991" s="23"/>
      <c r="B991" s="23"/>
      <c r="C991" s="23"/>
      <c r="D991" s="23"/>
      <c r="E991" s="23"/>
      <c r="F991" s="23"/>
      <c r="G991" s="23"/>
      <c r="H991" s="22">
        <v>3</v>
      </c>
      <c r="I991" s="23"/>
      <c r="J991" s="23"/>
      <c r="K991" s="23"/>
      <c r="L991" s="23" t="s">
        <v>39</v>
      </c>
      <c r="M991" s="22">
        <v>5.0999999999999996</v>
      </c>
      <c r="N991" s="22">
        <v>11</v>
      </c>
      <c r="O991" s="22">
        <v>3</v>
      </c>
      <c r="P991" s="23"/>
      <c r="Q991" s="23"/>
      <c r="R991" s="23"/>
      <c r="S991" s="23"/>
      <c r="Z991" s="23"/>
      <c r="AA991" s="23"/>
      <c r="AB991" s="3" t="str">
        <f t="shared" si="7"/>
        <v>___</v>
      </c>
      <c r="AC991" s="3" t="str">
        <f t="shared" si="6"/>
        <v>____3</v>
      </c>
    </row>
    <row r="992" spans="1:29" ht="14">
      <c r="A992" s="22" t="s">
        <v>142</v>
      </c>
      <c r="B992" s="23" t="s">
        <v>143</v>
      </c>
      <c r="C992" s="22">
        <v>46</v>
      </c>
      <c r="D992" s="23" t="s">
        <v>134</v>
      </c>
      <c r="E992" s="23" t="s">
        <v>34</v>
      </c>
      <c r="F992" s="23" t="s">
        <v>144</v>
      </c>
      <c r="G992" s="23" t="s">
        <v>40</v>
      </c>
      <c r="H992" s="22">
        <v>1</v>
      </c>
      <c r="I992" s="22">
        <v>20.5</v>
      </c>
      <c r="J992" s="22">
        <v>22.3</v>
      </c>
      <c r="K992" s="22">
        <v>5</v>
      </c>
      <c r="L992" s="23" t="s">
        <v>36</v>
      </c>
      <c r="M992" s="22">
        <v>1.5</v>
      </c>
      <c r="N992" s="22">
        <v>3</v>
      </c>
      <c r="O992" s="22">
        <v>0</v>
      </c>
      <c r="P992" s="23"/>
      <c r="Q992" s="23"/>
      <c r="R992" s="23"/>
      <c r="S992" s="23"/>
      <c r="Z992" s="23"/>
      <c r="AA992" s="22">
        <v>118</v>
      </c>
      <c r="AB992" s="3" t="str">
        <f t="shared" si="7"/>
        <v>ANO_0212_46_V1-C5_vm</v>
      </c>
      <c r="AC992" s="3" t="str">
        <f t="shared" si="6"/>
        <v>ANO_0212_46_V1-C5_vm_1</v>
      </c>
    </row>
    <row r="993" spans="1:29" ht="14">
      <c r="A993" s="23"/>
      <c r="B993" s="23"/>
      <c r="C993" s="23"/>
      <c r="D993" s="23"/>
      <c r="E993" s="23"/>
      <c r="F993" s="23"/>
      <c r="G993" s="23"/>
      <c r="H993" s="22">
        <v>2</v>
      </c>
      <c r="I993" s="23"/>
      <c r="J993" s="23"/>
      <c r="K993" s="23"/>
      <c r="L993" s="23" t="s">
        <v>38</v>
      </c>
      <c r="M993" s="22">
        <v>4.2</v>
      </c>
      <c r="N993" s="22">
        <v>2</v>
      </c>
      <c r="O993" s="22">
        <v>3</v>
      </c>
      <c r="P993" s="23"/>
      <c r="Q993" s="22">
        <v>2</v>
      </c>
      <c r="R993" s="23"/>
      <c r="S993" s="23"/>
      <c r="Z993" s="23"/>
      <c r="AA993" s="23"/>
      <c r="AB993" s="3" t="str">
        <f t="shared" si="7"/>
        <v>___</v>
      </c>
      <c r="AC993" s="3" t="str">
        <f t="shared" si="6"/>
        <v>____2</v>
      </c>
    </row>
    <row r="994" spans="1:29" ht="14">
      <c r="A994" s="23"/>
      <c r="B994" s="23"/>
      <c r="C994" s="23"/>
      <c r="D994" s="23"/>
      <c r="E994" s="23"/>
      <c r="F994" s="23"/>
      <c r="G994" s="23"/>
      <c r="H994" s="22">
        <v>3</v>
      </c>
      <c r="I994" s="23"/>
      <c r="J994" s="23"/>
      <c r="K994" s="23"/>
      <c r="L994" s="23" t="s">
        <v>39</v>
      </c>
      <c r="M994" s="22">
        <v>5.3</v>
      </c>
      <c r="N994" s="22">
        <v>2</v>
      </c>
      <c r="O994" s="22">
        <v>3</v>
      </c>
      <c r="P994" s="23"/>
      <c r="Q994" s="22">
        <v>2</v>
      </c>
      <c r="R994" s="23"/>
      <c r="S994" s="23"/>
      <c r="Z994" s="23"/>
      <c r="AA994" s="23"/>
      <c r="AB994" s="3" t="str">
        <f t="shared" si="7"/>
        <v>___</v>
      </c>
      <c r="AC994" s="3" t="str">
        <f t="shared" si="6"/>
        <v>____3</v>
      </c>
    </row>
    <row r="995" spans="1:29" ht="14">
      <c r="A995" s="22" t="s">
        <v>142</v>
      </c>
      <c r="B995" s="23" t="s">
        <v>143</v>
      </c>
      <c r="C995" s="22">
        <v>46</v>
      </c>
      <c r="D995" s="23" t="s">
        <v>134</v>
      </c>
      <c r="E995" s="23" t="s">
        <v>34</v>
      </c>
      <c r="F995" s="23" t="s">
        <v>144</v>
      </c>
      <c r="G995" s="23" t="s">
        <v>40</v>
      </c>
      <c r="H995" s="22">
        <v>1</v>
      </c>
      <c r="I995" s="22">
        <v>18.5</v>
      </c>
      <c r="J995" s="22">
        <v>21.6</v>
      </c>
      <c r="K995" s="22">
        <v>6</v>
      </c>
      <c r="L995" s="23" t="s">
        <v>36</v>
      </c>
      <c r="M995" s="22">
        <v>2.5</v>
      </c>
      <c r="N995" s="22">
        <v>4</v>
      </c>
      <c r="O995" s="22">
        <v>0</v>
      </c>
      <c r="P995" s="23"/>
      <c r="Q995" s="23"/>
      <c r="R995" s="23"/>
      <c r="S995" s="23"/>
      <c r="Z995" s="23"/>
      <c r="AA995" s="22">
        <v>119</v>
      </c>
      <c r="AB995" s="3" t="str">
        <f t="shared" si="7"/>
        <v>ANO_0212_46_V1-C5_vm</v>
      </c>
      <c r="AC995" s="3" t="str">
        <f t="shared" si="6"/>
        <v>ANO_0212_46_V1-C5_vm_1</v>
      </c>
    </row>
    <row r="996" spans="1:29" ht="14">
      <c r="A996" s="23"/>
      <c r="B996" s="23"/>
      <c r="C996" s="23"/>
      <c r="D996" s="23"/>
      <c r="E996" s="23"/>
      <c r="F996" s="23"/>
      <c r="G996" s="23"/>
      <c r="H996" s="22">
        <v>2</v>
      </c>
      <c r="I996" s="23"/>
      <c r="J996" s="23"/>
      <c r="K996" s="23"/>
      <c r="L996" s="23" t="s">
        <v>38</v>
      </c>
      <c r="M996" s="22">
        <v>2.6</v>
      </c>
      <c r="N996" s="22">
        <v>1</v>
      </c>
      <c r="O996" s="22">
        <v>3</v>
      </c>
      <c r="P996" s="23"/>
      <c r="Q996" s="23"/>
      <c r="R996" s="23"/>
      <c r="S996" s="23"/>
      <c r="Z996" s="23"/>
      <c r="AA996" s="23"/>
      <c r="AB996" s="3" t="str">
        <f t="shared" si="7"/>
        <v>___</v>
      </c>
      <c r="AC996" s="3" t="str">
        <f t="shared" si="6"/>
        <v>____2</v>
      </c>
    </row>
    <row r="997" spans="1:29" ht="14">
      <c r="A997" s="23"/>
      <c r="B997" s="23"/>
      <c r="C997" s="23"/>
      <c r="D997" s="23"/>
      <c r="E997" s="23"/>
      <c r="F997" s="23"/>
      <c r="G997" s="23"/>
      <c r="H997" s="22">
        <v>3</v>
      </c>
      <c r="I997" s="23"/>
      <c r="J997" s="23"/>
      <c r="K997" s="23"/>
      <c r="L997" s="23" t="s">
        <v>39</v>
      </c>
      <c r="M997" s="22">
        <v>5.8</v>
      </c>
      <c r="N997" s="22">
        <v>2</v>
      </c>
      <c r="O997" s="22">
        <v>3</v>
      </c>
      <c r="P997" s="23"/>
      <c r="Q997" s="22">
        <v>2</v>
      </c>
      <c r="R997" s="23"/>
      <c r="S997" s="23"/>
      <c r="Z997" s="23"/>
      <c r="AA997" s="23"/>
      <c r="AB997" s="3" t="str">
        <f t="shared" si="7"/>
        <v>___</v>
      </c>
      <c r="AC997" s="3" t="str">
        <f t="shared" si="6"/>
        <v>____3</v>
      </c>
    </row>
    <row r="998" spans="1:29" ht="14">
      <c r="A998" s="22" t="s">
        <v>142</v>
      </c>
      <c r="B998" s="23" t="s">
        <v>143</v>
      </c>
      <c r="C998" s="22">
        <v>46</v>
      </c>
      <c r="D998" s="23" t="s">
        <v>134</v>
      </c>
      <c r="E998" s="23" t="s">
        <v>34</v>
      </c>
      <c r="F998" s="23" t="s">
        <v>144</v>
      </c>
      <c r="G998" s="23" t="s">
        <v>40</v>
      </c>
      <c r="H998" s="22">
        <v>1</v>
      </c>
      <c r="I998" s="22">
        <v>24</v>
      </c>
      <c r="J998" s="22">
        <v>27.8</v>
      </c>
      <c r="K998" s="22">
        <v>8</v>
      </c>
      <c r="L998" s="23" t="s">
        <v>36</v>
      </c>
      <c r="M998" s="22">
        <v>2</v>
      </c>
      <c r="N998" s="22">
        <v>5</v>
      </c>
      <c r="O998" s="22">
        <v>0</v>
      </c>
      <c r="P998" s="23"/>
      <c r="Q998" s="23"/>
      <c r="R998" s="23"/>
      <c r="S998" s="23"/>
      <c r="Z998" s="23"/>
      <c r="AA998" s="22">
        <v>120</v>
      </c>
      <c r="AB998" s="3" t="str">
        <f t="shared" si="7"/>
        <v>ANO_0212_46_V1-C5_vm</v>
      </c>
      <c r="AC998" s="3" t="str">
        <f t="shared" si="6"/>
        <v>ANO_0212_46_V1-C5_vm_1</v>
      </c>
    </row>
    <row r="999" spans="1:29" ht="14">
      <c r="A999" s="23"/>
      <c r="B999" s="23"/>
      <c r="C999" s="23"/>
      <c r="D999" s="23"/>
      <c r="E999" s="23"/>
      <c r="F999" s="23"/>
      <c r="G999" s="23"/>
      <c r="H999" s="22">
        <v>2</v>
      </c>
      <c r="I999" s="23"/>
      <c r="J999" s="23"/>
      <c r="K999" s="23"/>
      <c r="L999" s="23" t="s">
        <v>38</v>
      </c>
      <c r="M999" s="22">
        <v>3.1</v>
      </c>
      <c r="N999" s="22">
        <v>2</v>
      </c>
      <c r="O999" s="22">
        <v>4</v>
      </c>
      <c r="P999" s="23"/>
      <c r="Q999" s="22">
        <v>2</v>
      </c>
      <c r="R999" s="23"/>
      <c r="S999" s="23"/>
      <c r="Z999" s="23"/>
      <c r="AA999" s="23"/>
      <c r="AB999" s="3" t="str">
        <f t="shared" si="7"/>
        <v>___</v>
      </c>
      <c r="AC999" s="3" t="str">
        <f t="shared" si="6"/>
        <v>____2</v>
      </c>
    </row>
    <row r="1000" spans="1:29" ht="14">
      <c r="A1000" s="23"/>
      <c r="B1000" s="23"/>
      <c r="C1000" s="23"/>
      <c r="D1000" s="23"/>
      <c r="E1000" s="23"/>
      <c r="F1000" s="23"/>
      <c r="G1000" s="23"/>
      <c r="H1000" s="22">
        <v>3</v>
      </c>
      <c r="I1000" s="23"/>
      <c r="J1000" s="23"/>
      <c r="K1000" s="23"/>
      <c r="L1000" s="23" t="s">
        <v>39</v>
      </c>
      <c r="M1000" s="22">
        <v>4.9000000000000004</v>
      </c>
      <c r="N1000" s="22">
        <v>1</v>
      </c>
      <c r="O1000" s="22">
        <v>6</v>
      </c>
      <c r="P1000" s="23"/>
      <c r="Q1000" s="22">
        <v>1</v>
      </c>
      <c r="R1000" s="23"/>
      <c r="S1000" s="23"/>
      <c r="Z1000" s="23"/>
      <c r="AA1000" s="23"/>
      <c r="AB1000" s="3" t="str">
        <f t="shared" si="7"/>
        <v>___</v>
      </c>
      <c r="AC1000" s="3" t="str">
        <f t="shared" si="6"/>
        <v>____3</v>
      </c>
    </row>
    <row r="1001" spans="1:29" ht="14">
      <c r="A1001" s="22" t="s">
        <v>142</v>
      </c>
      <c r="B1001" s="23" t="s">
        <v>143</v>
      </c>
      <c r="C1001" s="22">
        <v>46</v>
      </c>
      <c r="D1001" s="23" t="s">
        <v>134</v>
      </c>
      <c r="E1001" s="23" t="s">
        <v>34</v>
      </c>
      <c r="F1001" s="23" t="s">
        <v>144</v>
      </c>
      <c r="G1001" s="23" t="s">
        <v>35</v>
      </c>
      <c r="H1001" s="22">
        <v>1</v>
      </c>
      <c r="I1001" s="22">
        <v>12.5</v>
      </c>
      <c r="J1001" s="22">
        <v>15.6</v>
      </c>
      <c r="K1001" s="22">
        <v>6</v>
      </c>
      <c r="L1001" s="23" t="s">
        <v>36</v>
      </c>
      <c r="M1001" s="22">
        <v>2.4</v>
      </c>
      <c r="N1001" s="22">
        <v>8</v>
      </c>
      <c r="O1001" s="22">
        <v>2</v>
      </c>
      <c r="P1001" s="23"/>
      <c r="Q1001" s="23"/>
      <c r="R1001" s="23"/>
      <c r="S1001" s="23"/>
      <c r="Z1001" s="23"/>
      <c r="AA1001" s="22">
        <v>121</v>
      </c>
      <c r="AB1001" s="3" t="str">
        <f t="shared" si="7"/>
        <v>ANO_0212_46_V1-C5_vv</v>
      </c>
      <c r="AC1001" s="3" t="str">
        <f t="shared" si="6"/>
        <v>ANO_0212_46_V1-C5_vv_1</v>
      </c>
    </row>
    <row r="1002" spans="1:29" ht="14">
      <c r="A1002" s="23"/>
      <c r="B1002" s="23"/>
      <c r="C1002" s="23"/>
      <c r="D1002" s="23"/>
      <c r="E1002" s="23"/>
      <c r="F1002" s="23"/>
      <c r="G1002" s="23"/>
      <c r="H1002" s="22">
        <v>2</v>
      </c>
      <c r="I1002" s="23"/>
      <c r="J1002" s="23"/>
      <c r="K1002" s="23"/>
      <c r="L1002" s="23" t="s">
        <v>38</v>
      </c>
      <c r="M1002" s="22">
        <v>3.9</v>
      </c>
      <c r="N1002" s="22">
        <v>9</v>
      </c>
      <c r="O1002" s="22">
        <v>1</v>
      </c>
      <c r="P1002" s="23"/>
      <c r="Q1002" s="23"/>
      <c r="R1002" s="23"/>
      <c r="S1002" s="23"/>
      <c r="Z1002" s="23"/>
      <c r="AA1002" s="23"/>
      <c r="AB1002" s="3" t="str">
        <f t="shared" si="7"/>
        <v>___</v>
      </c>
      <c r="AC1002" s="3" t="str">
        <f t="shared" si="6"/>
        <v>____2</v>
      </c>
    </row>
    <row r="1003" spans="1:29" ht="14">
      <c r="A1003" s="23"/>
      <c r="B1003" s="23"/>
      <c r="C1003" s="23"/>
      <c r="D1003" s="23"/>
      <c r="E1003" s="23"/>
      <c r="F1003" s="23"/>
      <c r="G1003" s="23"/>
      <c r="H1003" s="22">
        <v>3</v>
      </c>
      <c r="I1003" s="23"/>
      <c r="J1003" s="23"/>
      <c r="K1003" s="23"/>
      <c r="L1003" s="23" t="s">
        <v>39</v>
      </c>
      <c r="M1003" s="22">
        <v>1.9</v>
      </c>
      <c r="N1003" s="22">
        <v>0</v>
      </c>
      <c r="O1003" s="22">
        <v>2</v>
      </c>
      <c r="P1003" s="23"/>
      <c r="Q1003" s="23"/>
      <c r="R1003" s="23"/>
      <c r="S1003" s="23"/>
      <c r="Z1003" s="23"/>
      <c r="AA1003" s="23"/>
      <c r="AB1003" s="3" t="str">
        <f t="shared" si="7"/>
        <v>___</v>
      </c>
      <c r="AC1003" s="3" t="str">
        <f t="shared" si="6"/>
        <v>____3</v>
      </c>
    </row>
    <row r="1004" spans="1:29" ht="14">
      <c r="A1004" s="22" t="s">
        <v>142</v>
      </c>
      <c r="B1004" s="23" t="s">
        <v>143</v>
      </c>
      <c r="C1004" s="22">
        <v>46</v>
      </c>
      <c r="D1004" s="23" t="s">
        <v>134</v>
      </c>
      <c r="E1004" s="23" t="s">
        <v>34</v>
      </c>
      <c r="F1004" s="23" t="s">
        <v>144</v>
      </c>
      <c r="G1004" s="23" t="s">
        <v>35</v>
      </c>
      <c r="H1004" s="22">
        <v>1</v>
      </c>
      <c r="I1004" s="22">
        <v>14.5</v>
      </c>
      <c r="J1004" s="22">
        <v>21</v>
      </c>
      <c r="K1004" s="22">
        <v>4</v>
      </c>
      <c r="L1004" s="23" t="s">
        <v>36</v>
      </c>
      <c r="M1004" s="22">
        <v>5.4</v>
      </c>
      <c r="N1004" s="22">
        <v>11</v>
      </c>
      <c r="O1004" s="22">
        <v>2</v>
      </c>
      <c r="P1004" s="23"/>
      <c r="Q1004" s="23"/>
      <c r="R1004" s="23"/>
      <c r="S1004" s="23"/>
      <c r="Z1004" s="23"/>
      <c r="AA1004" s="22">
        <v>122</v>
      </c>
      <c r="AB1004" s="3" t="str">
        <f t="shared" si="7"/>
        <v>ANO_0212_46_V1-C5_vv</v>
      </c>
      <c r="AC1004" s="3" t="str">
        <f t="shared" si="6"/>
        <v>ANO_0212_46_V1-C5_vv_1</v>
      </c>
    </row>
    <row r="1005" spans="1:29" ht="14">
      <c r="A1005" s="23"/>
      <c r="B1005" s="23"/>
      <c r="C1005" s="23"/>
      <c r="D1005" s="23"/>
      <c r="E1005" s="23"/>
      <c r="F1005" s="23"/>
      <c r="G1005" s="23"/>
      <c r="H1005" s="22">
        <v>2</v>
      </c>
      <c r="I1005" s="23"/>
      <c r="J1005" s="23"/>
      <c r="K1005" s="23"/>
      <c r="L1005" s="23" t="s">
        <v>38</v>
      </c>
      <c r="M1005" s="22">
        <v>2.7</v>
      </c>
      <c r="N1005" s="22">
        <v>6</v>
      </c>
      <c r="O1005" s="22">
        <v>5</v>
      </c>
      <c r="P1005" s="23"/>
      <c r="Q1005" s="23"/>
      <c r="R1005" s="23"/>
      <c r="S1005" s="23"/>
      <c r="Z1005" s="23"/>
      <c r="AA1005" s="23"/>
      <c r="AB1005" s="3" t="str">
        <f t="shared" si="7"/>
        <v>___</v>
      </c>
      <c r="AC1005" s="3" t="str">
        <f t="shared" si="6"/>
        <v>____2</v>
      </c>
    </row>
    <row r="1006" spans="1:29" ht="14">
      <c r="A1006" s="23"/>
      <c r="B1006" s="23"/>
      <c r="C1006" s="23"/>
      <c r="D1006" s="23"/>
      <c r="E1006" s="23"/>
      <c r="F1006" s="23"/>
      <c r="G1006" s="23"/>
      <c r="H1006" s="22">
        <v>3</v>
      </c>
      <c r="I1006" s="23"/>
      <c r="J1006" s="23"/>
      <c r="K1006" s="23"/>
      <c r="L1006" s="23" t="s">
        <v>39</v>
      </c>
      <c r="M1006" s="22">
        <v>6.5</v>
      </c>
      <c r="N1006" s="22">
        <v>0</v>
      </c>
      <c r="O1006" s="22">
        <v>8</v>
      </c>
      <c r="P1006" s="23"/>
      <c r="Q1006" s="23"/>
      <c r="R1006" s="23"/>
      <c r="S1006" s="23"/>
      <c r="Z1006" s="23"/>
      <c r="AA1006" s="23"/>
      <c r="AB1006" s="3" t="str">
        <f t="shared" si="7"/>
        <v>___</v>
      </c>
      <c r="AC1006" s="3" t="str">
        <f t="shared" si="6"/>
        <v>____3</v>
      </c>
    </row>
    <row r="1007" spans="1:29" ht="14">
      <c r="A1007" s="22" t="s">
        <v>142</v>
      </c>
      <c r="B1007" s="23" t="s">
        <v>143</v>
      </c>
      <c r="C1007" s="22">
        <v>46</v>
      </c>
      <c r="D1007" s="23" t="s">
        <v>134</v>
      </c>
      <c r="E1007" s="23" t="s">
        <v>34</v>
      </c>
      <c r="F1007" s="23" t="s">
        <v>144</v>
      </c>
      <c r="G1007" s="23" t="s">
        <v>35</v>
      </c>
      <c r="H1007" s="22">
        <v>1</v>
      </c>
      <c r="I1007" s="22">
        <v>14</v>
      </c>
      <c r="J1007" s="22">
        <v>15.2</v>
      </c>
      <c r="K1007" s="22">
        <v>5</v>
      </c>
      <c r="L1007" s="23" t="s">
        <v>36</v>
      </c>
      <c r="M1007" s="22">
        <v>2.8</v>
      </c>
      <c r="N1007" s="22">
        <v>11</v>
      </c>
      <c r="O1007" s="22">
        <v>0</v>
      </c>
      <c r="P1007" s="23"/>
      <c r="Q1007" s="23"/>
      <c r="R1007" s="23"/>
      <c r="S1007" s="23"/>
      <c r="Z1007" s="23"/>
      <c r="AA1007" s="22">
        <v>123</v>
      </c>
      <c r="AB1007" s="3" t="str">
        <f t="shared" si="7"/>
        <v>ANO_0212_46_V1-C5_vv</v>
      </c>
      <c r="AC1007" s="3" t="str">
        <f t="shared" si="6"/>
        <v>ANO_0212_46_V1-C5_vv_1</v>
      </c>
    </row>
    <row r="1008" spans="1:29" ht="14">
      <c r="A1008" s="23"/>
      <c r="B1008" s="23"/>
      <c r="C1008" s="23"/>
      <c r="D1008" s="23"/>
      <c r="E1008" s="23"/>
      <c r="F1008" s="23"/>
      <c r="G1008" s="23"/>
      <c r="H1008" s="22">
        <v>2</v>
      </c>
      <c r="I1008" s="23"/>
      <c r="J1008" s="23"/>
      <c r="K1008" s="23"/>
      <c r="L1008" s="23" t="s">
        <v>38</v>
      </c>
      <c r="M1008" s="22">
        <v>6.2</v>
      </c>
      <c r="N1008" s="22">
        <v>6</v>
      </c>
      <c r="O1008" s="22">
        <v>9</v>
      </c>
      <c r="P1008" s="23"/>
      <c r="Q1008" s="23"/>
      <c r="R1008" s="23"/>
      <c r="S1008" s="23"/>
      <c r="Z1008" s="23"/>
      <c r="AA1008" s="23"/>
      <c r="AB1008" s="3" t="str">
        <f t="shared" si="7"/>
        <v>___</v>
      </c>
      <c r="AC1008" s="3" t="str">
        <f t="shared" si="6"/>
        <v>____2</v>
      </c>
    </row>
    <row r="1009" spans="1:29" ht="14">
      <c r="A1009" s="23"/>
      <c r="B1009" s="23"/>
      <c r="C1009" s="23"/>
      <c r="D1009" s="23"/>
      <c r="E1009" s="23"/>
      <c r="F1009" s="23"/>
      <c r="G1009" s="23"/>
      <c r="H1009" s="22">
        <v>3</v>
      </c>
      <c r="I1009" s="23"/>
      <c r="J1009" s="23"/>
      <c r="K1009" s="23"/>
      <c r="L1009" s="23" t="s">
        <v>39</v>
      </c>
      <c r="M1009" s="22">
        <v>4.7</v>
      </c>
      <c r="N1009" s="22">
        <v>0</v>
      </c>
      <c r="O1009" s="22">
        <v>9</v>
      </c>
      <c r="P1009" s="23"/>
      <c r="Q1009" s="23"/>
      <c r="R1009" s="23"/>
      <c r="S1009" s="23"/>
      <c r="Z1009" s="23"/>
      <c r="AA1009" s="23"/>
      <c r="AB1009" s="3" t="str">
        <f t="shared" si="7"/>
        <v>___</v>
      </c>
      <c r="AC1009" s="3" t="str">
        <f t="shared" si="6"/>
        <v>____3</v>
      </c>
    </row>
    <row r="1010" spans="1:29" ht="14">
      <c r="A1010" s="22" t="s">
        <v>142</v>
      </c>
      <c r="B1010" s="23" t="s">
        <v>143</v>
      </c>
      <c r="C1010" s="22">
        <v>62</v>
      </c>
      <c r="D1010" s="23" t="s">
        <v>134</v>
      </c>
      <c r="E1010" s="23" t="s">
        <v>135</v>
      </c>
      <c r="F1010" s="23" t="s">
        <v>145</v>
      </c>
      <c r="G1010" s="23" t="s">
        <v>40</v>
      </c>
      <c r="H1010" s="22">
        <v>1</v>
      </c>
      <c r="I1010" s="22">
        <v>14</v>
      </c>
      <c r="J1010" s="22">
        <v>15.2</v>
      </c>
      <c r="K1010" s="22">
        <v>5</v>
      </c>
      <c r="L1010" s="23" t="s">
        <v>36</v>
      </c>
      <c r="M1010" s="22">
        <v>3.4</v>
      </c>
      <c r="N1010" s="22">
        <v>5</v>
      </c>
      <c r="O1010" s="22">
        <v>0</v>
      </c>
      <c r="P1010" s="23"/>
      <c r="Q1010" s="23"/>
      <c r="R1010" s="23"/>
      <c r="S1010" s="23"/>
      <c r="Z1010" s="23"/>
      <c r="AA1010" s="22">
        <v>124</v>
      </c>
      <c r="AB1010" s="3" t="str">
        <f t="shared" si="7"/>
        <v>ANO_0212_62_T4-C9_vm</v>
      </c>
      <c r="AC1010" s="3" t="str">
        <f t="shared" si="6"/>
        <v>ANO_0212_62_T4-C9_vm_1</v>
      </c>
    </row>
    <row r="1011" spans="1:29" ht="14">
      <c r="A1011" s="23"/>
      <c r="B1011" s="23"/>
      <c r="C1011" s="23"/>
      <c r="D1011" s="23"/>
      <c r="E1011" s="23"/>
      <c r="F1011" s="23"/>
      <c r="G1011" s="23"/>
      <c r="H1011" s="22">
        <v>2</v>
      </c>
      <c r="I1011" s="23"/>
      <c r="J1011" s="23"/>
      <c r="K1011" s="23"/>
      <c r="L1011" s="23" t="s">
        <v>38</v>
      </c>
      <c r="M1011" s="22">
        <v>4</v>
      </c>
      <c r="N1011" s="22">
        <v>0</v>
      </c>
      <c r="O1011" s="22">
        <v>2</v>
      </c>
      <c r="P1011" s="23"/>
      <c r="Q1011" s="22">
        <v>3</v>
      </c>
      <c r="R1011" s="23"/>
      <c r="S1011" s="23"/>
      <c r="Z1011" s="23"/>
      <c r="AA1011" s="23"/>
      <c r="AB1011" s="3" t="str">
        <f t="shared" si="7"/>
        <v>___</v>
      </c>
      <c r="AC1011" s="3" t="str">
        <f t="shared" si="6"/>
        <v>____2</v>
      </c>
    </row>
    <row r="1012" spans="1:29" ht="14">
      <c r="A1012" s="23"/>
      <c r="B1012" s="23"/>
      <c r="C1012" s="23"/>
      <c r="D1012" s="23"/>
      <c r="E1012" s="23"/>
      <c r="F1012" s="23"/>
      <c r="G1012" s="23"/>
      <c r="H1012" s="22">
        <v>3</v>
      </c>
      <c r="I1012" s="23"/>
      <c r="J1012" s="23"/>
      <c r="K1012" s="23"/>
      <c r="L1012" s="23" t="s">
        <v>39</v>
      </c>
      <c r="M1012" s="22">
        <v>2.2000000000000002</v>
      </c>
      <c r="N1012" s="22">
        <v>0</v>
      </c>
      <c r="O1012" s="22">
        <v>2</v>
      </c>
      <c r="P1012" s="23"/>
      <c r="Q1012" s="22">
        <v>1</v>
      </c>
      <c r="R1012" s="23"/>
      <c r="S1012" s="23"/>
      <c r="Z1012" s="23"/>
      <c r="AA1012" s="23"/>
      <c r="AB1012" s="3" t="str">
        <f t="shared" si="7"/>
        <v>___</v>
      </c>
      <c r="AC1012" s="3" t="str">
        <f t="shared" si="6"/>
        <v>____3</v>
      </c>
    </row>
    <row r="1013" spans="1:29" ht="14">
      <c r="A1013" s="22" t="s">
        <v>142</v>
      </c>
      <c r="B1013" s="23" t="s">
        <v>143</v>
      </c>
      <c r="C1013" s="22">
        <v>62</v>
      </c>
      <c r="D1013" s="23" t="s">
        <v>134</v>
      </c>
      <c r="E1013" s="23" t="s">
        <v>135</v>
      </c>
      <c r="F1013" s="23" t="s">
        <v>145</v>
      </c>
      <c r="G1013" s="23" t="s">
        <v>40</v>
      </c>
      <c r="H1013" s="22">
        <v>1</v>
      </c>
      <c r="I1013" s="22">
        <v>26</v>
      </c>
      <c r="J1013" s="22">
        <v>26.7</v>
      </c>
      <c r="K1013" s="22">
        <v>5</v>
      </c>
      <c r="L1013" s="23" t="s">
        <v>36</v>
      </c>
      <c r="M1013" s="22">
        <v>4.8</v>
      </c>
      <c r="N1013" s="22">
        <v>4</v>
      </c>
      <c r="O1013" s="22">
        <v>2</v>
      </c>
      <c r="P1013" s="23"/>
      <c r="Q1013" s="23"/>
      <c r="R1013" s="23"/>
      <c r="S1013" s="23"/>
      <c r="Z1013" s="23"/>
      <c r="AA1013" s="22">
        <v>125</v>
      </c>
      <c r="AB1013" s="3" t="str">
        <f t="shared" si="7"/>
        <v>ANO_0212_62_T4-C9_vm</v>
      </c>
      <c r="AC1013" s="3" t="str">
        <f t="shared" si="6"/>
        <v>ANO_0212_62_T4-C9_vm_1</v>
      </c>
    </row>
    <row r="1014" spans="1:29" ht="14">
      <c r="A1014" s="23"/>
      <c r="B1014" s="23"/>
      <c r="C1014" s="23"/>
      <c r="D1014" s="23"/>
      <c r="E1014" s="23"/>
      <c r="F1014" s="23"/>
      <c r="G1014" s="23"/>
      <c r="H1014" s="22">
        <v>2</v>
      </c>
      <c r="I1014" s="23"/>
      <c r="J1014" s="23"/>
      <c r="K1014" s="23"/>
      <c r="L1014" s="23" t="s">
        <v>38</v>
      </c>
      <c r="M1014" s="22">
        <v>7</v>
      </c>
      <c r="N1014" s="22">
        <v>3</v>
      </c>
      <c r="O1014" s="22">
        <v>6</v>
      </c>
      <c r="P1014" s="23"/>
      <c r="Q1014" s="22">
        <v>3</v>
      </c>
      <c r="R1014" s="23"/>
      <c r="S1014" s="23"/>
      <c r="Z1014" s="23"/>
      <c r="AA1014" s="23"/>
      <c r="AB1014" s="3" t="str">
        <f t="shared" si="7"/>
        <v>___</v>
      </c>
      <c r="AC1014" s="3" t="str">
        <f t="shared" si="6"/>
        <v>____2</v>
      </c>
    </row>
    <row r="1015" spans="1:29" ht="14">
      <c r="A1015" s="23"/>
      <c r="B1015" s="23"/>
      <c r="C1015" s="23"/>
      <c r="D1015" s="23"/>
      <c r="E1015" s="23"/>
      <c r="F1015" s="23"/>
      <c r="G1015" s="23"/>
      <c r="H1015" s="22">
        <v>3</v>
      </c>
      <c r="I1015" s="23"/>
      <c r="J1015" s="23"/>
      <c r="K1015" s="23"/>
      <c r="L1015" s="23" t="s">
        <v>39</v>
      </c>
      <c r="M1015" s="22">
        <v>8.4</v>
      </c>
      <c r="N1015" s="22">
        <v>0</v>
      </c>
      <c r="O1015" s="22">
        <v>7</v>
      </c>
      <c r="P1015" s="23"/>
      <c r="Q1015" s="22">
        <v>4</v>
      </c>
      <c r="R1015" s="23"/>
      <c r="S1015" s="23"/>
      <c r="Z1015" s="23"/>
      <c r="AA1015" s="23"/>
      <c r="AB1015" s="3" t="str">
        <f t="shared" si="7"/>
        <v>___</v>
      </c>
      <c r="AC1015" s="3" t="str">
        <f t="shared" si="6"/>
        <v>____3</v>
      </c>
    </row>
    <row r="1016" spans="1:29" ht="14">
      <c r="A1016" s="22" t="s">
        <v>142</v>
      </c>
      <c r="B1016" s="23" t="s">
        <v>143</v>
      </c>
      <c r="C1016" s="22">
        <v>62</v>
      </c>
      <c r="D1016" s="23" t="s">
        <v>134</v>
      </c>
      <c r="E1016" s="23" t="s">
        <v>135</v>
      </c>
      <c r="F1016" s="23" t="s">
        <v>145</v>
      </c>
      <c r="G1016" s="23" t="s">
        <v>40</v>
      </c>
      <c r="H1016" s="22">
        <v>1</v>
      </c>
      <c r="I1016" s="22">
        <v>18</v>
      </c>
      <c r="J1016" s="22">
        <v>18.399999999999999</v>
      </c>
      <c r="K1016" s="22">
        <v>4</v>
      </c>
      <c r="L1016" s="23" t="s">
        <v>36</v>
      </c>
      <c r="M1016" s="22">
        <v>4.8</v>
      </c>
      <c r="N1016" s="22">
        <v>4</v>
      </c>
      <c r="O1016" s="22">
        <v>2</v>
      </c>
      <c r="P1016" s="23"/>
      <c r="Q1016" s="23"/>
      <c r="R1016" s="23"/>
      <c r="S1016" s="23"/>
      <c r="Z1016" s="23"/>
      <c r="AA1016" s="22">
        <v>126</v>
      </c>
      <c r="AB1016" s="3" t="str">
        <f t="shared" si="7"/>
        <v>ANO_0212_62_T4-C9_vm</v>
      </c>
      <c r="AC1016" s="3" t="str">
        <f t="shared" si="6"/>
        <v>ANO_0212_62_T4-C9_vm_1</v>
      </c>
    </row>
    <row r="1017" spans="1:29" ht="14">
      <c r="A1017" s="23"/>
      <c r="B1017" s="23"/>
      <c r="C1017" s="23"/>
      <c r="D1017" s="23"/>
      <c r="E1017" s="23"/>
      <c r="F1017" s="23"/>
      <c r="G1017" s="23"/>
      <c r="H1017" s="22">
        <v>2</v>
      </c>
      <c r="I1017" s="23"/>
      <c r="J1017" s="23"/>
      <c r="K1017" s="23"/>
      <c r="L1017" s="23" t="s">
        <v>38</v>
      </c>
      <c r="M1017" s="22">
        <v>6.2</v>
      </c>
      <c r="N1017" s="22">
        <v>0</v>
      </c>
      <c r="O1017" s="22">
        <v>6</v>
      </c>
      <c r="P1017" s="23"/>
      <c r="Q1017" s="22">
        <v>3</v>
      </c>
      <c r="R1017" s="23"/>
      <c r="S1017" s="23"/>
      <c r="Z1017" s="23"/>
      <c r="AA1017" s="23"/>
      <c r="AB1017" s="3" t="str">
        <f t="shared" si="7"/>
        <v>___</v>
      </c>
      <c r="AC1017" s="3" t="str">
        <f t="shared" si="6"/>
        <v>____2</v>
      </c>
    </row>
    <row r="1018" spans="1:29" ht="14">
      <c r="A1018" s="23"/>
      <c r="B1018" s="23"/>
      <c r="C1018" s="23"/>
      <c r="D1018" s="23"/>
      <c r="E1018" s="23"/>
      <c r="F1018" s="23"/>
      <c r="G1018" s="23"/>
      <c r="H1018" s="22">
        <v>3</v>
      </c>
      <c r="I1018" s="23"/>
      <c r="J1018" s="23"/>
      <c r="K1018" s="23"/>
      <c r="L1018" s="23" t="s">
        <v>39</v>
      </c>
      <c r="M1018" s="22">
        <v>4</v>
      </c>
      <c r="N1018" s="22">
        <v>0</v>
      </c>
      <c r="O1018" s="22">
        <v>4</v>
      </c>
      <c r="P1018" s="23"/>
      <c r="Q1018" s="22">
        <v>1</v>
      </c>
      <c r="R1018" s="23"/>
      <c r="S1018" s="23"/>
      <c r="Z1018" s="23"/>
      <c r="AA1018" s="23"/>
      <c r="AB1018" s="3" t="str">
        <f t="shared" si="7"/>
        <v>___</v>
      </c>
      <c r="AC1018" s="3" t="str">
        <f t="shared" si="6"/>
        <v>____3</v>
      </c>
    </row>
    <row r="1019" spans="1:29" ht="14">
      <c r="A1019" s="22" t="s">
        <v>142</v>
      </c>
      <c r="B1019" s="23" t="s">
        <v>143</v>
      </c>
      <c r="C1019" s="22">
        <v>62</v>
      </c>
      <c r="D1019" s="23" t="s">
        <v>134</v>
      </c>
      <c r="E1019" s="23" t="s">
        <v>135</v>
      </c>
      <c r="F1019" s="23" t="s">
        <v>145</v>
      </c>
      <c r="G1019" s="23" t="s">
        <v>35</v>
      </c>
      <c r="H1019" s="22">
        <v>1</v>
      </c>
      <c r="I1019" s="22">
        <v>10</v>
      </c>
      <c r="J1019" s="22">
        <v>12.5</v>
      </c>
      <c r="K1019" s="22">
        <v>4</v>
      </c>
      <c r="L1019" s="23" t="s">
        <v>36</v>
      </c>
      <c r="M1019" s="22">
        <v>2.8</v>
      </c>
      <c r="N1019" s="22">
        <v>14</v>
      </c>
      <c r="O1019" s="22">
        <v>0</v>
      </c>
      <c r="P1019" s="23"/>
      <c r="Q1019" s="23"/>
      <c r="R1019" s="23"/>
      <c r="S1019" s="23"/>
      <c r="Z1019" s="23"/>
      <c r="AA1019" s="22">
        <v>127</v>
      </c>
      <c r="AB1019" s="3" t="str">
        <f t="shared" si="7"/>
        <v>ANO_0212_62_T4-C9_vv</v>
      </c>
      <c r="AC1019" s="3" t="str">
        <f t="shared" si="6"/>
        <v>ANO_0212_62_T4-C9_vv_1</v>
      </c>
    </row>
    <row r="1020" spans="1:29" ht="14">
      <c r="A1020" s="23"/>
      <c r="B1020" s="23"/>
      <c r="C1020" s="23"/>
      <c r="D1020" s="23"/>
      <c r="E1020" s="23"/>
      <c r="F1020" s="23"/>
      <c r="G1020" s="23"/>
      <c r="H1020" s="22">
        <v>2</v>
      </c>
      <c r="I1020" s="23"/>
      <c r="J1020" s="23"/>
      <c r="K1020" s="23"/>
      <c r="L1020" s="23" t="s">
        <v>38</v>
      </c>
      <c r="M1020" s="22">
        <v>3.3</v>
      </c>
      <c r="N1020" s="22">
        <v>0</v>
      </c>
      <c r="O1020" s="22">
        <v>0</v>
      </c>
      <c r="P1020" s="23"/>
      <c r="Q1020" s="23"/>
      <c r="R1020" s="23"/>
      <c r="S1020" s="23"/>
      <c r="Z1020" s="23"/>
      <c r="AA1020" s="23"/>
      <c r="AB1020" s="3" t="str">
        <f t="shared" si="7"/>
        <v>___</v>
      </c>
      <c r="AC1020" s="3" t="str">
        <f t="shared" si="6"/>
        <v>____2</v>
      </c>
    </row>
    <row r="1021" spans="1:29" ht="14">
      <c r="A1021" s="23"/>
      <c r="B1021" s="23"/>
      <c r="C1021" s="23"/>
      <c r="D1021" s="23"/>
      <c r="E1021" s="23"/>
      <c r="F1021" s="23"/>
      <c r="G1021" s="23"/>
      <c r="H1021" s="22">
        <v>3</v>
      </c>
      <c r="I1021" s="23"/>
      <c r="J1021" s="23"/>
      <c r="K1021" s="23"/>
      <c r="L1021" s="23" t="s">
        <v>39</v>
      </c>
      <c r="M1021" s="22">
        <v>3.1</v>
      </c>
      <c r="N1021" s="22">
        <v>7</v>
      </c>
      <c r="O1021" s="22">
        <v>2</v>
      </c>
      <c r="P1021" s="23"/>
      <c r="Q1021" s="23"/>
      <c r="R1021" s="23"/>
      <c r="S1021" s="23"/>
      <c r="Z1021" s="23"/>
      <c r="AA1021" s="23"/>
      <c r="AB1021" s="3" t="str">
        <f t="shared" si="7"/>
        <v>___</v>
      </c>
      <c r="AC1021" s="3" t="str">
        <f t="shared" si="6"/>
        <v>____3</v>
      </c>
    </row>
    <row r="1022" spans="1:29" ht="14">
      <c r="A1022" s="22" t="s">
        <v>142</v>
      </c>
      <c r="B1022" s="23" t="s">
        <v>143</v>
      </c>
      <c r="C1022" s="22">
        <v>62</v>
      </c>
      <c r="D1022" s="23" t="s">
        <v>134</v>
      </c>
      <c r="E1022" s="23" t="s">
        <v>135</v>
      </c>
      <c r="F1022" s="23" t="s">
        <v>145</v>
      </c>
      <c r="G1022" s="23" t="s">
        <v>35</v>
      </c>
      <c r="H1022" s="22">
        <v>1</v>
      </c>
      <c r="I1022" s="22">
        <v>9</v>
      </c>
      <c r="J1022" s="22">
        <v>12.5</v>
      </c>
      <c r="K1022" s="22">
        <v>4</v>
      </c>
      <c r="L1022" s="23" t="s">
        <v>36</v>
      </c>
      <c r="M1022" s="22">
        <v>1.9</v>
      </c>
      <c r="N1022" s="22">
        <v>13</v>
      </c>
      <c r="O1022" s="22">
        <v>0</v>
      </c>
      <c r="P1022" s="23"/>
      <c r="Q1022" s="23"/>
      <c r="R1022" s="23"/>
      <c r="S1022" s="23"/>
      <c r="Z1022" s="23"/>
      <c r="AA1022" s="22">
        <v>128</v>
      </c>
      <c r="AB1022" s="3" t="str">
        <f t="shared" si="7"/>
        <v>ANO_0212_62_T4-C9_vv</v>
      </c>
      <c r="AC1022" s="3" t="str">
        <f t="shared" ref="AC1022:AC1276" si="8">CONCATENATE(B1022,"_",C1022,"_",F1022,"_",G1022,"_",H1022)</f>
        <v>ANO_0212_62_T4-C9_vv_1</v>
      </c>
    </row>
    <row r="1023" spans="1:29" ht="14">
      <c r="A1023" s="23"/>
      <c r="B1023" s="23"/>
      <c r="C1023" s="23"/>
      <c r="D1023" s="23"/>
      <c r="E1023" s="23"/>
      <c r="F1023" s="23"/>
      <c r="G1023" s="23"/>
      <c r="H1023" s="22">
        <v>2</v>
      </c>
      <c r="I1023" s="23"/>
      <c r="J1023" s="23"/>
      <c r="K1023" s="23"/>
      <c r="L1023" s="23" t="s">
        <v>38</v>
      </c>
      <c r="M1023" s="22">
        <v>5.5</v>
      </c>
      <c r="N1023" s="22">
        <v>10</v>
      </c>
      <c r="O1023" s="22">
        <v>4</v>
      </c>
      <c r="P1023" s="23"/>
      <c r="Q1023" s="23"/>
      <c r="R1023" s="23"/>
      <c r="S1023" s="23"/>
      <c r="Z1023" s="23"/>
      <c r="AA1023" s="23"/>
      <c r="AB1023" s="3" t="str">
        <f t="shared" ref="AB1023:AB1277" si="9">CONCATENATE(B1023, "_",C1023,"_",F1023,"_",G1023)</f>
        <v>___</v>
      </c>
      <c r="AC1023" s="3" t="str">
        <f t="shared" si="8"/>
        <v>____2</v>
      </c>
    </row>
    <row r="1024" spans="1:29" ht="14">
      <c r="A1024" s="23"/>
      <c r="B1024" s="23"/>
      <c r="C1024" s="23"/>
      <c r="D1024" s="23"/>
      <c r="E1024" s="23"/>
      <c r="F1024" s="23"/>
      <c r="G1024" s="23"/>
      <c r="H1024" s="22">
        <v>3</v>
      </c>
      <c r="I1024" s="23"/>
      <c r="J1024" s="23"/>
      <c r="K1024" s="23"/>
      <c r="L1024" s="23" t="s">
        <v>39</v>
      </c>
      <c r="M1024" s="22">
        <v>2.2000000000000002</v>
      </c>
      <c r="N1024" s="22">
        <v>0</v>
      </c>
      <c r="O1024" s="22">
        <v>4</v>
      </c>
      <c r="P1024" s="23"/>
      <c r="Q1024" s="23"/>
      <c r="R1024" s="23"/>
      <c r="S1024" s="23"/>
      <c r="Z1024" s="23"/>
      <c r="AA1024" s="23"/>
      <c r="AB1024" s="3" t="str">
        <f t="shared" si="9"/>
        <v>___</v>
      </c>
      <c r="AC1024" s="3" t="str">
        <f t="shared" si="8"/>
        <v>____3</v>
      </c>
    </row>
    <row r="1025" spans="1:29" ht="14">
      <c r="A1025" s="22" t="s">
        <v>142</v>
      </c>
      <c r="B1025" s="23" t="s">
        <v>143</v>
      </c>
      <c r="C1025" s="22">
        <v>62</v>
      </c>
      <c r="D1025" s="23" t="s">
        <v>134</v>
      </c>
      <c r="E1025" s="23" t="s">
        <v>135</v>
      </c>
      <c r="F1025" s="23" t="s">
        <v>145</v>
      </c>
      <c r="G1025" s="23" t="s">
        <v>35</v>
      </c>
      <c r="H1025" s="22">
        <v>1</v>
      </c>
      <c r="I1025" s="22">
        <v>11</v>
      </c>
      <c r="J1025" s="22">
        <v>12.9</v>
      </c>
      <c r="K1025" s="22">
        <v>4</v>
      </c>
      <c r="L1025" s="23" t="s">
        <v>36</v>
      </c>
      <c r="M1025" s="22">
        <v>1.4</v>
      </c>
      <c r="N1025" s="22">
        <v>9</v>
      </c>
      <c r="O1025" s="22">
        <v>0</v>
      </c>
      <c r="P1025" s="23"/>
      <c r="Q1025" s="23"/>
      <c r="R1025" s="23"/>
      <c r="S1025" s="23"/>
      <c r="Z1025" s="23"/>
      <c r="AA1025" s="22">
        <v>129</v>
      </c>
      <c r="AB1025" s="3" t="str">
        <f t="shared" si="9"/>
        <v>ANO_0212_62_T4-C9_vv</v>
      </c>
      <c r="AC1025" s="3" t="str">
        <f t="shared" si="8"/>
        <v>ANO_0212_62_T4-C9_vv_1</v>
      </c>
    </row>
    <row r="1026" spans="1:29" ht="14">
      <c r="A1026" s="23"/>
      <c r="B1026" s="23"/>
      <c r="C1026" s="23"/>
      <c r="D1026" s="23"/>
      <c r="E1026" s="23"/>
      <c r="F1026" s="23"/>
      <c r="G1026" s="23"/>
      <c r="H1026" s="22">
        <v>2</v>
      </c>
      <c r="I1026" s="23"/>
      <c r="J1026" s="23"/>
      <c r="K1026" s="23"/>
      <c r="L1026" s="23" t="s">
        <v>38</v>
      </c>
      <c r="M1026" s="22">
        <v>2.7</v>
      </c>
      <c r="N1026" s="22">
        <v>12</v>
      </c>
      <c r="O1026" s="22">
        <v>0</v>
      </c>
      <c r="P1026" s="23"/>
      <c r="Q1026" s="23"/>
      <c r="R1026" s="23"/>
      <c r="S1026" s="23"/>
      <c r="Z1026" s="23"/>
      <c r="AA1026" s="23"/>
      <c r="AB1026" s="3" t="str">
        <f t="shared" si="9"/>
        <v>___</v>
      </c>
      <c r="AC1026" s="3" t="str">
        <f t="shared" si="8"/>
        <v>____2</v>
      </c>
    </row>
    <row r="1027" spans="1:29" ht="14">
      <c r="A1027" s="23"/>
      <c r="B1027" s="23"/>
      <c r="C1027" s="23"/>
      <c r="D1027" s="23"/>
      <c r="E1027" s="23"/>
      <c r="F1027" s="23"/>
      <c r="G1027" s="23"/>
      <c r="H1027" s="22">
        <v>3</v>
      </c>
      <c r="I1027" s="23"/>
      <c r="J1027" s="23"/>
      <c r="K1027" s="23"/>
      <c r="L1027" s="23" t="s">
        <v>39</v>
      </c>
      <c r="M1027" s="22">
        <v>3.5</v>
      </c>
      <c r="N1027" s="22">
        <v>8</v>
      </c>
      <c r="O1027" s="22">
        <v>3</v>
      </c>
      <c r="P1027" s="23"/>
      <c r="Q1027" s="23"/>
      <c r="R1027" s="23"/>
      <c r="S1027" s="23"/>
      <c r="Z1027" s="23"/>
      <c r="AA1027" s="23"/>
      <c r="AB1027" s="3" t="str">
        <f t="shared" si="9"/>
        <v>___</v>
      </c>
      <c r="AC1027" s="3" t="str">
        <f t="shared" si="8"/>
        <v>____3</v>
      </c>
    </row>
    <row r="1028" spans="1:29" ht="14">
      <c r="A1028" s="22" t="s">
        <v>142</v>
      </c>
      <c r="B1028" s="23" t="s">
        <v>143</v>
      </c>
      <c r="C1028" s="22">
        <v>53</v>
      </c>
      <c r="D1028" s="23" t="s">
        <v>134</v>
      </c>
      <c r="E1028" s="23" t="s">
        <v>34</v>
      </c>
      <c r="F1028" s="23" t="s">
        <v>146</v>
      </c>
      <c r="G1028" s="23" t="s">
        <v>40</v>
      </c>
      <c r="H1028" s="22">
        <v>1</v>
      </c>
      <c r="I1028" s="22">
        <v>12</v>
      </c>
      <c r="J1028" s="22">
        <v>13.1</v>
      </c>
      <c r="K1028" s="22">
        <v>5</v>
      </c>
      <c r="L1028" s="23" t="s">
        <v>36</v>
      </c>
      <c r="M1028" s="22">
        <v>2.9</v>
      </c>
      <c r="N1028" s="22">
        <v>5</v>
      </c>
      <c r="O1028" s="22">
        <v>1</v>
      </c>
      <c r="P1028" s="23"/>
      <c r="Q1028" s="23"/>
      <c r="R1028" s="23"/>
      <c r="S1028" s="23"/>
      <c r="Z1028" s="23"/>
      <c r="AA1028" s="22">
        <v>130</v>
      </c>
      <c r="AB1028" s="3" t="str">
        <f t="shared" si="9"/>
        <v>ANO_0212_53_V2-C1_vm</v>
      </c>
      <c r="AC1028" s="3" t="str">
        <f t="shared" si="8"/>
        <v>ANO_0212_53_V2-C1_vm_1</v>
      </c>
    </row>
    <row r="1029" spans="1:29" ht="14">
      <c r="A1029" s="23"/>
      <c r="B1029" s="23"/>
      <c r="C1029" s="23"/>
      <c r="D1029" s="23"/>
      <c r="E1029" s="23"/>
      <c r="F1029" s="23"/>
      <c r="G1029" s="23"/>
      <c r="H1029" s="22">
        <v>2</v>
      </c>
      <c r="I1029" s="23"/>
      <c r="J1029" s="23"/>
      <c r="K1029" s="23"/>
      <c r="L1029" s="23" t="s">
        <v>38</v>
      </c>
      <c r="M1029" s="22">
        <v>1.8</v>
      </c>
      <c r="N1029" s="22">
        <v>0</v>
      </c>
      <c r="O1029" s="22">
        <v>3</v>
      </c>
      <c r="P1029" s="23"/>
      <c r="Q1029" s="22">
        <v>1</v>
      </c>
      <c r="R1029" s="23"/>
      <c r="S1029" s="23"/>
      <c r="Z1029" s="23"/>
      <c r="AA1029" s="23"/>
      <c r="AB1029" s="3" t="str">
        <f t="shared" si="9"/>
        <v>___</v>
      </c>
      <c r="AC1029" s="3" t="str">
        <f t="shared" si="8"/>
        <v>____2</v>
      </c>
    </row>
    <row r="1030" spans="1:29" ht="14">
      <c r="A1030" s="23"/>
      <c r="B1030" s="23"/>
      <c r="C1030" s="23"/>
      <c r="D1030" s="23"/>
      <c r="E1030" s="23"/>
      <c r="F1030" s="23"/>
      <c r="G1030" s="23"/>
      <c r="H1030" s="22">
        <v>3</v>
      </c>
      <c r="I1030" s="23"/>
      <c r="J1030" s="23"/>
      <c r="K1030" s="23"/>
      <c r="L1030" s="23" t="s">
        <v>39</v>
      </c>
      <c r="M1030" s="22">
        <v>3.5</v>
      </c>
      <c r="N1030" s="22">
        <v>0</v>
      </c>
      <c r="O1030" s="22">
        <v>6</v>
      </c>
      <c r="P1030" s="23"/>
      <c r="Q1030" s="23"/>
      <c r="R1030" s="23"/>
      <c r="S1030" s="23"/>
      <c r="Z1030" s="23"/>
      <c r="AA1030" s="23"/>
      <c r="AB1030" s="3" t="str">
        <f t="shared" si="9"/>
        <v>___</v>
      </c>
      <c r="AC1030" s="3" t="str">
        <f t="shared" si="8"/>
        <v>____3</v>
      </c>
    </row>
    <row r="1031" spans="1:29" ht="14">
      <c r="A1031" s="22" t="s">
        <v>142</v>
      </c>
      <c r="B1031" s="23" t="s">
        <v>143</v>
      </c>
      <c r="C1031" s="22">
        <v>53</v>
      </c>
      <c r="D1031" s="23" t="s">
        <v>134</v>
      </c>
      <c r="E1031" s="23" t="s">
        <v>34</v>
      </c>
      <c r="F1031" s="23" t="s">
        <v>146</v>
      </c>
      <c r="G1031" s="23" t="s">
        <v>40</v>
      </c>
      <c r="H1031" s="22">
        <v>1</v>
      </c>
      <c r="I1031" s="22">
        <v>17.5</v>
      </c>
      <c r="J1031" s="22">
        <v>17.8</v>
      </c>
      <c r="K1031" s="22">
        <v>6</v>
      </c>
      <c r="L1031" s="23" t="s">
        <v>36</v>
      </c>
      <c r="M1031" s="22">
        <v>1.5</v>
      </c>
      <c r="N1031" s="22">
        <v>3</v>
      </c>
      <c r="O1031" s="22">
        <v>1</v>
      </c>
      <c r="P1031" s="23"/>
      <c r="Q1031" s="23"/>
      <c r="R1031" s="23"/>
      <c r="S1031" s="23"/>
      <c r="Z1031" s="23"/>
      <c r="AA1031" s="22">
        <v>131</v>
      </c>
      <c r="AB1031" s="3" t="str">
        <f t="shared" si="9"/>
        <v>ANO_0212_53_V2-C1_vm</v>
      </c>
      <c r="AC1031" s="3" t="str">
        <f t="shared" si="8"/>
        <v>ANO_0212_53_V2-C1_vm_1</v>
      </c>
    </row>
    <row r="1032" spans="1:29" ht="14">
      <c r="A1032" s="23"/>
      <c r="B1032" s="23"/>
      <c r="C1032" s="23"/>
      <c r="D1032" s="23"/>
      <c r="E1032" s="23"/>
      <c r="F1032" s="23"/>
      <c r="G1032" s="23"/>
      <c r="H1032" s="22">
        <v>2</v>
      </c>
      <c r="I1032" s="23"/>
      <c r="J1032" s="23"/>
      <c r="K1032" s="23"/>
      <c r="L1032" s="23" t="s">
        <v>38</v>
      </c>
      <c r="M1032" s="22">
        <v>1.6</v>
      </c>
      <c r="N1032" s="22">
        <v>0</v>
      </c>
      <c r="O1032" s="22">
        <v>2</v>
      </c>
      <c r="P1032" s="23"/>
      <c r="Q1032" s="22">
        <v>1</v>
      </c>
      <c r="R1032" s="23"/>
      <c r="S1032" s="23"/>
      <c r="Z1032" s="23"/>
      <c r="AA1032" s="23"/>
      <c r="AB1032" s="3" t="str">
        <f t="shared" si="9"/>
        <v>___</v>
      </c>
      <c r="AC1032" s="3" t="str">
        <f t="shared" si="8"/>
        <v>____2</v>
      </c>
    </row>
    <row r="1033" spans="1:29" ht="14">
      <c r="A1033" s="23"/>
      <c r="B1033" s="23"/>
      <c r="C1033" s="23"/>
      <c r="D1033" s="23"/>
      <c r="E1033" s="23"/>
      <c r="F1033" s="23"/>
      <c r="G1033" s="23"/>
      <c r="H1033" s="22">
        <v>3</v>
      </c>
      <c r="I1033" s="23"/>
      <c r="J1033" s="23"/>
      <c r="K1033" s="23"/>
      <c r="L1033" s="23" t="s">
        <v>39</v>
      </c>
      <c r="M1033" s="22">
        <v>1.8</v>
      </c>
      <c r="N1033" s="22">
        <v>0</v>
      </c>
      <c r="O1033" s="22">
        <v>2</v>
      </c>
      <c r="P1033" s="23"/>
      <c r="Q1033" s="23"/>
      <c r="R1033" s="23"/>
      <c r="S1033" s="23"/>
      <c r="Z1033" s="23"/>
      <c r="AA1033" s="23"/>
      <c r="AB1033" s="3" t="str">
        <f t="shared" si="9"/>
        <v>___</v>
      </c>
      <c r="AC1033" s="3" t="str">
        <f t="shared" si="8"/>
        <v>____3</v>
      </c>
    </row>
    <row r="1034" spans="1:29" ht="14">
      <c r="A1034" s="22" t="s">
        <v>142</v>
      </c>
      <c r="B1034" s="23" t="s">
        <v>143</v>
      </c>
      <c r="C1034" s="22">
        <v>53</v>
      </c>
      <c r="D1034" s="23" t="s">
        <v>134</v>
      </c>
      <c r="E1034" s="23" t="s">
        <v>34</v>
      </c>
      <c r="F1034" s="23" t="s">
        <v>146</v>
      </c>
      <c r="G1034" s="23" t="s">
        <v>40</v>
      </c>
      <c r="H1034" s="22">
        <v>1</v>
      </c>
      <c r="I1034" s="22">
        <v>15</v>
      </c>
      <c r="J1034" s="22">
        <v>17</v>
      </c>
      <c r="K1034" s="22">
        <v>5</v>
      </c>
      <c r="L1034" s="23" t="s">
        <v>36</v>
      </c>
      <c r="M1034" s="22">
        <v>4.5999999999999996</v>
      </c>
      <c r="N1034" s="22">
        <v>2</v>
      </c>
      <c r="O1034" s="22">
        <v>3</v>
      </c>
      <c r="P1034" s="23"/>
      <c r="Q1034" s="23"/>
      <c r="R1034" s="23"/>
      <c r="S1034" s="23"/>
      <c r="Z1034" s="23"/>
      <c r="AA1034" s="22">
        <v>132</v>
      </c>
      <c r="AB1034" s="3" t="str">
        <f t="shared" si="9"/>
        <v>ANO_0212_53_V2-C1_vm</v>
      </c>
      <c r="AC1034" s="3" t="str">
        <f t="shared" si="8"/>
        <v>ANO_0212_53_V2-C1_vm_1</v>
      </c>
    </row>
    <row r="1035" spans="1:29" ht="14">
      <c r="A1035" s="23"/>
      <c r="B1035" s="23"/>
      <c r="C1035" s="23"/>
      <c r="D1035" s="23"/>
      <c r="E1035" s="23"/>
      <c r="F1035" s="23"/>
      <c r="G1035" s="23"/>
      <c r="H1035" s="22">
        <v>2</v>
      </c>
      <c r="I1035" s="23"/>
      <c r="J1035" s="23"/>
      <c r="K1035" s="23"/>
      <c r="L1035" s="23" t="s">
        <v>38</v>
      </c>
      <c r="M1035" s="22">
        <v>3.3</v>
      </c>
      <c r="N1035" s="22">
        <v>0</v>
      </c>
      <c r="O1035" s="22">
        <v>2</v>
      </c>
      <c r="P1035" s="23"/>
      <c r="Q1035" s="22">
        <v>2</v>
      </c>
      <c r="R1035" s="23"/>
      <c r="S1035" s="23"/>
      <c r="Z1035" s="23"/>
      <c r="AA1035" s="23"/>
      <c r="AB1035" s="3" t="str">
        <f t="shared" si="9"/>
        <v>___</v>
      </c>
      <c r="AC1035" s="3" t="str">
        <f t="shared" si="8"/>
        <v>____2</v>
      </c>
    </row>
    <row r="1036" spans="1:29" ht="14">
      <c r="A1036" s="23"/>
      <c r="B1036" s="23"/>
      <c r="C1036" s="23"/>
      <c r="D1036" s="23"/>
      <c r="E1036" s="23"/>
      <c r="F1036" s="23"/>
      <c r="G1036" s="23"/>
      <c r="H1036" s="22">
        <v>3</v>
      </c>
      <c r="I1036" s="23"/>
      <c r="J1036" s="23"/>
      <c r="K1036" s="23"/>
      <c r="L1036" s="23" t="s">
        <v>39</v>
      </c>
      <c r="M1036" s="22">
        <v>4.0999999999999996</v>
      </c>
      <c r="N1036" s="22">
        <v>0</v>
      </c>
      <c r="O1036" s="22">
        <v>1</v>
      </c>
      <c r="P1036" s="23"/>
      <c r="Q1036" s="22">
        <v>1</v>
      </c>
      <c r="R1036" s="23"/>
      <c r="S1036" s="23"/>
      <c r="Z1036" s="23"/>
      <c r="AA1036" s="23"/>
      <c r="AB1036" s="3" t="str">
        <f t="shared" si="9"/>
        <v>___</v>
      </c>
      <c r="AC1036" s="3" t="str">
        <f t="shared" si="8"/>
        <v>____3</v>
      </c>
    </row>
    <row r="1037" spans="1:29" ht="14">
      <c r="A1037" s="22" t="s">
        <v>142</v>
      </c>
      <c r="B1037" s="23" t="s">
        <v>143</v>
      </c>
      <c r="C1037" s="22">
        <v>53</v>
      </c>
      <c r="D1037" s="23" t="s">
        <v>134</v>
      </c>
      <c r="E1037" s="23" t="s">
        <v>34</v>
      </c>
      <c r="F1037" s="23" t="s">
        <v>146</v>
      </c>
      <c r="G1037" s="23" t="s">
        <v>35</v>
      </c>
      <c r="H1037" s="22">
        <v>1</v>
      </c>
      <c r="I1037" s="22">
        <v>16</v>
      </c>
      <c r="J1037" s="22">
        <v>20.100000000000001</v>
      </c>
      <c r="K1037" s="22">
        <v>4</v>
      </c>
      <c r="L1037" s="23" t="s">
        <v>36</v>
      </c>
      <c r="M1037" s="22">
        <v>3.9</v>
      </c>
      <c r="N1037" s="22">
        <v>11</v>
      </c>
      <c r="O1037" s="22">
        <v>1</v>
      </c>
      <c r="P1037" s="23"/>
      <c r="Q1037" s="23"/>
      <c r="R1037" s="22">
        <v>1</v>
      </c>
      <c r="S1037" s="22"/>
      <c r="Z1037" s="23"/>
      <c r="AA1037" s="22">
        <v>133</v>
      </c>
      <c r="AB1037" s="3" t="str">
        <f t="shared" si="9"/>
        <v>ANO_0212_53_V2-C1_vv</v>
      </c>
      <c r="AC1037" s="3" t="str">
        <f t="shared" si="8"/>
        <v>ANO_0212_53_V2-C1_vv_1</v>
      </c>
    </row>
    <row r="1038" spans="1:29" ht="14">
      <c r="A1038" s="23"/>
      <c r="B1038" s="23"/>
      <c r="C1038" s="23"/>
      <c r="D1038" s="23"/>
      <c r="E1038" s="23"/>
      <c r="F1038" s="23"/>
      <c r="G1038" s="23"/>
      <c r="H1038" s="22">
        <v>2</v>
      </c>
      <c r="I1038" s="23"/>
      <c r="J1038" s="23"/>
      <c r="K1038" s="23"/>
      <c r="L1038" s="23" t="s">
        <v>38</v>
      </c>
      <c r="M1038" s="22">
        <v>2.8</v>
      </c>
      <c r="N1038" s="22">
        <v>0</v>
      </c>
      <c r="O1038" s="22">
        <v>4</v>
      </c>
      <c r="P1038" s="23"/>
      <c r="Q1038" s="22">
        <v>2</v>
      </c>
      <c r="R1038" s="23"/>
      <c r="S1038" s="23"/>
      <c r="Z1038" s="23"/>
      <c r="AA1038" s="23"/>
      <c r="AB1038" s="3" t="str">
        <f t="shared" si="9"/>
        <v>___</v>
      </c>
      <c r="AC1038" s="3" t="str">
        <f t="shared" si="8"/>
        <v>____2</v>
      </c>
    </row>
    <row r="1039" spans="1:29" ht="14">
      <c r="A1039" s="23"/>
      <c r="B1039" s="23"/>
      <c r="C1039" s="23"/>
      <c r="D1039" s="23"/>
      <c r="E1039" s="23"/>
      <c r="F1039" s="23"/>
      <c r="G1039" s="23"/>
      <c r="H1039" s="22">
        <v>3</v>
      </c>
      <c r="I1039" s="23"/>
      <c r="J1039" s="23"/>
      <c r="K1039" s="23"/>
      <c r="L1039" s="23" t="s">
        <v>39</v>
      </c>
      <c r="M1039" s="22">
        <v>5</v>
      </c>
      <c r="N1039" s="22">
        <v>7</v>
      </c>
      <c r="O1039" s="22">
        <v>4</v>
      </c>
      <c r="P1039" s="23"/>
      <c r="Q1039" s="23"/>
      <c r="R1039" s="23"/>
      <c r="S1039" s="23"/>
      <c r="Z1039" s="23"/>
      <c r="AA1039" s="23"/>
      <c r="AB1039" s="3" t="str">
        <f t="shared" si="9"/>
        <v>___</v>
      </c>
      <c r="AC1039" s="3" t="str">
        <f t="shared" si="8"/>
        <v>____3</v>
      </c>
    </row>
    <row r="1040" spans="1:29" ht="14">
      <c r="A1040" s="22" t="s">
        <v>142</v>
      </c>
      <c r="B1040" s="23" t="s">
        <v>143</v>
      </c>
      <c r="C1040" s="22">
        <v>53</v>
      </c>
      <c r="D1040" s="23" t="s">
        <v>134</v>
      </c>
      <c r="E1040" s="23" t="s">
        <v>34</v>
      </c>
      <c r="F1040" s="23" t="s">
        <v>146</v>
      </c>
      <c r="G1040" s="23" t="s">
        <v>35</v>
      </c>
      <c r="H1040" s="22">
        <v>1</v>
      </c>
      <c r="I1040" s="22">
        <v>12.1</v>
      </c>
      <c r="J1040" s="22">
        <v>12.1</v>
      </c>
      <c r="K1040" s="22">
        <v>3</v>
      </c>
      <c r="L1040" s="23" t="s">
        <v>36</v>
      </c>
      <c r="M1040" s="22">
        <v>2.5</v>
      </c>
      <c r="N1040" s="22">
        <v>9</v>
      </c>
      <c r="O1040" s="22">
        <v>1</v>
      </c>
      <c r="P1040" s="23"/>
      <c r="Q1040" s="23"/>
      <c r="R1040" s="23"/>
      <c r="S1040" s="23"/>
      <c r="Z1040" s="23"/>
      <c r="AA1040" s="22">
        <v>134</v>
      </c>
      <c r="AB1040" s="3" t="str">
        <f t="shared" si="9"/>
        <v>ANO_0212_53_V2-C1_vv</v>
      </c>
      <c r="AC1040" s="3" t="str">
        <f t="shared" si="8"/>
        <v>ANO_0212_53_V2-C1_vv_1</v>
      </c>
    </row>
    <row r="1041" spans="1:29" ht="14">
      <c r="A1041" s="23"/>
      <c r="B1041" s="23"/>
      <c r="C1041" s="23"/>
      <c r="D1041" s="23"/>
      <c r="E1041" s="23"/>
      <c r="F1041" s="23"/>
      <c r="G1041" s="23"/>
      <c r="H1041" s="22">
        <v>2</v>
      </c>
      <c r="I1041" s="23"/>
      <c r="J1041" s="23"/>
      <c r="K1041" s="23"/>
      <c r="L1041" s="23" t="s">
        <v>38</v>
      </c>
      <c r="M1041" s="22">
        <v>4.9000000000000004</v>
      </c>
      <c r="N1041" s="22">
        <v>10</v>
      </c>
      <c r="O1041" s="22">
        <v>2</v>
      </c>
      <c r="P1041" s="23"/>
      <c r="Q1041" s="22">
        <v>1</v>
      </c>
      <c r="R1041" s="23"/>
      <c r="S1041" s="23"/>
      <c r="Z1041" s="23"/>
      <c r="AA1041" s="23"/>
      <c r="AB1041" s="3" t="str">
        <f t="shared" si="9"/>
        <v>___</v>
      </c>
      <c r="AC1041" s="3" t="str">
        <f t="shared" si="8"/>
        <v>____2</v>
      </c>
    </row>
    <row r="1042" spans="1:29" ht="14">
      <c r="A1042" s="23"/>
      <c r="B1042" s="23"/>
      <c r="C1042" s="23"/>
      <c r="D1042" s="23"/>
      <c r="E1042" s="23"/>
      <c r="F1042" s="23"/>
      <c r="G1042" s="23"/>
      <c r="H1042" s="22">
        <v>3</v>
      </c>
      <c r="I1042" s="23"/>
      <c r="J1042" s="23"/>
      <c r="K1042" s="23"/>
      <c r="L1042" s="23" t="s">
        <v>39</v>
      </c>
      <c r="M1042" s="22">
        <v>4.3</v>
      </c>
      <c r="N1042" s="22">
        <v>0</v>
      </c>
      <c r="O1042" s="22">
        <v>3</v>
      </c>
      <c r="P1042" s="23"/>
      <c r="Q1042" s="23"/>
      <c r="R1042" s="23"/>
      <c r="S1042" s="23"/>
      <c r="Z1042" s="23"/>
      <c r="AA1042" s="23"/>
      <c r="AB1042" s="3" t="str">
        <f t="shared" si="9"/>
        <v>___</v>
      </c>
      <c r="AC1042" s="3" t="str">
        <f t="shared" si="8"/>
        <v>____3</v>
      </c>
    </row>
    <row r="1043" spans="1:29" ht="14">
      <c r="A1043" s="22" t="s">
        <v>142</v>
      </c>
      <c r="B1043" s="23" t="s">
        <v>143</v>
      </c>
      <c r="C1043" s="22">
        <v>53</v>
      </c>
      <c r="D1043" s="23" t="s">
        <v>134</v>
      </c>
      <c r="E1043" s="23" t="s">
        <v>34</v>
      </c>
      <c r="F1043" s="23" t="s">
        <v>146</v>
      </c>
      <c r="G1043" s="23" t="s">
        <v>35</v>
      </c>
      <c r="H1043" s="22">
        <v>1</v>
      </c>
      <c r="I1043" s="22">
        <v>17.5</v>
      </c>
      <c r="J1043" s="22">
        <v>17.8</v>
      </c>
      <c r="K1043" s="22">
        <v>5</v>
      </c>
      <c r="L1043" s="23" t="s">
        <v>36</v>
      </c>
      <c r="M1043" s="22">
        <v>1.8</v>
      </c>
      <c r="N1043" s="22">
        <v>9</v>
      </c>
      <c r="O1043" s="22">
        <v>1</v>
      </c>
      <c r="P1043" s="23"/>
      <c r="Q1043" s="23"/>
      <c r="R1043" s="23"/>
      <c r="S1043" s="23"/>
      <c r="Z1043" s="23"/>
      <c r="AA1043" s="22">
        <v>135</v>
      </c>
      <c r="AB1043" s="3" t="str">
        <f t="shared" si="9"/>
        <v>ANO_0212_53_V2-C1_vv</v>
      </c>
      <c r="AC1043" s="3" t="str">
        <f t="shared" si="8"/>
        <v>ANO_0212_53_V2-C1_vv_1</v>
      </c>
    </row>
    <row r="1044" spans="1:29" ht="14">
      <c r="A1044" s="23"/>
      <c r="B1044" s="23"/>
      <c r="C1044" s="23"/>
      <c r="D1044" s="23"/>
      <c r="E1044" s="23"/>
      <c r="F1044" s="23"/>
      <c r="G1044" s="23"/>
      <c r="H1044" s="22">
        <v>2</v>
      </c>
      <c r="I1044" s="23"/>
      <c r="J1044" s="23"/>
      <c r="K1044" s="23"/>
      <c r="L1044" s="23" t="s">
        <v>38</v>
      </c>
      <c r="M1044" s="22">
        <v>2.4</v>
      </c>
      <c r="N1044" s="22">
        <v>6</v>
      </c>
      <c r="O1044" s="22">
        <v>2</v>
      </c>
      <c r="P1044" s="23"/>
      <c r="Q1044" s="23"/>
      <c r="R1044" s="23"/>
      <c r="S1044" s="23"/>
      <c r="Z1044" s="23"/>
      <c r="AA1044" s="23"/>
      <c r="AB1044" s="3" t="str">
        <f t="shared" si="9"/>
        <v>___</v>
      </c>
      <c r="AC1044" s="3" t="str">
        <f t="shared" si="8"/>
        <v>____2</v>
      </c>
    </row>
    <row r="1045" spans="1:29" ht="14">
      <c r="A1045" s="23"/>
      <c r="B1045" s="23"/>
      <c r="C1045" s="23"/>
      <c r="D1045" s="23"/>
      <c r="E1045" s="23"/>
      <c r="F1045" s="23"/>
      <c r="G1045" s="23"/>
      <c r="H1045" s="22">
        <v>3</v>
      </c>
      <c r="I1045" s="23"/>
      <c r="J1045" s="23"/>
      <c r="K1045" s="23"/>
      <c r="L1045" s="23" t="s">
        <v>39</v>
      </c>
      <c r="M1045" s="22">
        <v>1.9</v>
      </c>
      <c r="N1045" s="22">
        <v>3</v>
      </c>
      <c r="O1045" s="22">
        <v>3</v>
      </c>
      <c r="P1045" s="23"/>
      <c r="Q1045" s="23"/>
      <c r="R1045" s="23"/>
      <c r="S1045" s="23"/>
      <c r="Z1045" s="23"/>
      <c r="AA1045" s="23"/>
      <c r="AB1045" s="3" t="str">
        <f t="shared" si="9"/>
        <v>___</v>
      </c>
      <c r="AC1045" s="3" t="str">
        <f t="shared" si="8"/>
        <v>____3</v>
      </c>
    </row>
    <row r="1046" spans="1:29" ht="14">
      <c r="A1046" s="22" t="s">
        <v>142</v>
      </c>
      <c r="B1046" s="23" t="s">
        <v>143</v>
      </c>
      <c r="C1046" s="22">
        <v>55</v>
      </c>
      <c r="D1046" s="23" t="s">
        <v>134</v>
      </c>
      <c r="E1046" s="23" t="s">
        <v>135</v>
      </c>
      <c r="F1046" s="23" t="s">
        <v>136</v>
      </c>
      <c r="G1046" s="23" t="s">
        <v>40</v>
      </c>
      <c r="H1046" s="22">
        <v>1</v>
      </c>
      <c r="I1046" s="22">
        <v>29.5</v>
      </c>
      <c r="J1046" s="22">
        <v>33.799999999999997</v>
      </c>
      <c r="K1046" s="22">
        <v>8</v>
      </c>
      <c r="L1046" s="23" t="s">
        <v>36</v>
      </c>
      <c r="M1046" s="22">
        <v>4.5</v>
      </c>
      <c r="N1046" s="22">
        <v>7</v>
      </c>
      <c r="O1046" s="22">
        <v>0</v>
      </c>
      <c r="P1046" s="23"/>
      <c r="Q1046" s="23"/>
      <c r="R1046" s="23"/>
      <c r="S1046" s="23"/>
      <c r="Z1046" s="23"/>
      <c r="AA1046" s="22">
        <v>136</v>
      </c>
      <c r="AB1046" s="3" t="str">
        <f t="shared" si="9"/>
        <v>ANO_0212_55_T4-C1_vm</v>
      </c>
      <c r="AC1046" s="3" t="str">
        <f t="shared" si="8"/>
        <v>ANO_0212_55_T4-C1_vm_1</v>
      </c>
    </row>
    <row r="1047" spans="1:29" ht="14">
      <c r="A1047" s="23"/>
      <c r="B1047" s="23"/>
      <c r="C1047" s="23"/>
      <c r="D1047" s="23"/>
      <c r="E1047" s="23"/>
      <c r="F1047" s="23"/>
      <c r="G1047" s="23"/>
      <c r="H1047" s="22">
        <v>2</v>
      </c>
      <c r="I1047" s="23"/>
      <c r="J1047" s="23"/>
      <c r="K1047" s="23"/>
      <c r="L1047" s="23" t="s">
        <v>38</v>
      </c>
      <c r="M1047" s="22">
        <v>7.9</v>
      </c>
      <c r="N1047" s="22">
        <v>0</v>
      </c>
      <c r="O1047" s="22">
        <v>4</v>
      </c>
      <c r="P1047" s="23"/>
      <c r="Q1047" s="22">
        <v>5</v>
      </c>
      <c r="R1047" s="23"/>
      <c r="S1047" s="23"/>
      <c r="Z1047" s="23"/>
      <c r="AA1047" s="23"/>
      <c r="AB1047" s="3" t="str">
        <f t="shared" si="9"/>
        <v>___</v>
      </c>
      <c r="AC1047" s="3" t="str">
        <f t="shared" si="8"/>
        <v>____2</v>
      </c>
    </row>
    <row r="1048" spans="1:29" ht="14">
      <c r="A1048" s="23"/>
      <c r="B1048" s="23"/>
      <c r="C1048" s="23"/>
      <c r="D1048" s="23"/>
      <c r="E1048" s="23"/>
      <c r="F1048" s="23"/>
      <c r="G1048" s="23"/>
      <c r="H1048" s="22">
        <v>3</v>
      </c>
      <c r="I1048" s="23"/>
      <c r="J1048" s="23"/>
      <c r="K1048" s="23"/>
      <c r="L1048" s="23" t="s">
        <v>39</v>
      </c>
      <c r="M1048" s="22">
        <v>10.5</v>
      </c>
      <c r="N1048" s="22">
        <v>0</v>
      </c>
      <c r="O1048" s="22">
        <v>5</v>
      </c>
      <c r="P1048" s="23"/>
      <c r="Q1048" s="22">
        <v>4</v>
      </c>
      <c r="R1048" s="23"/>
      <c r="S1048" s="23"/>
      <c r="Z1048" s="23"/>
      <c r="AA1048" s="23"/>
      <c r="AB1048" s="3" t="str">
        <f t="shared" si="9"/>
        <v>___</v>
      </c>
      <c r="AC1048" s="3" t="str">
        <f t="shared" si="8"/>
        <v>____3</v>
      </c>
    </row>
    <row r="1049" spans="1:29" ht="14">
      <c r="A1049" s="22" t="s">
        <v>142</v>
      </c>
      <c r="B1049" s="23" t="s">
        <v>143</v>
      </c>
      <c r="C1049" s="22">
        <v>55</v>
      </c>
      <c r="D1049" s="23" t="s">
        <v>134</v>
      </c>
      <c r="E1049" s="23" t="s">
        <v>135</v>
      </c>
      <c r="F1049" s="23" t="s">
        <v>136</v>
      </c>
      <c r="G1049" s="23" t="s">
        <v>40</v>
      </c>
      <c r="H1049" s="22">
        <v>1</v>
      </c>
      <c r="I1049" s="22">
        <v>25</v>
      </c>
      <c r="J1049" s="22">
        <v>30.6</v>
      </c>
      <c r="K1049" s="22">
        <v>6</v>
      </c>
      <c r="L1049" s="23" t="s">
        <v>36</v>
      </c>
      <c r="M1049" s="22">
        <v>8.5</v>
      </c>
      <c r="N1049" s="22">
        <v>7</v>
      </c>
      <c r="O1049" s="22">
        <v>0</v>
      </c>
      <c r="P1049" s="23"/>
      <c r="Q1049" s="23"/>
      <c r="R1049" s="23"/>
      <c r="S1049" s="23"/>
      <c r="Z1049" s="23"/>
      <c r="AA1049" s="22">
        <v>137</v>
      </c>
      <c r="AB1049" s="3" t="str">
        <f t="shared" si="9"/>
        <v>ANO_0212_55_T4-C1_vm</v>
      </c>
      <c r="AC1049" s="3" t="str">
        <f t="shared" si="8"/>
        <v>ANO_0212_55_T4-C1_vm_1</v>
      </c>
    </row>
    <row r="1050" spans="1:29" ht="14">
      <c r="A1050" s="23"/>
      <c r="B1050" s="23"/>
      <c r="C1050" s="23"/>
      <c r="D1050" s="23"/>
      <c r="E1050" s="23"/>
      <c r="F1050" s="23"/>
      <c r="G1050" s="23"/>
      <c r="H1050" s="22">
        <v>2</v>
      </c>
      <c r="I1050" s="23"/>
      <c r="J1050" s="23"/>
      <c r="K1050" s="23"/>
      <c r="L1050" s="23" t="s">
        <v>38</v>
      </c>
      <c r="M1050" s="22">
        <v>5.8</v>
      </c>
      <c r="N1050" s="22">
        <v>0</v>
      </c>
      <c r="O1050" s="22">
        <v>6</v>
      </c>
      <c r="P1050" s="23"/>
      <c r="Q1050" s="22">
        <v>2</v>
      </c>
      <c r="R1050" s="23"/>
      <c r="S1050" s="23"/>
      <c r="Z1050" s="23"/>
      <c r="AA1050" s="23"/>
      <c r="AB1050" s="3" t="str">
        <f t="shared" si="9"/>
        <v>___</v>
      </c>
      <c r="AC1050" s="3" t="str">
        <f t="shared" si="8"/>
        <v>____2</v>
      </c>
    </row>
    <row r="1051" spans="1:29" ht="14">
      <c r="A1051" s="23"/>
      <c r="B1051" s="23"/>
      <c r="C1051" s="23"/>
      <c r="D1051" s="23"/>
      <c r="E1051" s="23"/>
      <c r="F1051" s="23"/>
      <c r="G1051" s="23"/>
      <c r="H1051" s="22">
        <v>3</v>
      </c>
      <c r="I1051" s="23"/>
      <c r="J1051" s="23"/>
      <c r="K1051" s="23"/>
      <c r="L1051" s="23" t="s">
        <v>39</v>
      </c>
      <c r="M1051" s="22">
        <v>4.0999999999999996</v>
      </c>
      <c r="N1051" s="22">
        <v>0</v>
      </c>
      <c r="O1051" s="22">
        <v>4</v>
      </c>
      <c r="P1051" s="23"/>
      <c r="Q1051" s="22">
        <v>3</v>
      </c>
      <c r="R1051" s="23"/>
      <c r="S1051" s="23"/>
      <c r="Z1051" s="23"/>
      <c r="AA1051" s="23"/>
      <c r="AB1051" s="3" t="str">
        <f t="shared" si="9"/>
        <v>___</v>
      </c>
      <c r="AC1051" s="3" t="str">
        <f t="shared" si="8"/>
        <v>____3</v>
      </c>
    </row>
    <row r="1052" spans="1:29" ht="14">
      <c r="A1052" s="22" t="s">
        <v>142</v>
      </c>
      <c r="B1052" s="23" t="s">
        <v>143</v>
      </c>
      <c r="C1052" s="22">
        <v>55</v>
      </c>
      <c r="D1052" s="23" t="s">
        <v>134</v>
      </c>
      <c r="E1052" s="23" t="s">
        <v>135</v>
      </c>
      <c r="F1052" s="23" t="s">
        <v>136</v>
      </c>
      <c r="G1052" s="23" t="s">
        <v>40</v>
      </c>
      <c r="H1052" s="22">
        <v>1</v>
      </c>
      <c r="I1052" s="22">
        <v>31</v>
      </c>
      <c r="J1052" s="22">
        <v>36.799999999999997</v>
      </c>
      <c r="K1052" s="22">
        <v>6</v>
      </c>
      <c r="L1052" s="23" t="s">
        <v>36</v>
      </c>
      <c r="M1052" s="22">
        <v>8.1</v>
      </c>
      <c r="N1052" s="22">
        <v>8</v>
      </c>
      <c r="O1052" s="22">
        <v>1</v>
      </c>
      <c r="P1052" s="23"/>
      <c r="Q1052" s="23"/>
      <c r="R1052" s="23"/>
      <c r="S1052" s="23"/>
      <c r="Z1052" s="23"/>
      <c r="AA1052" s="22">
        <v>138</v>
      </c>
      <c r="AB1052" s="3" t="str">
        <f t="shared" si="9"/>
        <v>ANO_0212_55_T4-C1_vm</v>
      </c>
      <c r="AC1052" s="3" t="str">
        <f t="shared" si="8"/>
        <v>ANO_0212_55_T4-C1_vm_1</v>
      </c>
    </row>
    <row r="1053" spans="1:29" ht="14">
      <c r="A1053" s="23"/>
      <c r="B1053" s="23"/>
      <c r="C1053" s="23"/>
      <c r="D1053" s="23"/>
      <c r="E1053" s="23"/>
      <c r="F1053" s="23"/>
      <c r="G1053" s="23"/>
      <c r="H1053" s="22">
        <v>2</v>
      </c>
      <c r="I1053" s="23"/>
      <c r="J1053" s="23"/>
      <c r="K1053" s="23"/>
      <c r="L1053" s="23" t="s">
        <v>38</v>
      </c>
      <c r="M1053" s="22">
        <v>9.6</v>
      </c>
      <c r="N1053" s="22">
        <v>0</v>
      </c>
      <c r="O1053" s="22">
        <v>3</v>
      </c>
      <c r="P1053" s="23"/>
      <c r="Q1053" s="22">
        <v>4</v>
      </c>
      <c r="R1053" s="23"/>
      <c r="S1053" s="23"/>
      <c r="Z1053" s="23"/>
      <c r="AA1053" s="23"/>
      <c r="AB1053" s="3" t="str">
        <f t="shared" si="9"/>
        <v>___</v>
      </c>
      <c r="AC1053" s="3" t="str">
        <f t="shared" si="8"/>
        <v>____2</v>
      </c>
    </row>
    <row r="1054" spans="1:29" ht="14">
      <c r="A1054" s="23"/>
      <c r="B1054" s="23"/>
      <c r="C1054" s="23"/>
      <c r="D1054" s="23"/>
      <c r="E1054" s="23"/>
      <c r="F1054" s="23"/>
      <c r="G1054" s="23"/>
      <c r="H1054" s="22">
        <v>3</v>
      </c>
      <c r="I1054" s="23"/>
      <c r="J1054" s="23"/>
      <c r="K1054" s="23"/>
      <c r="L1054" s="23" t="s">
        <v>39</v>
      </c>
      <c r="M1054" s="22">
        <v>4.7</v>
      </c>
      <c r="N1054" s="22">
        <v>0</v>
      </c>
      <c r="O1054" s="22">
        <v>4</v>
      </c>
      <c r="P1054" s="23"/>
      <c r="Q1054" s="22">
        <v>1</v>
      </c>
      <c r="R1054" s="23"/>
      <c r="S1054" s="23"/>
      <c r="Z1054" s="23"/>
      <c r="AA1054" s="23"/>
      <c r="AB1054" s="3" t="str">
        <f t="shared" si="9"/>
        <v>___</v>
      </c>
      <c r="AC1054" s="3" t="str">
        <f t="shared" si="8"/>
        <v>____3</v>
      </c>
    </row>
    <row r="1055" spans="1:29" ht="14">
      <c r="A1055" s="22" t="s">
        <v>142</v>
      </c>
      <c r="B1055" s="23" t="s">
        <v>143</v>
      </c>
      <c r="C1055" s="22">
        <v>55</v>
      </c>
      <c r="D1055" s="23" t="s">
        <v>134</v>
      </c>
      <c r="E1055" s="23" t="s">
        <v>135</v>
      </c>
      <c r="F1055" s="23" t="s">
        <v>136</v>
      </c>
      <c r="G1055" s="23" t="s">
        <v>35</v>
      </c>
      <c r="H1055" s="22">
        <v>1</v>
      </c>
      <c r="I1055" s="22">
        <v>17</v>
      </c>
      <c r="J1055" s="22">
        <v>20.3</v>
      </c>
      <c r="K1055" s="22">
        <v>6</v>
      </c>
      <c r="L1055" s="23" t="s">
        <v>36</v>
      </c>
      <c r="M1055" s="22">
        <v>2.4</v>
      </c>
      <c r="N1055" s="22">
        <v>10</v>
      </c>
      <c r="O1055" s="22">
        <v>0</v>
      </c>
      <c r="P1055" s="23"/>
      <c r="Q1055" s="23"/>
      <c r="R1055" s="23"/>
      <c r="S1055" s="23"/>
      <c r="Z1055" s="23"/>
      <c r="AA1055" s="22">
        <v>139</v>
      </c>
      <c r="AB1055" s="3" t="str">
        <f t="shared" si="9"/>
        <v>ANO_0212_55_T4-C1_vv</v>
      </c>
      <c r="AC1055" s="3" t="str">
        <f t="shared" si="8"/>
        <v>ANO_0212_55_T4-C1_vv_1</v>
      </c>
    </row>
    <row r="1056" spans="1:29" ht="14">
      <c r="A1056" s="23"/>
      <c r="B1056" s="23"/>
      <c r="C1056" s="23"/>
      <c r="D1056" s="23"/>
      <c r="E1056" s="23"/>
      <c r="F1056" s="23"/>
      <c r="G1056" s="23"/>
      <c r="H1056" s="22">
        <v>2</v>
      </c>
      <c r="I1056" s="23"/>
      <c r="J1056" s="23"/>
      <c r="K1056" s="23"/>
      <c r="L1056" s="23" t="s">
        <v>38</v>
      </c>
      <c r="M1056" s="22">
        <v>6</v>
      </c>
      <c r="N1056" s="22">
        <v>7</v>
      </c>
      <c r="O1056" s="22">
        <v>5</v>
      </c>
      <c r="P1056" s="23"/>
      <c r="Q1056" s="23"/>
      <c r="R1056" s="23"/>
      <c r="S1056" s="23"/>
      <c r="Z1056" s="23"/>
      <c r="AA1056" s="23"/>
      <c r="AB1056" s="3" t="str">
        <f t="shared" si="9"/>
        <v>___</v>
      </c>
      <c r="AC1056" s="3" t="str">
        <f t="shared" si="8"/>
        <v>____2</v>
      </c>
    </row>
    <row r="1057" spans="1:29" ht="14">
      <c r="A1057" s="23"/>
      <c r="B1057" s="23"/>
      <c r="C1057" s="23"/>
      <c r="D1057" s="23"/>
      <c r="E1057" s="23"/>
      <c r="F1057" s="23"/>
      <c r="G1057" s="23"/>
      <c r="H1057" s="22">
        <v>3</v>
      </c>
      <c r="I1057" s="23"/>
      <c r="J1057" s="23"/>
      <c r="K1057" s="23"/>
      <c r="L1057" s="23" t="s">
        <v>39</v>
      </c>
      <c r="M1057" s="22">
        <v>6.4</v>
      </c>
      <c r="N1057" s="22">
        <v>3</v>
      </c>
      <c r="O1057" s="22">
        <v>8</v>
      </c>
      <c r="P1057" s="23"/>
      <c r="Q1057" s="22">
        <v>1</v>
      </c>
      <c r="R1057" s="23"/>
      <c r="S1057" s="23"/>
      <c r="Z1057" s="23"/>
      <c r="AA1057" s="23"/>
      <c r="AB1057" s="3" t="str">
        <f t="shared" si="9"/>
        <v>___</v>
      </c>
      <c r="AC1057" s="3" t="str">
        <f t="shared" si="8"/>
        <v>____3</v>
      </c>
    </row>
    <row r="1058" spans="1:29" ht="14">
      <c r="A1058" s="22" t="s">
        <v>142</v>
      </c>
      <c r="B1058" s="23" t="s">
        <v>143</v>
      </c>
      <c r="C1058" s="22">
        <v>55</v>
      </c>
      <c r="D1058" s="23" t="s">
        <v>134</v>
      </c>
      <c r="E1058" s="23" t="s">
        <v>135</v>
      </c>
      <c r="F1058" s="23" t="s">
        <v>136</v>
      </c>
      <c r="G1058" s="23" t="s">
        <v>35</v>
      </c>
      <c r="H1058" s="22">
        <v>1</v>
      </c>
      <c r="I1058" s="22">
        <v>16</v>
      </c>
      <c r="J1058" s="22">
        <v>20.8</v>
      </c>
      <c r="K1058" s="22">
        <v>5</v>
      </c>
      <c r="L1058" s="23" t="s">
        <v>36</v>
      </c>
      <c r="M1058" s="22">
        <v>2.4</v>
      </c>
      <c r="N1058" s="22">
        <v>9</v>
      </c>
      <c r="O1058" s="22">
        <v>1</v>
      </c>
      <c r="P1058" s="23"/>
      <c r="Q1058" s="23"/>
      <c r="R1058" s="23"/>
      <c r="S1058" s="23"/>
      <c r="Z1058" s="23"/>
      <c r="AA1058" s="22">
        <v>140</v>
      </c>
      <c r="AB1058" s="3" t="str">
        <f t="shared" si="9"/>
        <v>ANO_0212_55_T4-C1_vv</v>
      </c>
      <c r="AC1058" s="3" t="str">
        <f t="shared" si="8"/>
        <v>ANO_0212_55_T4-C1_vv_1</v>
      </c>
    </row>
    <row r="1059" spans="1:29" ht="14">
      <c r="A1059" s="23"/>
      <c r="B1059" s="23"/>
      <c r="C1059" s="23"/>
      <c r="D1059" s="23"/>
      <c r="E1059" s="23"/>
      <c r="F1059" s="23"/>
      <c r="G1059" s="23"/>
      <c r="H1059" s="22">
        <v>2</v>
      </c>
      <c r="I1059" s="23"/>
      <c r="J1059" s="23"/>
      <c r="K1059" s="23"/>
      <c r="L1059" s="23" t="s">
        <v>38</v>
      </c>
      <c r="M1059" s="22">
        <v>4.2</v>
      </c>
      <c r="N1059" s="22">
        <v>5</v>
      </c>
      <c r="O1059" s="22">
        <v>5</v>
      </c>
      <c r="P1059" s="23"/>
      <c r="Q1059" s="23"/>
      <c r="R1059" s="23"/>
      <c r="S1059" s="23"/>
      <c r="Z1059" s="23"/>
      <c r="AA1059" s="23"/>
      <c r="AB1059" s="3" t="str">
        <f t="shared" si="9"/>
        <v>___</v>
      </c>
      <c r="AC1059" s="3" t="str">
        <f t="shared" si="8"/>
        <v>____2</v>
      </c>
    </row>
    <row r="1060" spans="1:29" ht="14">
      <c r="A1060" s="23"/>
      <c r="B1060" s="23"/>
      <c r="C1060" s="23"/>
      <c r="D1060" s="23"/>
      <c r="E1060" s="23"/>
      <c r="F1060" s="23"/>
      <c r="G1060" s="23"/>
      <c r="H1060" s="22">
        <v>3</v>
      </c>
      <c r="I1060" s="23"/>
      <c r="J1060" s="23"/>
      <c r="K1060" s="23"/>
      <c r="L1060" s="23" t="s">
        <v>39</v>
      </c>
      <c r="M1060" s="22">
        <v>7.5</v>
      </c>
      <c r="N1060" s="22">
        <v>0</v>
      </c>
      <c r="O1060" s="22">
        <v>12</v>
      </c>
      <c r="P1060" s="23"/>
      <c r="Q1060" s="23"/>
      <c r="R1060" s="23"/>
      <c r="S1060" s="23"/>
      <c r="Z1060" s="23"/>
      <c r="AA1060" s="23"/>
      <c r="AB1060" s="3" t="str">
        <f t="shared" si="9"/>
        <v>___</v>
      </c>
      <c r="AC1060" s="3" t="str">
        <f t="shared" si="8"/>
        <v>____3</v>
      </c>
    </row>
    <row r="1061" spans="1:29" ht="14">
      <c r="A1061" s="22" t="s">
        <v>142</v>
      </c>
      <c r="B1061" s="23" t="s">
        <v>143</v>
      </c>
      <c r="C1061" s="22">
        <v>55</v>
      </c>
      <c r="D1061" s="23" t="s">
        <v>134</v>
      </c>
      <c r="E1061" s="23" t="s">
        <v>135</v>
      </c>
      <c r="F1061" s="23" t="s">
        <v>136</v>
      </c>
      <c r="G1061" s="23" t="s">
        <v>35</v>
      </c>
      <c r="H1061" s="22">
        <v>1</v>
      </c>
      <c r="I1061" s="22">
        <v>20</v>
      </c>
      <c r="J1061" s="22">
        <v>24.8</v>
      </c>
      <c r="K1061" s="22">
        <v>4</v>
      </c>
      <c r="L1061" s="23" t="s">
        <v>36</v>
      </c>
      <c r="M1061" s="22">
        <v>3</v>
      </c>
      <c r="N1061" s="22">
        <v>9</v>
      </c>
      <c r="O1061" s="22">
        <v>1</v>
      </c>
      <c r="P1061" s="23"/>
      <c r="Q1061" s="23"/>
      <c r="R1061" s="23"/>
      <c r="S1061" s="23"/>
      <c r="Z1061" s="23"/>
      <c r="AA1061" s="22">
        <v>141</v>
      </c>
      <c r="AB1061" s="3" t="str">
        <f t="shared" si="9"/>
        <v>ANO_0212_55_T4-C1_vv</v>
      </c>
      <c r="AC1061" s="3" t="str">
        <f t="shared" si="8"/>
        <v>ANO_0212_55_T4-C1_vv_1</v>
      </c>
    </row>
    <row r="1062" spans="1:29" ht="14">
      <c r="A1062" s="23"/>
      <c r="B1062" s="23"/>
      <c r="C1062" s="23"/>
      <c r="D1062" s="23"/>
      <c r="E1062" s="23"/>
      <c r="F1062" s="23"/>
      <c r="G1062" s="23"/>
      <c r="H1062" s="22">
        <v>2</v>
      </c>
      <c r="I1062" s="23"/>
      <c r="J1062" s="23"/>
      <c r="K1062" s="23"/>
      <c r="L1062" s="23" t="s">
        <v>38</v>
      </c>
      <c r="M1062" s="22">
        <v>3.9</v>
      </c>
      <c r="N1062" s="22">
        <v>6</v>
      </c>
      <c r="O1062" s="22">
        <v>5</v>
      </c>
      <c r="P1062" s="23"/>
      <c r="Q1062" s="23"/>
      <c r="R1062" s="23"/>
      <c r="S1062" s="23"/>
      <c r="Z1062" s="23"/>
      <c r="AA1062" s="23"/>
      <c r="AB1062" s="3" t="str">
        <f t="shared" si="9"/>
        <v>___</v>
      </c>
      <c r="AC1062" s="3" t="str">
        <f t="shared" si="8"/>
        <v>____2</v>
      </c>
    </row>
    <row r="1063" spans="1:29" ht="14">
      <c r="A1063" s="23"/>
      <c r="B1063" s="23"/>
      <c r="C1063" s="23"/>
      <c r="D1063" s="23"/>
      <c r="E1063" s="23"/>
      <c r="F1063" s="23"/>
      <c r="G1063" s="23"/>
      <c r="H1063" s="22">
        <v>3</v>
      </c>
      <c r="I1063" s="23"/>
      <c r="J1063" s="23"/>
      <c r="K1063" s="23"/>
      <c r="L1063" s="23" t="s">
        <v>39</v>
      </c>
      <c r="M1063" s="22">
        <v>5.9</v>
      </c>
      <c r="N1063" s="22">
        <v>0</v>
      </c>
      <c r="O1063" s="22">
        <v>13</v>
      </c>
      <c r="P1063" s="23"/>
      <c r="Q1063" s="23"/>
      <c r="R1063" s="23"/>
      <c r="S1063" s="23"/>
      <c r="Z1063" s="23"/>
      <c r="AA1063" s="23"/>
      <c r="AB1063" s="3" t="str">
        <f t="shared" si="9"/>
        <v>___</v>
      </c>
      <c r="AC1063" s="3" t="str">
        <f t="shared" si="8"/>
        <v>____3</v>
      </c>
    </row>
    <row r="1064" spans="1:29" ht="14">
      <c r="A1064" s="22" t="s">
        <v>142</v>
      </c>
      <c r="B1064" s="23" t="s">
        <v>143</v>
      </c>
      <c r="C1064" s="22">
        <v>51</v>
      </c>
      <c r="D1064" s="23" t="s">
        <v>134</v>
      </c>
      <c r="E1064" s="23" t="s">
        <v>135</v>
      </c>
      <c r="F1064" s="23" t="s">
        <v>147</v>
      </c>
      <c r="G1064" s="23" t="s">
        <v>40</v>
      </c>
      <c r="H1064" s="22">
        <v>1</v>
      </c>
      <c r="I1064" s="22">
        <v>26</v>
      </c>
      <c r="J1064" s="22">
        <v>28.3</v>
      </c>
      <c r="K1064" s="22">
        <v>6</v>
      </c>
      <c r="L1064" s="23" t="s">
        <v>36</v>
      </c>
      <c r="M1064" s="22">
        <v>8.1</v>
      </c>
      <c r="N1064" s="22">
        <v>8</v>
      </c>
      <c r="O1064" s="22">
        <v>0</v>
      </c>
      <c r="P1064" s="23"/>
      <c r="Q1064" s="23"/>
      <c r="R1064" s="23"/>
      <c r="S1064" s="23"/>
      <c r="Z1064" s="23"/>
      <c r="AA1064" s="22">
        <v>142</v>
      </c>
      <c r="AB1064" s="3" t="str">
        <f t="shared" si="9"/>
        <v>ANO_0212_51_T4-C5_vm</v>
      </c>
      <c r="AC1064" s="3" t="str">
        <f t="shared" si="8"/>
        <v>ANO_0212_51_T4-C5_vm_1</v>
      </c>
    </row>
    <row r="1065" spans="1:29" ht="14">
      <c r="A1065" s="23"/>
      <c r="B1065" s="23"/>
      <c r="C1065" s="23"/>
      <c r="D1065" s="23"/>
      <c r="E1065" s="23"/>
      <c r="F1065" s="23"/>
      <c r="G1065" s="23"/>
      <c r="H1065" s="22">
        <v>2</v>
      </c>
      <c r="I1065" s="23"/>
      <c r="J1065" s="23"/>
      <c r="K1065" s="23"/>
      <c r="L1065" s="23" t="s">
        <v>38</v>
      </c>
      <c r="M1065" s="22">
        <v>11.1</v>
      </c>
      <c r="N1065" s="22">
        <v>0</v>
      </c>
      <c r="O1065" s="22">
        <v>7</v>
      </c>
      <c r="P1065" s="23"/>
      <c r="Q1065" s="22">
        <v>3</v>
      </c>
      <c r="R1065" s="23"/>
      <c r="S1065" s="23"/>
      <c r="Z1065" s="23"/>
      <c r="AA1065" s="23"/>
      <c r="AB1065" s="3" t="str">
        <f t="shared" si="9"/>
        <v>___</v>
      </c>
      <c r="AC1065" s="3" t="str">
        <f t="shared" si="8"/>
        <v>____2</v>
      </c>
    </row>
    <row r="1066" spans="1:29" ht="14">
      <c r="A1066" s="23"/>
      <c r="B1066" s="23"/>
      <c r="C1066" s="23"/>
      <c r="D1066" s="23"/>
      <c r="E1066" s="23"/>
      <c r="F1066" s="23"/>
      <c r="G1066" s="23"/>
      <c r="H1066" s="22">
        <v>3</v>
      </c>
      <c r="I1066" s="23"/>
      <c r="J1066" s="23"/>
      <c r="K1066" s="23"/>
      <c r="L1066" s="23" t="s">
        <v>39</v>
      </c>
      <c r="M1066" s="22">
        <v>7.6</v>
      </c>
      <c r="N1066" s="22">
        <v>0</v>
      </c>
      <c r="O1066" s="22">
        <v>8</v>
      </c>
      <c r="P1066" s="23"/>
      <c r="Q1066" s="23"/>
      <c r="R1066" s="23"/>
      <c r="S1066" s="23"/>
      <c r="Z1066" s="23"/>
      <c r="AA1066" s="23"/>
      <c r="AB1066" s="3" t="str">
        <f t="shared" si="9"/>
        <v>___</v>
      </c>
      <c r="AC1066" s="3" t="str">
        <f t="shared" si="8"/>
        <v>____3</v>
      </c>
    </row>
    <row r="1067" spans="1:29" ht="14">
      <c r="A1067" s="22" t="s">
        <v>142</v>
      </c>
      <c r="B1067" s="23" t="s">
        <v>143</v>
      </c>
      <c r="C1067" s="22">
        <v>51</v>
      </c>
      <c r="D1067" s="23" t="s">
        <v>134</v>
      </c>
      <c r="E1067" s="23" t="s">
        <v>135</v>
      </c>
      <c r="F1067" s="23" t="s">
        <v>147</v>
      </c>
      <c r="G1067" s="23" t="s">
        <v>40</v>
      </c>
      <c r="H1067" s="22">
        <v>1</v>
      </c>
      <c r="I1067" s="22">
        <v>19.5</v>
      </c>
      <c r="J1067" s="22">
        <v>27</v>
      </c>
      <c r="K1067" s="22">
        <v>4</v>
      </c>
      <c r="L1067" s="23" t="s">
        <v>36</v>
      </c>
      <c r="M1067" s="22">
        <v>8.6999999999999993</v>
      </c>
      <c r="N1067" s="22">
        <v>8</v>
      </c>
      <c r="O1067" s="22">
        <v>0</v>
      </c>
      <c r="P1067" s="23"/>
      <c r="Q1067" s="23"/>
      <c r="R1067" s="23"/>
      <c r="S1067" s="23"/>
      <c r="Z1067" s="23"/>
      <c r="AA1067" s="22">
        <v>143</v>
      </c>
      <c r="AB1067" s="3" t="str">
        <f t="shared" si="9"/>
        <v>ANO_0212_51_T4-C5_vm</v>
      </c>
      <c r="AC1067" s="3" t="str">
        <f t="shared" si="8"/>
        <v>ANO_0212_51_T4-C5_vm_1</v>
      </c>
    </row>
    <row r="1068" spans="1:29" ht="14">
      <c r="A1068" s="23"/>
      <c r="B1068" s="23"/>
      <c r="C1068" s="23"/>
      <c r="D1068" s="23"/>
      <c r="E1068" s="23"/>
      <c r="F1068" s="23"/>
      <c r="G1068" s="23"/>
      <c r="H1068" s="22">
        <v>2</v>
      </c>
      <c r="I1068" s="23"/>
      <c r="J1068" s="23"/>
      <c r="K1068" s="23"/>
      <c r="L1068" s="23" t="s">
        <v>38</v>
      </c>
      <c r="M1068" s="22">
        <v>10.5</v>
      </c>
      <c r="N1068" s="22">
        <v>5</v>
      </c>
      <c r="O1068" s="22">
        <v>4</v>
      </c>
      <c r="P1068" s="23"/>
      <c r="Q1068" s="22">
        <v>1</v>
      </c>
      <c r="R1068" s="23"/>
      <c r="S1068" s="23"/>
      <c r="Z1068" s="23"/>
      <c r="AA1068" s="23"/>
      <c r="AB1068" s="3" t="str">
        <f t="shared" si="9"/>
        <v>___</v>
      </c>
      <c r="AC1068" s="3" t="str">
        <f t="shared" si="8"/>
        <v>____2</v>
      </c>
    </row>
    <row r="1069" spans="1:29" ht="14">
      <c r="A1069" s="23"/>
      <c r="B1069" s="23"/>
      <c r="C1069" s="23"/>
      <c r="D1069" s="23"/>
      <c r="E1069" s="23"/>
      <c r="F1069" s="23"/>
      <c r="G1069" s="23"/>
      <c r="H1069" s="22">
        <v>3</v>
      </c>
      <c r="I1069" s="23"/>
      <c r="J1069" s="23"/>
      <c r="K1069" s="23"/>
      <c r="L1069" s="23" t="s">
        <v>39</v>
      </c>
      <c r="M1069" s="22">
        <v>7.3</v>
      </c>
      <c r="N1069" s="22">
        <v>0</v>
      </c>
      <c r="O1069" s="22">
        <v>6</v>
      </c>
      <c r="P1069" s="23"/>
      <c r="Q1069" s="22">
        <v>2</v>
      </c>
      <c r="R1069" s="23"/>
      <c r="S1069" s="23"/>
      <c r="Z1069" s="23"/>
      <c r="AA1069" s="23"/>
      <c r="AB1069" s="3" t="str">
        <f t="shared" si="9"/>
        <v>___</v>
      </c>
      <c r="AC1069" s="3" t="str">
        <f t="shared" si="8"/>
        <v>____3</v>
      </c>
    </row>
    <row r="1070" spans="1:29" ht="14">
      <c r="A1070" s="22" t="s">
        <v>142</v>
      </c>
      <c r="B1070" s="23" t="s">
        <v>143</v>
      </c>
      <c r="C1070" s="22">
        <v>51</v>
      </c>
      <c r="D1070" s="23" t="s">
        <v>134</v>
      </c>
      <c r="E1070" s="23" t="s">
        <v>135</v>
      </c>
      <c r="F1070" s="23" t="s">
        <v>147</v>
      </c>
      <c r="G1070" s="23" t="s">
        <v>40</v>
      </c>
      <c r="H1070" s="22">
        <v>1</v>
      </c>
      <c r="I1070" s="22">
        <v>31</v>
      </c>
      <c r="J1070" s="22">
        <v>37.200000000000003</v>
      </c>
      <c r="K1070" s="22">
        <v>4</v>
      </c>
      <c r="L1070" s="23" t="s">
        <v>36</v>
      </c>
      <c r="M1070" s="22">
        <v>2.8</v>
      </c>
      <c r="N1070" s="22">
        <v>3</v>
      </c>
      <c r="O1070" s="22">
        <v>1</v>
      </c>
      <c r="P1070" s="23"/>
      <c r="Q1070" s="23"/>
      <c r="R1070" s="23"/>
      <c r="S1070" s="23"/>
      <c r="Z1070" s="23"/>
      <c r="AA1070" s="22">
        <v>144</v>
      </c>
      <c r="AB1070" s="3" t="str">
        <f t="shared" si="9"/>
        <v>ANO_0212_51_T4-C5_vm</v>
      </c>
      <c r="AC1070" s="3" t="str">
        <f t="shared" si="8"/>
        <v>ANO_0212_51_T4-C5_vm_1</v>
      </c>
    </row>
    <row r="1071" spans="1:29" ht="14">
      <c r="A1071" s="23"/>
      <c r="B1071" s="23"/>
      <c r="C1071" s="23"/>
      <c r="D1071" s="23"/>
      <c r="E1071" s="23"/>
      <c r="F1071" s="23"/>
      <c r="G1071" s="23"/>
      <c r="H1071" s="22">
        <v>2</v>
      </c>
      <c r="I1071" s="23"/>
      <c r="J1071" s="23"/>
      <c r="K1071" s="23"/>
      <c r="L1071" s="23" t="s">
        <v>38</v>
      </c>
      <c r="M1071" s="22">
        <v>7.8</v>
      </c>
      <c r="N1071" s="22">
        <v>4</v>
      </c>
      <c r="O1071" s="22">
        <v>3</v>
      </c>
      <c r="P1071" s="23"/>
      <c r="Q1071" s="22">
        <v>1</v>
      </c>
      <c r="R1071" s="23"/>
      <c r="S1071" s="23"/>
      <c r="Z1071" s="23"/>
      <c r="AA1071" s="23"/>
      <c r="AB1071" s="3" t="str">
        <f t="shared" si="9"/>
        <v>___</v>
      </c>
      <c r="AC1071" s="3" t="str">
        <f t="shared" si="8"/>
        <v>____2</v>
      </c>
    </row>
    <row r="1072" spans="1:29" ht="14">
      <c r="A1072" s="23"/>
      <c r="B1072" s="23"/>
      <c r="C1072" s="23"/>
      <c r="D1072" s="23"/>
      <c r="E1072" s="23"/>
      <c r="F1072" s="23"/>
      <c r="G1072" s="23"/>
      <c r="H1072" s="22">
        <v>3</v>
      </c>
      <c r="I1072" s="23"/>
      <c r="J1072" s="23"/>
      <c r="K1072" s="23"/>
      <c r="L1072" s="23" t="s">
        <v>39</v>
      </c>
      <c r="M1072" s="22">
        <v>11.5</v>
      </c>
      <c r="N1072" s="22">
        <v>0</v>
      </c>
      <c r="O1072" s="22">
        <v>2</v>
      </c>
      <c r="P1072" s="23"/>
      <c r="Q1072" s="22">
        <v>7</v>
      </c>
      <c r="R1072" s="23"/>
      <c r="S1072" s="23"/>
      <c r="Z1072" s="23"/>
      <c r="AA1072" s="23"/>
      <c r="AB1072" s="3" t="str">
        <f t="shared" si="9"/>
        <v>___</v>
      </c>
      <c r="AC1072" s="3" t="str">
        <f t="shared" si="8"/>
        <v>____3</v>
      </c>
    </row>
    <row r="1073" spans="1:29" ht="14">
      <c r="A1073" s="22" t="s">
        <v>142</v>
      </c>
      <c r="B1073" s="23" t="s">
        <v>143</v>
      </c>
      <c r="C1073" s="22">
        <v>51</v>
      </c>
      <c r="D1073" s="23" t="s">
        <v>134</v>
      </c>
      <c r="E1073" s="23" t="s">
        <v>135</v>
      </c>
      <c r="F1073" s="23" t="s">
        <v>147</v>
      </c>
      <c r="G1073" s="23" t="s">
        <v>35</v>
      </c>
      <c r="H1073" s="22">
        <v>1</v>
      </c>
      <c r="I1073" s="22">
        <v>12.5</v>
      </c>
      <c r="J1073" s="22">
        <v>14</v>
      </c>
      <c r="K1073" s="22">
        <v>6</v>
      </c>
      <c r="L1073" s="23" t="s">
        <v>36</v>
      </c>
      <c r="M1073" s="22">
        <v>4.3</v>
      </c>
      <c r="N1073" s="22">
        <v>14</v>
      </c>
      <c r="O1073" s="22">
        <v>1</v>
      </c>
      <c r="P1073" s="23"/>
      <c r="Q1073" s="23"/>
      <c r="R1073" s="23"/>
      <c r="S1073" s="23"/>
      <c r="Z1073" s="23"/>
      <c r="AA1073" s="22">
        <v>145</v>
      </c>
      <c r="AB1073" s="3" t="str">
        <f t="shared" si="9"/>
        <v>ANO_0212_51_T4-C5_vv</v>
      </c>
      <c r="AC1073" s="3" t="str">
        <f t="shared" si="8"/>
        <v>ANO_0212_51_T4-C5_vv_1</v>
      </c>
    </row>
    <row r="1074" spans="1:29" ht="14">
      <c r="A1074" s="23"/>
      <c r="B1074" s="23"/>
      <c r="C1074" s="23"/>
      <c r="D1074" s="23"/>
      <c r="E1074" s="23"/>
      <c r="F1074" s="23"/>
      <c r="G1074" s="23"/>
      <c r="H1074" s="22">
        <v>2</v>
      </c>
      <c r="I1074" s="23"/>
      <c r="J1074" s="23"/>
      <c r="K1074" s="23"/>
      <c r="L1074" s="23" t="s">
        <v>38</v>
      </c>
      <c r="M1074" s="22">
        <v>6</v>
      </c>
      <c r="N1074" s="22">
        <v>10</v>
      </c>
      <c r="O1074" s="22">
        <v>3</v>
      </c>
      <c r="P1074" s="23"/>
      <c r="Q1074" s="23"/>
      <c r="R1074" s="23"/>
      <c r="S1074" s="23"/>
      <c r="Z1074" s="23"/>
      <c r="AA1074" s="23"/>
      <c r="AB1074" s="3" t="str">
        <f t="shared" si="9"/>
        <v>___</v>
      </c>
      <c r="AC1074" s="3" t="str">
        <f t="shared" si="8"/>
        <v>____2</v>
      </c>
    </row>
    <row r="1075" spans="1:29" ht="14">
      <c r="A1075" s="23"/>
      <c r="B1075" s="23"/>
      <c r="C1075" s="23"/>
      <c r="D1075" s="23"/>
      <c r="E1075" s="23"/>
      <c r="F1075" s="23"/>
      <c r="G1075" s="23"/>
      <c r="H1075" s="22">
        <v>3</v>
      </c>
      <c r="I1075" s="23"/>
      <c r="J1075" s="23"/>
      <c r="K1075" s="23"/>
      <c r="L1075" s="23" t="s">
        <v>39</v>
      </c>
      <c r="M1075" s="22">
        <v>4.7</v>
      </c>
      <c r="N1075" s="22">
        <v>3</v>
      </c>
      <c r="O1075" s="22">
        <v>3</v>
      </c>
      <c r="P1075" s="23"/>
      <c r="Q1075" s="22">
        <v>2</v>
      </c>
      <c r="R1075" s="23"/>
      <c r="S1075" s="23"/>
      <c r="Z1075" s="23"/>
      <c r="AA1075" s="23"/>
      <c r="AB1075" s="3" t="str">
        <f t="shared" si="9"/>
        <v>___</v>
      </c>
      <c r="AC1075" s="3" t="str">
        <f t="shared" si="8"/>
        <v>____3</v>
      </c>
    </row>
    <row r="1076" spans="1:29" ht="14">
      <c r="A1076" s="22" t="s">
        <v>142</v>
      </c>
      <c r="B1076" s="23" t="s">
        <v>143</v>
      </c>
      <c r="C1076" s="22">
        <v>51</v>
      </c>
      <c r="D1076" s="23" t="s">
        <v>134</v>
      </c>
      <c r="E1076" s="23" t="s">
        <v>135</v>
      </c>
      <c r="F1076" s="23" t="s">
        <v>147</v>
      </c>
      <c r="G1076" s="23" t="s">
        <v>35</v>
      </c>
      <c r="H1076" s="22">
        <v>1</v>
      </c>
      <c r="I1076" s="22">
        <v>15</v>
      </c>
      <c r="J1076" s="22">
        <v>19.5</v>
      </c>
      <c r="K1076" s="22">
        <v>4</v>
      </c>
      <c r="L1076" s="23" t="s">
        <v>36</v>
      </c>
      <c r="M1076" s="22">
        <v>2.4</v>
      </c>
      <c r="N1076" s="22">
        <v>7</v>
      </c>
      <c r="O1076" s="22">
        <v>1</v>
      </c>
      <c r="P1076" s="23"/>
      <c r="Q1076" s="23"/>
      <c r="R1076" s="23"/>
      <c r="S1076" s="23"/>
      <c r="Z1076" s="23"/>
      <c r="AA1076" s="22">
        <v>146</v>
      </c>
      <c r="AB1076" s="3" t="str">
        <f t="shared" si="9"/>
        <v>ANO_0212_51_T4-C5_vv</v>
      </c>
      <c r="AC1076" s="3" t="str">
        <f t="shared" si="8"/>
        <v>ANO_0212_51_T4-C5_vv_1</v>
      </c>
    </row>
    <row r="1077" spans="1:29" ht="14">
      <c r="A1077" s="23"/>
      <c r="B1077" s="23"/>
      <c r="C1077" s="23"/>
      <c r="D1077" s="23"/>
      <c r="E1077" s="23"/>
      <c r="F1077" s="23"/>
      <c r="G1077" s="23"/>
      <c r="H1077" s="22">
        <v>2</v>
      </c>
      <c r="I1077" s="23"/>
      <c r="J1077" s="23"/>
      <c r="K1077" s="23"/>
      <c r="L1077" s="23" t="s">
        <v>38</v>
      </c>
      <c r="M1077" s="22">
        <v>3.2</v>
      </c>
      <c r="N1077" s="22">
        <v>7</v>
      </c>
      <c r="O1077" s="22">
        <v>3</v>
      </c>
      <c r="P1077" s="23"/>
      <c r="Q1077" s="23"/>
      <c r="R1077" s="23"/>
      <c r="S1077" s="23"/>
      <c r="Z1077" s="23"/>
      <c r="AA1077" s="23"/>
      <c r="AB1077" s="3" t="str">
        <f t="shared" si="9"/>
        <v>___</v>
      </c>
      <c r="AC1077" s="3" t="str">
        <f t="shared" si="8"/>
        <v>____2</v>
      </c>
    </row>
    <row r="1078" spans="1:29" ht="14">
      <c r="A1078" s="23"/>
      <c r="B1078" s="23"/>
      <c r="C1078" s="23"/>
      <c r="D1078" s="23"/>
      <c r="E1078" s="23"/>
      <c r="F1078" s="23"/>
      <c r="G1078" s="23"/>
      <c r="H1078" s="22">
        <v>3</v>
      </c>
      <c r="I1078" s="23"/>
      <c r="J1078" s="23"/>
      <c r="K1078" s="23"/>
      <c r="L1078" s="23" t="s">
        <v>39</v>
      </c>
      <c r="M1078" s="22">
        <v>4.3</v>
      </c>
      <c r="N1078" s="22">
        <v>8</v>
      </c>
      <c r="O1078" s="22">
        <v>2</v>
      </c>
      <c r="P1078" s="23"/>
      <c r="Q1078" s="23"/>
      <c r="R1078" s="23"/>
      <c r="S1078" s="23"/>
      <c r="Z1078" s="23"/>
      <c r="AA1078" s="23"/>
      <c r="AB1078" s="3" t="str">
        <f t="shared" si="9"/>
        <v>___</v>
      </c>
      <c r="AC1078" s="3" t="str">
        <f t="shared" si="8"/>
        <v>____3</v>
      </c>
    </row>
    <row r="1079" spans="1:29" ht="14">
      <c r="A1079" s="22" t="s">
        <v>142</v>
      </c>
      <c r="B1079" s="23" t="s">
        <v>143</v>
      </c>
      <c r="C1079" s="22">
        <v>51</v>
      </c>
      <c r="D1079" s="23" t="s">
        <v>134</v>
      </c>
      <c r="E1079" s="23" t="s">
        <v>135</v>
      </c>
      <c r="F1079" s="23" t="s">
        <v>147</v>
      </c>
      <c r="G1079" s="23" t="s">
        <v>35</v>
      </c>
      <c r="H1079" s="22">
        <v>1</v>
      </c>
      <c r="I1079" s="22">
        <v>12</v>
      </c>
      <c r="J1079" s="22">
        <v>13.4</v>
      </c>
      <c r="K1079" s="22">
        <v>5</v>
      </c>
      <c r="L1079" s="23" t="s">
        <v>36</v>
      </c>
      <c r="M1079" s="22">
        <v>3.3</v>
      </c>
      <c r="N1079" s="22">
        <v>15</v>
      </c>
      <c r="O1079" s="22">
        <v>1</v>
      </c>
      <c r="P1079" s="23"/>
      <c r="Q1079" s="23"/>
      <c r="R1079" s="23"/>
      <c r="S1079" s="23"/>
      <c r="Z1079" s="23"/>
      <c r="AA1079" s="22">
        <v>147</v>
      </c>
      <c r="AB1079" s="3" t="str">
        <f t="shared" si="9"/>
        <v>ANO_0212_51_T4-C5_vv</v>
      </c>
      <c r="AC1079" s="3" t="str">
        <f t="shared" si="8"/>
        <v>ANO_0212_51_T4-C5_vv_1</v>
      </c>
    </row>
    <row r="1080" spans="1:29" ht="14">
      <c r="A1080" s="23"/>
      <c r="B1080" s="23"/>
      <c r="C1080" s="23"/>
      <c r="D1080" s="23"/>
      <c r="E1080" s="23"/>
      <c r="F1080" s="23"/>
      <c r="G1080" s="23"/>
      <c r="H1080" s="22">
        <v>2</v>
      </c>
      <c r="I1080" s="23"/>
      <c r="J1080" s="23"/>
      <c r="K1080" s="23"/>
      <c r="L1080" s="23" t="s">
        <v>38</v>
      </c>
      <c r="M1080" s="22">
        <v>5</v>
      </c>
      <c r="N1080" s="22">
        <v>11</v>
      </c>
      <c r="O1080" s="22">
        <v>2</v>
      </c>
      <c r="P1080" s="23"/>
      <c r="Q1080" s="23"/>
      <c r="R1080" s="23"/>
      <c r="S1080" s="23"/>
      <c r="Z1080" s="23"/>
      <c r="AA1080" s="23"/>
      <c r="AB1080" s="3" t="str">
        <f t="shared" si="9"/>
        <v>___</v>
      </c>
      <c r="AC1080" s="3" t="str">
        <f t="shared" si="8"/>
        <v>____2</v>
      </c>
    </row>
    <row r="1081" spans="1:29" ht="14">
      <c r="A1081" s="23"/>
      <c r="B1081" s="23"/>
      <c r="C1081" s="23"/>
      <c r="D1081" s="23"/>
      <c r="E1081" s="23"/>
      <c r="F1081" s="23"/>
      <c r="G1081" s="23"/>
      <c r="H1081" s="22">
        <v>3</v>
      </c>
      <c r="I1081" s="23"/>
      <c r="J1081" s="23"/>
      <c r="K1081" s="23"/>
      <c r="L1081" s="23" t="s">
        <v>39</v>
      </c>
      <c r="M1081" s="22">
        <v>4.7</v>
      </c>
      <c r="N1081" s="22">
        <v>0</v>
      </c>
      <c r="O1081" s="22">
        <v>9</v>
      </c>
      <c r="P1081" s="23"/>
      <c r="Q1081" s="23"/>
      <c r="R1081" s="23"/>
      <c r="S1081" s="23"/>
      <c r="Z1081" s="23"/>
      <c r="AA1081" s="23"/>
      <c r="AB1081" s="3" t="str">
        <f t="shared" si="9"/>
        <v>___</v>
      </c>
      <c r="AC1081" s="3" t="str">
        <f t="shared" si="8"/>
        <v>____3</v>
      </c>
    </row>
    <row r="1082" spans="1:29" ht="14">
      <c r="A1082" s="22" t="s">
        <v>148</v>
      </c>
      <c r="B1082" s="23" t="s">
        <v>149</v>
      </c>
      <c r="C1082" s="22">
        <v>42</v>
      </c>
      <c r="D1082" s="23" t="s">
        <v>134</v>
      </c>
      <c r="E1082" s="23" t="s">
        <v>135</v>
      </c>
      <c r="F1082" s="23" t="s">
        <v>136</v>
      </c>
      <c r="G1082" s="23" t="s">
        <v>40</v>
      </c>
      <c r="H1082" s="22">
        <v>1</v>
      </c>
      <c r="I1082" s="22">
        <v>30</v>
      </c>
      <c r="J1082" s="22">
        <v>40.200000000000003</v>
      </c>
      <c r="K1082" s="22">
        <v>7</v>
      </c>
      <c r="L1082" s="23" t="s">
        <v>36</v>
      </c>
      <c r="M1082" s="22">
        <v>6.6</v>
      </c>
      <c r="N1082" s="22">
        <v>7</v>
      </c>
      <c r="O1082" s="22">
        <v>0</v>
      </c>
      <c r="P1082" s="23"/>
      <c r="Q1082" s="23"/>
      <c r="R1082" s="23"/>
      <c r="S1082" s="23"/>
      <c r="Z1082" s="23"/>
      <c r="AA1082" s="22">
        <v>148</v>
      </c>
      <c r="AB1082" s="3" t="str">
        <f t="shared" si="9"/>
        <v>ANO_0282_42_T4-C1_vm</v>
      </c>
      <c r="AC1082" s="3" t="str">
        <f t="shared" si="8"/>
        <v>ANO_0282_42_T4-C1_vm_1</v>
      </c>
    </row>
    <row r="1083" spans="1:29" ht="14">
      <c r="A1083" s="23"/>
      <c r="B1083" s="23"/>
      <c r="C1083" s="23"/>
      <c r="D1083" s="23"/>
      <c r="E1083" s="23"/>
      <c r="F1083" s="23"/>
      <c r="G1083" s="23"/>
      <c r="H1083" s="22">
        <v>2</v>
      </c>
      <c r="I1083" s="23"/>
      <c r="J1083" s="23"/>
      <c r="K1083" s="23"/>
      <c r="L1083" s="23" t="s">
        <v>38</v>
      </c>
      <c r="M1083" s="22">
        <v>5.0999999999999996</v>
      </c>
      <c r="N1083" s="22">
        <v>2</v>
      </c>
      <c r="O1083" s="22">
        <v>1</v>
      </c>
      <c r="P1083" s="23"/>
      <c r="Q1083" s="22">
        <v>2</v>
      </c>
      <c r="R1083" s="23"/>
      <c r="S1083" s="23"/>
      <c r="Z1083" s="23"/>
      <c r="AA1083" s="23"/>
      <c r="AB1083" s="3" t="str">
        <f t="shared" si="9"/>
        <v>___</v>
      </c>
      <c r="AC1083" s="3" t="str">
        <f t="shared" si="8"/>
        <v>____2</v>
      </c>
    </row>
    <row r="1084" spans="1:29" ht="14">
      <c r="A1084" s="23"/>
      <c r="B1084" s="23"/>
      <c r="C1084" s="23"/>
      <c r="D1084" s="23"/>
      <c r="E1084" s="23"/>
      <c r="F1084" s="23"/>
      <c r="G1084" s="23"/>
      <c r="H1084" s="22">
        <v>3</v>
      </c>
      <c r="I1084" s="23"/>
      <c r="J1084" s="23"/>
      <c r="K1084" s="23"/>
      <c r="L1084" s="23" t="s">
        <v>39</v>
      </c>
      <c r="M1084" s="22">
        <v>7.6</v>
      </c>
      <c r="N1084" s="22">
        <v>0</v>
      </c>
      <c r="O1084" s="22">
        <v>2</v>
      </c>
      <c r="P1084" s="23"/>
      <c r="Q1084" s="22">
        <v>3</v>
      </c>
      <c r="R1084" s="23"/>
      <c r="S1084" s="23"/>
      <c r="Z1084" s="23"/>
      <c r="AA1084" s="23"/>
      <c r="AB1084" s="3" t="str">
        <f t="shared" si="9"/>
        <v>___</v>
      </c>
      <c r="AC1084" s="3" t="str">
        <f t="shared" si="8"/>
        <v>____3</v>
      </c>
    </row>
    <row r="1085" spans="1:29" ht="14">
      <c r="A1085" s="22" t="s">
        <v>148</v>
      </c>
      <c r="B1085" s="23" t="s">
        <v>149</v>
      </c>
      <c r="C1085" s="22">
        <v>42</v>
      </c>
      <c r="D1085" s="23" t="s">
        <v>134</v>
      </c>
      <c r="E1085" s="23" t="s">
        <v>135</v>
      </c>
      <c r="F1085" s="23" t="s">
        <v>136</v>
      </c>
      <c r="G1085" s="23" t="s">
        <v>40</v>
      </c>
      <c r="H1085" s="22">
        <v>1</v>
      </c>
      <c r="I1085" s="22">
        <v>26</v>
      </c>
      <c r="J1085" s="22">
        <v>35.5</v>
      </c>
      <c r="K1085" s="22">
        <v>6</v>
      </c>
      <c r="L1085" s="23" t="s">
        <v>36</v>
      </c>
      <c r="M1085" s="22">
        <v>7.5</v>
      </c>
      <c r="N1085" s="22">
        <v>7</v>
      </c>
      <c r="O1085" s="22">
        <v>0</v>
      </c>
      <c r="P1085" s="23"/>
      <c r="Q1085" s="23"/>
      <c r="R1085" s="23"/>
      <c r="S1085" s="23"/>
      <c r="Z1085" s="23"/>
      <c r="AA1085" s="22">
        <v>149</v>
      </c>
      <c r="AB1085" s="3" t="str">
        <f t="shared" si="9"/>
        <v>ANO_0282_42_T4-C1_vm</v>
      </c>
      <c r="AC1085" s="3" t="str">
        <f t="shared" si="8"/>
        <v>ANO_0282_42_T4-C1_vm_1</v>
      </c>
    </row>
    <row r="1086" spans="1:29" ht="14">
      <c r="A1086" s="23"/>
      <c r="B1086" s="23"/>
      <c r="C1086" s="23"/>
      <c r="D1086" s="23"/>
      <c r="E1086" s="23"/>
      <c r="F1086" s="23"/>
      <c r="G1086" s="23"/>
      <c r="H1086" s="22">
        <v>2</v>
      </c>
      <c r="I1086" s="23"/>
      <c r="J1086" s="23"/>
      <c r="K1086" s="23"/>
      <c r="L1086" s="23" t="s">
        <v>38</v>
      </c>
      <c r="M1086" s="22">
        <v>7.8</v>
      </c>
      <c r="N1086" s="22">
        <v>2</v>
      </c>
      <c r="O1086" s="22">
        <v>1</v>
      </c>
      <c r="P1086" s="23"/>
      <c r="Q1086" s="22">
        <v>2</v>
      </c>
      <c r="R1086" s="23"/>
      <c r="S1086" s="23"/>
      <c r="Z1086" s="23"/>
      <c r="AA1086" s="23"/>
      <c r="AB1086" s="3" t="str">
        <f t="shared" si="9"/>
        <v>___</v>
      </c>
      <c r="AC1086" s="3" t="str">
        <f t="shared" si="8"/>
        <v>____2</v>
      </c>
    </row>
    <row r="1087" spans="1:29" ht="14">
      <c r="A1087" s="23"/>
      <c r="B1087" s="23"/>
      <c r="C1087" s="23"/>
      <c r="D1087" s="23"/>
      <c r="E1087" s="23"/>
      <c r="F1087" s="23"/>
      <c r="G1087" s="23"/>
      <c r="H1087" s="22">
        <v>3</v>
      </c>
      <c r="I1087" s="23"/>
      <c r="J1087" s="23"/>
      <c r="K1087" s="23"/>
      <c r="L1087" s="23" t="s">
        <v>39</v>
      </c>
      <c r="M1087" s="22">
        <v>5.7</v>
      </c>
      <c r="N1087" s="22">
        <v>0</v>
      </c>
      <c r="O1087" s="22">
        <v>4</v>
      </c>
      <c r="P1087" s="23"/>
      <c r="Q1087" s="22">
        <v>1</v>
      </c>
      <c r="R1087" s="23"/>
      <c r="S1087" s="23"/>
      <c r="Z1087" s="23"/>
      <c r="AA1087" s="23"/>
      <c r="AB1087" s="3" t="str">
        <f t="shared" si="9"/>
        <v>___</v>
      </c>
      <c r="AC1087" s="3" t="str">
        <f t="shared" si="8"/>
        <v>____3</v>
      </c>
    </row>
    <row r="1088" spans="1:29" ht="14">
      <c r="A1088" s="22" t="s">
        <v>148</v>
      </c>
      <c r="B1088" s="23" t="s">
        <v>149</v>
      </c>
      <c r="C1088" s="22">
        <v>42</v>
      </c>
      <c r="D1088" s="23" t="s">
        <v>134</v>
      </c>
      <c r="E1088" s="23" t="s">
        <v>135</v>
      </c>
      <c r="F1088" s="23" t="s">
        <v>136</v>
      </c>
      <c r="G1088" s="23" t="s">
        <v>40</v>
      </c>
      <c r="H1088" s="22">
        <v>1</v>
      </c>
      <c r="I1088" s="22">
        <v>19</v>
      </c>
      <c r="J1088" s="22">
        <v>24.1</v>
      </c>
      <c r="K1088" s="22">
        <v>3</v>
      </c>
      <c r="L1088" s="23" t="s">
        <v>36</v>
      </c>
      <c r="M1088" s="22">
        <v>12.6</v>
      </c>
      <c r="N1088" s="22">
        <v>11</v>
      </c>
      <c r="O1088" s="22">
        <v>0</v>
      </c>
      <c r="P1088" s="23"/>
      <c r="Q1088" s="23"/>
      <c r="R1088" s="23"/>
      <c r="S1088" s="23"/>
      <c r="Z1088" s="23"/>
      <c r="AA1088" s="22">
        <v>150</v>
      </c>
      <c r="AB1088" s="3" t="str">
        <f t="shared" si="9"/>
        <v>ANO_0282_42_T4-C1_vm</v>
      </c>
      <c r="AC1088" s="3" t="str">
        <f t="shared" si="8"/>
        <v>ANO_0282_42_T4-C1_vm_1</v>
      </c>
    </row>
    <row r="1089" spans="1:29" ht="14">
      <c r="A1089" s="23"/>
      <c r="B1089" s="23"/>
      <c r="C1089" s="23"/>
      <c r="D1089" s="23"/>
      <c r="E1089" s="23"/>
      <c r="F1089" s="23"/>
      <c r="G1089" s="23"/>
      <c r="H1089" s="22">
        <v>2</v>
      </c>
      <c r="I1089" s="23"/>
      <c r="J1089" s="23"/>
      <c r="K1089" s="23"/>
      <c r="L1089" s="23" t="s">
        <v>38</v>
      </c>
      <c r="M1089" s="22">
        <v>10.199999999999999</v>
      </c>
      <c r="N1089" s="22">
        <v>2</v>
      </c>
      <c r="O1089" s="22">
        <v>7</v>
      </c>
      <c r="P1089" s="23"/>
      <c r="Q1089" s="22">
        <v>2</v>
      </c>
      <c r="R1089" s="23"/>
      <c r="S1089" s="23"/>
      <c r="Z1089" s="23"/>
      <c r="AA1089" s="23"/>
      <c r="AB1089" s="3" t="str">
        <f t="shared" si="9"/>
        <v>___</v>
      </c>
      <c r="AC1089" s="3" t="str">
        <f t="shared" si="8"/>
        <v>____2</v>
      </c>
    </row>
    <row r="1090" spans="1:29" ht="14">
      <c r="A1090" s="23"/>
      <c r="B1090" s="23"/>
      <c r="C1090" s="23"/>
      <c r="D1090" s="23"/>
      <c r="E1090" s="23"/>
      <c r="F1090" s="23"/>
      <c r="G1090" s="23"/>
      <c r="H1090" s="22">
        <v>3</v>
      </c>
      <c r="I1090" s="23"/>
      <c r="J1090" s="23"/>
      <c r="K1090" s="23"/>
      <c r="L1090" s="23" t="s">
        <v>39</v>
      </c>
      <c r="M1090" s="22">
        <v>6.8</v>
      </c>
      <c r="N1090" s="22">
        <v>0</v>
      </c>
      <c r="O1090" s="22">
        <v>6</v>
      </c>
      <c r="P1090" s="23"/>
      <c r="Q1090" s="22">
        <v>1</v>
      </c>
      <c r="R1090" s="23"/>
      <c r="S1090" s="23"/>
      <c r="Z1090" s="23"/>
      <c r="AA1090" s="23"/>
      <c r="AB1090" s="3" t="str">
        <f t="shared" si="9"/>
        <v>___</v>
      </c>
      <c r="AC1090" s="3" t="str">
        <f t="shared" si="8"/>
        <v>____3</v>
      </c>
    </row>
    <row r="1091" spans="1:29" ht="14">
      <c r="A1091" s="22" t="s">
        <v>148</v>
      </c>
      <c r="B1091" s="23" t="s">
        <v>149</v>
      </c>
      <c r="C1091" s="22">
        <v>42</v>
      </c>
      <c r="D1091" s="23" t="s">
        <v>134</v>
      </c>
      <c r="E1091" s="23" t="s">
        <v>135</v>
      </c>
      <c r="F1091" s="23" t="s">
        <v>136</v>
      </c>
      <c r="G1091" s="23" t="s">
        <v>35</v>
      </c>
      <c r="H1091" s="22">
        <v>1</v>
      </c>
      <c r="I1091" s="22">
        <v>21</v>
      </c>
      <c r="J1091" s="22">
        <v>22.7</v>
      </c>
      <c r="K1091" s="22">
        <v>4</v>
      </c>
      <c r="L1091" s="23" t="s">
        <v>36</v>
      </c>
      <c r="M1091" s="22">
        <v>4.3</v>
      </c>
      <c r="N1091" s="22">
        <v>13</v>
      </c>
      <c r="O1091" s="22">
        <v>2</v>
      </c>
      <c r="P1091" s="23"/>
      <c r="Q1091" s="23"/>
      <c r="R1091" s="23"/>
      <c r="S1091" s="23"/>
      <c r="Z1091" s="23"/>
      <c r="AA1091" s="22">
        <v>151</v>
      </c>
      <c r="AB1091" s="3" t="str">
        <f t="shared" si="9"/>
        <v>ANO_0282_42_T4-C1_vv</v>
      </c>
      <c r="AC1091" s="3" t="str">
        <f t="shared" si="8"/>
        <v>ANO_0282_42_T4-C1_vv_1</v>
      </c>
    </row>
    <row r="1092" spans="1:29" ht="14">
      <c r="A1092" s="23"/>
      <c r="B1092" s="23"/>
      <c r="C1092" s="23"/>
      <c r="D1092" s="23"/>
      <c r="E1092" s="23"/>
      <c r="F1092" s="23"/>
      <c r="G1092" s="23"/>
      <c r="H1092" s="22">
        <v>2</v>
      </c>
      <c r="I1092" s="23"/>
      <c r="J1092" s="23"/>
      <c r="K1092" s="23"/>
      <c r="L1092" s="23" t="s">
        <v>38</v>
      </c>
      <c r="M1092" s="22">
        <v>5.8</v>
      </c>
      <c r="N1092" s="22">
        <v>11</v>
      </c>
      <c r="O1092" s="22">
        <v>1</v>
      </c>
      <c r="P1092" s="23"/>
      <c r="Q1092" s="23"/>
      <c r="R1092" s="23"/>
      <c r="S1092" s="23"/>
      <c r="Z1092" s="23"/>
      <c r="AA1092" s="23"/>
      <c r="AB1092" s="3" t="str">
        <f t="shared" si="9"/>
        <v>___</v>
      </c>
      <c r="AC1092" s="3" t="str">
        <f t="shared" si="8"/>
        <v>____2</v>
      </c>
    </row>
    <row r="1093" spans="1:29" ht="14">
      <c r="A1093" s="23"/>
      <c r="B1093" s="23"/>
      <c r="C1093" s="23"/>
      <c r="D1093" s="23"/>
      <c r="E1093" s="23"/>
      <c r="F1093" s="23"/>
      <c r="G1093" s="23"/>
      <c r="H1093" s="22">
        <v>3</v>
      </c>
      <c r="I1093" s="23"/>
      <c r="J1093" s="23"/>
      <c r="K1093" s="23"/>
      <c r="L1093" s="23" t="s">
        <v>39</v>
      </c>
      <c r="M1093" s="22">
        <v>6</v>
      </c>
      <c r="N1093" s="22">
        <v>2</v>
      </c>
      <c r="O1093" s="22">
        <v>9</v>
      </c>
      <c r="P1093" s="23"/>
      <c r="Q1093" s="23"/>
      <c r="R1093" s="23"/>
      <c r="S1093" s="23"/>
      <c r="Z1093" s="23"/>
      <c r="AA1093" s="23"/>
      <c r="AB1093" s="3" t="str">
        <f t="shared" si="9"/>
        <v>___</v>
      </c>
      <c r="AC1093" s="3" t="str">
        <f t="shared" si="8"/>
        <v>____3</v>
      </c>
    </row>
    <row r="1094" spans="1:29" ht="14">
      <c r="A1094" s="22" t="s">
        <v>148</v>
      </c>
      <c r="B1094" s="23" t="s">
        <v>149</v>
      </c>
      <c r="C1094" s="22">
        <v>42</v>
      </c>
      <c r="D1094" s="23" t="s">
        <v>134</v>
      </c>
      <c r="E1094" s="23" t="s">
        <v>135</v>
      </c>
      <c r="F1094" s="23" t="s">
        <v>136</v>
      </c>
      <c r="G1094" s="23" t="s">
        <v>35</v>
      </c>
      <c r="H1094" s="22">
        <v>1</v>
      </c>
      <c r="I1094" s="22">
        <v>16</v>
      </c>
      <c r="J1094" s="22">
        <v>18.2</v>
      </c>
      <c r="K1094" s="22">
        <v>4</v>
      </c>
      <c r="L1094" s="23" t="s">
        <v>36</v>
      </c>
      <c r="M1094" s="22">
        <v>3.5</v>
      </c>
      <c r="N1094" s="22">
        <v>7</v>
      </c>
      <c r="O1094" s="22">
        <v>2</v>
      </c>
      <c r="P1094" s="23"/>
      <c r="Q1094" s="23"/>
      <c r="R1094" s="23"/>
      <c r="S1094" s="23"/>
      <c r="Z1094" s="23"/>
      <c r="AA1094" s="22">
        <v>152</v>
      </c>
      <c r="AB1094" s="3" t="str">
        <f t="shared" si="9"/>
        <v>ANO_0282_42_T4-C1_vv</v>
      </c>
      <c r="AC1094" s="3" t="str">
        <f t="shared" si="8"/>
        <v>ANO_0282_42_T4-C1_vv_1</v>
      </c>
    </row>
    <row r="1095" spans="1:29" ht="14">
      <c r="A1095" s="23"/>
      <c r="B1095" s="23"/>
      <c r="C1095" s="23"/>
      <c r="D1095" s="23"/>
      <c r="E1095" s="23"/>
      <c r="F1095" s="23"/>
      <c r="G1095" s="23"/>
      <c r="H1095" s="22">
        <v>2</v>
      </c>
      <c r="I1095" s="23"/>
      <c r="J1095" s="23"/>
      <c r="K1095" s="23"/>
      <c r="L1095" s="23" t="s">
        <v>38</v>
      </c>
      <c r="M1095" s="22">
        <v>4.5</v>
      </c>
      <c r="N1095" s="22">
        <v>5</v>
      </c>
      <c r="O1095" s="22">
        <v>5</v>
      </c>
      <c r="P1095" s="23"/>
      <c r="Q1095" s="23"/>
      <c r="R1095" s="23"/>
      <c r="S1095" s="23"/>
      <c r="Z1095" s="23"/>
      <c r="AA1095" s="23"/>
      <c r="AB1095" s="3" t="str">
        <f t="shared" si="9"/>
        <v>___</v>
      </c>
      <c r="AC1095" s="3" t="str">
        <f t="shared" si="8"/>
        <v>____2</v>
      </c>
    </row>
    <row r="1096" spans="1:29" ht="14">
      <c r="A1096" s="23"/>
      <c r="B1096" s="23"/>
      <c r="C1096" s="23"/>
      <c r="D1096" s="23"/>
      <c r="E1096" s="23"/>
      <c r="F1096" s="23"/>
      <c r="G1096" s="23"/>
      <c r="H1096" s="22">
        <v>3</v>
      </c>
      <c r="I1096" s="23"/>
      <c r="J1096" s="23"/>
      <c r="K1096" s="23"/>
      <c r="L1096" s="23" t="s">
        <v>39</v>
      </c>
      <c r="M1096" s="22">
        <v>7.2</v>
      </c>
      <c r="N1096" s="22">
        <v>7</v>
      </c>
      <c r="O1096" s="22">
        <v>6</v>
      </c>
      <c r="P1096" s="23"/>
      <c r="Q1096" s="23"/>
      <c r="R1096" s="23"/>
      <c r="S1096" s="23"/>
      <c r="Z1096" s="23"/>
      <c r="AA1096" s="23"/>
      <c r="AB1096" s="3" t="str">
        <f t="shared" si="9"/>
        <v>___</v>
      </c>
      <c r="AC1096" s="3" t="str">
        <f t="shared" si="8"/>
        <v>____3</v>
      </c>
    </row>
    <row r="1097" spans="1:29" ht="14">
      <c r="A1097" s="22" t="s">
        <v>148</v>
      </c>
      <c r="B1097" s="23" t="s">
        <v>149</v>
      </c>
      <c r="C1097" s="22">
        <v>42</v>
      </c>
      <c r="D1097" s="23" t="s">
        <v>134</v>
      </c>
      <c r="E1097" s="23" t="s">
        <v>135</v>
      </c>
      <c r="F1097" s="23" t="s">
        <v>136</v>
      </c>
      <c r="G1097" s="23" t="s">
        <v>35</v>
      </c>
      <c r="H1097" s="22">
        <v>1</v>
      </c>
      <c r="I1097" s="22">
        <v>15.5</v>
      </c>
      <c r="J1097" s="22">
        <v>16.100000000000001</v>
      </c>
      <c r="K1097" s="22">
        <v>4</v>
      </c>
      <c r="L1097" s="23" t="s">
        <v>36</v>
      </c>
      <c r="M1097" s="22">
        <v>3.5</v>
      </c>
      <c r="N1097" s="22">
        <v>11</v>
      </c>
      <c r="O1097" s="22">
        <v>2</v>
      </c>
      <c r="P1097" s="23"/>
      <c r="Q1097" s="23"/>
      <c r="R1097" s="23"/>
      <c r="S1097" s="23"/>
      <c r="Z1097" s="23"/>
      <c r="AA1097" s="22">
        <v>153</v>
      </c>
      <c r="AB1097" s="3" t="str">
        <f t="shared" si="9"/>
        <v>ANO_0282_42_T4-C1_vv</v>
      </c>
      <c r="AC1097" s="3" t="str">
        <f t="shared" si="8"/>
        <v>ANO_0282_42_T4-C1_vv_1</v>
      </c>
    </row>
    <row r="1098" spans="1:29" ht="14">
      <c r="A1098" s="23"/>
      <c r="B1098" s="23"/>
      <c r="C1098" s="23"/>
      <c r="D1098" s="23"/>
      <c r="E1098" s="23"/>
      <c r="F1098" s="23"/>
      <c r="G1098" s="23"/>
      <c r="H1098" s="22">
        <v>2</v>
      </c>
      <c r="I1098" s="23"/>
      <c r="J1098" s="23"/>
      <c r="K1098" s="23"/>
      <c r="L1098" s="23" t="s">
        <v>38</v>
      </c>
      <c r="M1098" s="22">
        <v>5.7</v>
      </c>
      <c r="N1098" s="22">
        <v>5</v>
      </c>
      <c r="O1098" s="22">
        <v>7</v>
      </c>
      <c r="P1098" s="23"/>
      <c r="Q1098" s="23"/>
      <c r="R1098" s="23"/>
      <c r="S1098" s="23"/>
      <c r="Z1098" s="23"/>
      <c r="AA1098" s="23"/>
      <c r="AB1098" s="3" t="str">
        <f t="shared" si="9"/>
        <v>___</v>
      </c>
      <c r="AC1098" s="3" t="str">
        <f t="shared" si="8"/>
        <v>____2</v>
      </c>
    </row>
    <row r="1099" spans="1:29" ht="14">
      <c r="A1099" s="23"/>
      <c r="B1099" s="23"/>
      <c r="C1099" s="23"/>
      <c r="D1099" s="23"/>
      <c r="E1099" s="23"/>
      <c r="F1099" s="23"/>
      <c r="G1099" s="23"/>
      <c r="H1099" s="22">
        <v>3</v>
      </c>
      <c r="I1099" s="23"/>
      <c r="J1099" s="23"/>
      <c r="K1099" s="23"/>
      <c r="L1099" s="23" t="s">
        <v>39</v>
      </c>
      <c r="M1099" s="22">
        <v>4.7</v>
      </c>
      <c r="N1099" s="22">
        <v>6</v>
      </c>
      <c r="O1099" s="22">
        <v>2</v>
      </c>
      <c r="P1099" s="23"/>
      <c r="Q1099" s="22">
        <v>2</v>
      </c>
      <c r="R1099" s="23"/>
      <c r="S1099" s="23"/>
      <c r="Z1099" s="23"/>
      <c r="AA1099" s="23"/>
      <c r="AB1099" s="3" t="str">
        <f t="shared" si="9"/>
        <v>___</v>
      </c>
      <c r="AC1099" s="3" t="str">
        <f t="shared" si="8"/>
        <v>____3</v>
      </c>
    </row>
    <row r="1100" spans="1:29" ht="14">
      <c r="A1100" s="22" t="s">
        <v>150</v>
      </c>
      <c r="B1100" s="23" t="s">
        <v>151</v>
      </c>
      <c r="C1100" s="22">
        <v>46</v>
      </c>
      <c r="D1100" s="23" t="s">
        <v>134</v>
      </c>
      <c r="E1100" s="23" t="s">
        <v>34</v>
      </c>
      <c r="F1100" s="23" t="s">
        <v>152</v>
      </c>
      <c r="G1100" s="23" t="s">
        <v>40</v>
      </c>
      <c r="H1100" s="22">
        <v>1</v>
      </c>
      <c r="I1100" s="22">
        <v>16.5</v>
      </c>
      <c r="J1100" s="22">
        <v>17.8</v>
      </c>
      <c r="K1100" s="22">
        <v>4</v>
      </c>
      <c r="L1100" s="23" t="s">
        <v>36</v>
      </c>
      <c r="M1100" s="22">
        <v>1</v>
      </c>
      <c r="N1100" s="22">
        <v>3</v>
      </c>
      <c r="O1100" s="22">
        <v>0</v>
      </c>
      <c r="P1100" s="23"/>
      <c r="Q1100" s="23"/>
      <c r="R1100" s="23"/>
      <c r="S1100" s="23"/>
      <c r="Z1100" s="23"/>
      <c r="AA1100" s="22">
        <v>154</v>
      </c>
      <c r="AB1100" s="3" t="str">
        <f t="shared" si="9"/>
        <v>ANO_0100_46_T3-C2_vm</v>
      </c>
      <c r="AC1100" s="3" t="str">
        <f t="shared" si="8"/>
        <v>ANO_0100_46_T3-C2_vm_1</v>
      </c>
    </row>
    <row r="1101" spans="1:29" ht="14">
      <c r="A1101" s="23"/>
      <c r="B1101" s="23"/>
      <c r="C1101" s="23"/>
      <c r="D1101" s="23"/>
      <c r="E1101" s="23"/>
      <c r="F1101" s="23"/>
      <c r="G1101" s="23"/>
      <c r="H1101" s="22">
        <v>2</v>
      </c>
      <c r="I1101" s="23"/>
      <c r="J1101" s="23"/>
      <c r="K1101" s="23"/>
      <c r="L1101" s="23" t="s">
        <v>38</v>
      </c>
      <c r="M1101" s="22">
        <v>5.0999999999999996</v>
      </c>
      <c r="N1101" s="22">
        <v>0</v>
      </c>
      <c r="O1101" s="22">
        <v>6</v>
      </c>
      <c r="P1101" s="23"/>
      <c r="Q1101" s="22">
        <v>2</v>
      </c>
      <c r="R1101" s="23"/>
      <c r="S1101" s="23"/>
      <c r="Z1101" s="23"/>
      <c r="AA1101" s="23"/>
      <c r="AB1101" s="3" t="str">
        <f t="shared" si="9"/>
        <v>___</v>
      </c>
      <c r="AC1101" s="3" t="str">
        <f t="shared" si="8"/>
        <v>____2</v>
      </c>
    </row>
    <row r="1102" spans="1:29" ht="14">
      <c r="A1102" s="23"/>
      <c r="B1102" s="23"/>
      <c r="C1102" s="23"/>
      <c r="D1102" s="23"/>
      <c r="E1102" s="23"/>
      <c r="F1102" s="23"/>
      <c r="G1102" s="23"/>
      <c r="H1102" s="22">
        <v>3</v>
      </c>
      <c r="I1102" s="23"/>
      <c r="J1102" s="23"/>
      <c r="K1102" s="23"/>
      <c r="L1102" s="23" t="s">
        <v>39</v>
      </c>
      <c r="M1102" s="22">
        <v>8.1999999999999993</v>
      </c>
      <c r="N1102" s="22">
        <v>0</v>
      </c>
      <c r="O1102" s="22">
        <v>4</v>
      </c>
      <c r="P1102" s="23"/>
      <c r="Q1102" s="22">
        <v>2</v>
      </c>
      <c r="R1102" s="23"/>
      <c r="S1102" s="23"/>
      <c r="Z1102" s="23"/>
      <c r="AA1102" s="23"/>
      <c r="AB1102" s="3" t="str">
        <f t="shared" si="9"/>
        <v>___</v>
      </c>
      <c r="AC1102" s="3" t="str">
        <f t="shared" si="8"/>
        <v>____3</v>
      </c>
    </row>
    <row r="1103" spans="1:29" ht="14">
      <c r="A1103" s="22" t="s">
        <v>150</v>
      </c>
      <c r="B1103" s="23" t="s">
        <v>151</v>
      </c>
      <c r="C1103" s="22">
        <v>46</v>
      </c>
      <c r="D1103" s="23" t="s">
        <v>134</v>
      </c>
      <c r="E1103" s="23" t="s">
        <v>34</v>
      </c>
      <c r="F1103" s="23" t="s">
        <v>152</v>
      </c>
      <c r="G1103" s="23" t="s">
        <v>40</v>
      </c>
      <c r="H1103" s="22">
        <v>1</v>
      </c>
      <c r="I1103" s="22">
        <v>16</v>
      </c>
      <c r="J1103" s="22">
        <v>23.2</v>
      </c>
      <c r="K1103" s="22">
        <v>4</v>
      </c>
      <c r="L1103" s="23" t="s">
        <v>36</v>
      </c>
      <c r="M1103" s="22">
        <v>3.2</v>
      </c>
      <c r="N1103" s="22">
        <v>5</v>
      </c>
      <c r="O1103" s="22">
        <v>0</v>
      </c>
      <c r="P1103" s="23"/>
      <c r="Q1103" s="23"/>
      <c r="R1103" s="23"/>
      <c r="S1103" s="23"/>
      <c r="Z1103" s="23"/>
      <c r="AA1103" s="22">
        <v>155</v>
      </c>
      <c r="AB1103" s="3" t="str">
        <f t="shared" si="9"/>
        <v>ANO_0100_46_T3-C2_vm</v>
      </c>
      <c r="AC1103" s="3" t="str">
        <f t="shared" si="8"/>
        <v>ANO_0100_46_T3-C2_vm_1</v>
      </c>
    </row>
    <row r="1104" spans="1:29" ht="14">
      <c r="A1104" s="23"/>
      <c r="B1104" s="23"/>
      <c r="C1104" s="23"/>
      <c r="D1104" s="23"/>
      <c r="E1104" s="23"/>
      <c r="F1104" s="23"/>
      <c r="G1104" s="23"/>
      <c r="H1104" s="22">
        <v>2</v>
      </c>
      <c r="I1104" s="23"/>
      <c r="J1104" s="23"/>
      <c r="K1104" s="23"/>
      <c r="L1104" s="23" t="s">
        <v>38</v>
      </c>
      <c r="M1104" s="22">
        <v>4.4000000000000004</v>
      </c>
      <c r="N1104" s="22">
        <v>0</v>
      </c>
      <c r="O1104" s="22">
        <v>2</v>
      </c>
      <c r="P1104" s="23"/>
      <c r="Q1104" s="22">
        <v>1</v>
      </c>
      <c r="R1104" s="23"/>
      <c r="S1104" s="23"/>
      <c r="Z1104" s="23"/>
      <c r="AA1104" s="23"/>
      <c r="AB1104" s="3" t="str">
        <f t="shared" si="9"/>
        <v>___</v>
      </c>
      <c r="AC1104" s="3" t="str">
        <f t="shared" si="8"/>
        <v>____2</v>
      </c>
    </row>
    <row r="1105" spans="1:29" ht="14">
      <c r="A1105" s="23"/>
      <c r="B1105" s="23"/>
      <c r="C1105" s="23"/>
      <c r="D1105" s="23"/>
      <c r="E1105" s="23"/>
      <c r="F1105" s="23"/>
      <c r="G1105" s="23"/>
      <c r="H1105" s="22">
        <v>3</v>
      </c>
      <c r="I1105" s="23"/>
      <c r="J1105" s="23"/>
      <c r="K1105" s="23"/>
      <c r="L1105" s="23" t="s">
        <v>39</v>
      </c>
      <c r="M1105" s="22">
        <v>4.3</v>
      </c>
      <c r="N1105" s="22">
        <v>0</v>
      </c>
      <c r="O1105" s="22">
        <v>3</v>
      </c>
      <c r="P1105" s="23"/>
      <c r="Q1105" s="22">
        <v>2</v>
      </c>
      <c r="R1105" s="23"/>
      <c r="S1105" s="23"/>
      <c r="Z1105" s="23"/>
      <c r="AA1105" s="23"/>
      <c r="AB1105" s="3" t="str">
        <f t="shared" si="9"/>
        <v>___</v>
      </c>
      <c r="AC1105" s="3" t="str">
        <f t="shared" si="8"/>
        <v>____3</v>
      </c>
    </row>
    <row r="1106" spans="1:29" ht="14">
      <c r="A1106" s="22" t="s">
        <v>150</v>
      </c>
      <c r="B1106" s="23" t="s">
        <v>151</v>
      </c>
      <c r="C1106" s="22">
        <v>46</v>
      </c>
      <c r="D1106" s="23" t="s">
        <v>134</v>
      </c>
      <c r="E1106" s="23" t="s">
        <v>34</v>
      </c>
      <c r="F1106" s="23" t="s">
        <v>152</v>
      </c>
      <c r="G1106" s="23" t="s">
        <v>40</v>
      </c>
      <c r="H1106" s="22">
        <v>1</v>
      </c>
      <c r="I1106" s="22">
        <v>13.6</v>
      </c>
      <c r="J1106" s="22">
        <v>13.4</v>
      </c>
      <c r="K1106" s="22">
        <v>5</v>
      </c>
      <c r="L1106" s="23" t="s">
        <v>36</v>
      </c>
      <c r="M1106" s="22">
        <v>2.7</v>
      </c>
      <c r="N1106" s="22">
        <v>5</v>
      </c>
      <c r="O1106" s="22">
        <v>0</v>
      </c>
      <c r="P1106" s="23"/>
      <c r="Q1106" s="23"/>
      <c r="R1106" s="23"/>
      <c r="S1106" s="23"/>
      <c r="Z1106" s="23"/>
      <c r="AA1106" s="22">
        <v>156</v>
      </c>
      <c r="AB1106" s="3" t="str">
        <f t="shared" si="9"/>
        <v>ANO_0100_46_T3-C2_vm</v>
      </c>
      <c r="AC1106" s="3" t="str">
        <f t="shared" si="8"/>
        <v>ANO_0100_46_T3-C2_vm_1</v>
      </c>
    </row>
    <row r="1107" spans="1:29" ht="14">
      <c r="A1107" s="23"/>
      <c r="B1107" s="23"/>
      <c r="C1107" s="23"/>
      <c r="D1107" s="23"/>
      <c r="E1107" s="23"/>
      <c r="F1107" s="23"/>
      <c r="G1107" s="23"/>
      <c r="H1107" s="22">
        <v>2</v>
      </c>
      <c r="I1107" s="23"/>
      <c r="J1107" s="23"/>
      <c r="K1107" s="23"/>
      <c r="L1107" s="23" t="s">
        <v>38</v>
      </c>
      <c r="M1107" s="22">
        <v>4.4000000000000004</v>
      </c>
      <c r="N1107" s="22">
        <v>0</v>
      </c>
      <c r="O1107" s="22">
        <v>5</v>
      </c>
      <c r="P1107" s="23"/>
      <c r="Q1107" s="22">
        <v>2</v>
      </c>
      <c r="R1107" s="23"/>
      <c r="S1107" s="23"/>
      <c r="Z1107" s="23"/>
      <c r="AA1107" s="23"/>
      <c r="AB1107" s="3" t="str">
        <f t="shared" si="9"/>
        <v>___</v>
      </c>
      <c r="AC1107" s="3" t="str">
        <f t="shared" si="8"/>
        <v>____2</v>
      </c>
    </row>
    <row r="1108" spans="1:29" ht="14">
      <c r="A1108" s="23"/>
      <c r="B1108" s="23"/>
      <c r="C1108" s="23"/>
      <c r="D1108" s="23"/>
      <c r="E1108" s="23"/>
      <c r="F1108" s="23"/>
      <c r="G1108" s="23"/>
      <c r="H1108" s="22">
        <v>3</v>
      </c>
      <c r="I1108" s="23"/>
      <c r="J1108" s="23"/>
      <c r="K1108" s="23"/>
      <c r="L1108" s="23" t="s">
        <v>39</v>
      </c>
      <c r="M1108" s="22">
        <v>2.2999999999999998</v>
      </c>
      <c r="N1108" s="22">
        <v>0</v>
      </c>
      <c r="O1108" s="22">
        <v>2</v>
      </c>
      <c r="P1108" s="23"/>
      <c r="Q1108" s="22">
        <v>2</v>
      </c>
      <c r="R1108" s="23"/>
      <c r="S1108" s="23"/>
      <c r="Z1108" s="23"/>
      <c r="AA1108" s="23"/>
      <c r="AB1108" s="3" t="str">
        <f t="shared" si="9"/>
        <v>___</v>
      </c>
      <c r="AC1108" s="3" t="str">
        <f t="shared" si="8"/>
        <v>____3</v>
      </c>
    </row>
    <row r="1109" spans="1:29" ht="14">
      <c r="A1109" s="22" t="s">
        <v>150</v>
      </c>
      <c r="B1109" s="23" t="s">
        <v>151</v>
      </c>
      <c r="C1109" s="22">
        <v>46</v>
      </c>
      <c r="D1109" s="23" t="s">
        <v>134</v>
      </c>
      <c r="E1109" s="23" t="s">
        <v>34</v>
      </c>
      <c r="F1109" s="23" t="s">
        <v>152</v>
      </c>
      <c r="G1109" s="23" t="s">
        <v>35</v>
      </c>
      <c r="H1109" s="22">
        <v>1</v>
      </c>
      <c r="I1109" s="22">
        <v>7.5</v>
      </c>
      <c r="J1109" s="22">
        <v>7.6</v>
      </c>
      <c r="K1109" s="22">
        <v>4</v>
      </c>
      <c r="L1109" s="23" t="s">
        <v>36</v>
      </c>
      <c r="M1109" s="22">
        <v>1.3</v>
      </c>
      <c r="N1109" s="22">
        <v>7</v>
      </c>
      <c r="O1109" s="22">
        <v>0</v>
      </c>
      <c r="P1109" s="23"/>
      <c r="Q1109" s="23"/>
      <c r="R1109" s="23"/>
      <c r="S1109" s="23"/>
      <c r="Z1109" s="23"/>
      <c r="AA1109" s="22">
        <v>157</v>
      </c>
      <c r="AB1109" s="3" t="str">
        <f t="shared" si="9"/>
        <v>ANO_0100_46_T3-C2_vv</v>
      </c>
      <c r="AC1109" s="3" t="str">
        <f t="shared" si="8"/>
        <v>ANO_0100_46_T3-C2_vv_1</v>
      </c>
    </row>
    <row r="1110" spans="1:29" ht="14">
      <c r="A1110" s="23"/>
      <c r="B1110" s="23"/>
      <c r="C1110" s="23"/>
      <c r="D1110" s="23"/>
      <c r="E1110" s="23"/>
      <c r="F1110" s="23"/>
      <c r="G1110" s="23"/>
      <c r="H1110" s="22">
        <v>2</v>
      </c>
      <c r="I1110" s="23"/>
      <c r="J1110" s="23"/>
      <c r="K1110" s="23"/>
      <c r="L1110" s="23" t="s">
        <v>38</v>
      </c>
      <c r="M1110" s="22">
        <v>1.7</v>
      </c>
      <c r="N1110" s="22">
        <v>3</v>
      </c>
      <c r="O1110" s="22">
        <v>1</v>
      </c>
      <c r="P1110" s="23"/>
      <c r="Q1110" s="23"/>
      <c r="R1110" s="23"/>
      <c r="S1110" s="23"/>
      <c r="Z1110" s="23"/>
      <c r="AA1110" s="23"/>
      <c r="AB1110" s="3" t="str">
        <f t="shared" si="9"/>
        <v>___</v>
      </c>
      <c r="AC1110" s="3" t="str">
        <f t="shared" si="8"/>
        <v>____2</v>
      </c>
    </row>
    <row r="1111" spans="1:29" ht="14">
      <c r="A1111" s="23"/>
      <c r="B1111" s="23"/>
      <c r="C1111" s="23"/>
      <c r="D1111" s="23"/>
      <c r="E1111" s="23"/>
      <c r="F1111" s="23"/>
      <c r="G1111" s="23"/>
      <c r="H1111" s="22">
        <v>3</v>
      </c>
      <c r="I1111" s="23"/>
      <c r="J1111" s="23"/>
      <c r="K1111" s="23"/>
      <c r="L1111" s="23" t="s">
        <v>39</v>
      </c>
      <c r="M1111" s="22">
        <v>2</v>
      </c>
      <c r="N1111" s="22">
        <v>2</v>
      </c>
      <c r="O1111" s="22">
        <v>3</v>
      </c>
      <c r="P1111" s="23"/>
      <c r="Q1111" s="23"/>
      <c r="R1111" s="23"/>
      <c r="S1111" s="23"/>
      <c r="Z1111" s="23"/>
      <c r="AA1111" s="23"/>
      <c r="AB1111" s="3" t="str">
        <f t="shared" si="9"/>
        <v>___</v>
      </c>
      <c r="AC1111" s="3" t="str">
        <f t="shared" si="8"/>
        <v>____3</v>
      </c>
    </row>
    <row r="1112" spans="1:29" ht="14">
      <c r="A1112" s="22" t="s">
        <v>150</v>
      </c>
      <c r="B1112" s="23" t="s">
        <v>151</v>
      </c>
      <c r="C1112" s="22">
        <v>46</v>
      </c>
      <c r="D1112" s="23" t="s">
        <v>134</v>
      </c>
      <c r="E1112" s="23" t="s">
        <v>34</v>
      </c>
      <c r="F1112" s="23" t="s">
        <v>152</v>
      </c>
      <c r="G1112" s="23" t="s">
        <v>35</v>
      </c>
      <c r="H1112" s="22">
        <v>1</v>
      </c>
      <c r="I1112" s="22">
        <v>9.3000000000000007</v>
      </c>
      <c r="J1112" s="22">
        <v>9.3000000000000007</v>
      </c>
      <c r="K1112" s="22">
        <v>4</v>
      </c>
      <c r="L1112" s="23" t="s">
        <v>36</v>
      </c>
      <c r="M1112" s="22">
        <v>1.2</v>
      </c>
      <c r="N1112" s="22">
        <v>7</v>
      </c>
      <c r="O1112" s="22">
        <v>0</v>
      </c>
      <c r="P1112" s="23"/>
      <c r="Q1112" s="23"/>
      <c r="R1112" s="23"/>
      <c r="S1112" s="23"/>
      <c r="Z1112" s="23"/>
      <c r="AA1112" s="22">
        <v>158</v>
      </c>
      <c r="AB1112" s="3" t="str">
        <f t="shared" si="9"/>
        <v>ANO_0100_46_T3-C2_vv</v>
      </c>
      <c r="AC1112" s="3" t="str">
        <f t="shared" si="8"/>
        <v>ANO_0100_46_T3-C2_vv_1</v>
      </c>
    </row>
    <row r="1113" spans="1:29" ht="14">
      <c r="A1113" s="23"/>
      <c r="B1113" s="23"/>
      <c r="C1113" s="23"/>
      <c r="D1113" s="23"/>
      <c r="E1113" s="23"/>
      <c r="F1113" s="23"/>
      <c r="G1113" s="23"/>
      <c r="H1113" s="22">
        <v>2</v>
      </c>
      <c r="I1113" s="23"/>
      <c r="J1113" s="23"/>
      <c r="K1113" s="23"/>
      <c r="L1113" s="23" t="s">
        <v>38</v>
      </c>
      <c r="M1113" s="22">
        <v>3.5</v>
      </c>
      <c r="N1113" s="22">
        <v>6</v>
      </c>
      <c r="O1113" s="22">
        <v>3</v>
      </c>
      <c r="P1113" s="23"/>
      <c r="Q1113" s="23"/>
      <c r="R1113" s="23"/>
      <c r="S1113" s="23"/>
      <c r="Z1113" s="23"/>
      <c r="AA1113" s="23"/>
      <c r="AB1113" s="3" t="str">
        <f t="shared" si="9"/>
        <v>___</v>
      </c>
      <c r="AC1113" s="3" t="str">
        <f t="shared" si="8"/>
        <v>____2</v>
      </c>
    </row>
    <row r="1114" spans="1:29" ht="14">
      <c r="A1114" s="23"/>
      <c r="B1114" s="23"/>
      <c r="C1114" s="23"/>
      <c r="D1114" s="23"/>
      <c r="E1114" s="23"/>
      <c r="F1114" s="23"/>
      <c r="G1114" s="23"/>
      <c r="H1114" s="22">
        <v>3</v>
      </c>
      <c r="I1114" s="23"/>
      <c r="J1114" s="23"/>
      <c r="K1114" s="23"/>
      <c r="L1114" s="23" t="s">
        <v>39</v>
      </c>
      <c r="M1114" s="22">
        <v>2.7</v>
      </c>
      <c r="N1114" s="22">
        <v>0</v>
      </c>
      <c r="O1114" s="22">
        <v>4</v>
      </c>
      <c r="P1114" s="23"/>
      <c r="Q1114" s="22">
        <v>2</v>
      </c>
      <c r="R1114" s="23"/>
      <c r="S1114" s="23"/>
      <c r="Z1114" s="23"/>
      <c r="AA1114" s="23"/>
      <c r="AB1114" s="3" t="str">
        <f t="shared" si="9"/>
        <v>___</v>
      </c>
      <c r="AC1114" s="3" t="str">
        <f t="shared" si="8"/>
        <v>____3</v>
      </c>
    </row>
    <row r="1115" spans="1:29" ht="14">
      <c r="A1115" s="22" t="s">
        <v>150</v>
      </c>
      <c r="B1115" s="23" t="s">
        <v>151</v>
      </c>
      <c r="C1115" s="22">
        <v>46</v>
      </c>
      <c r="D1115" s="23" t="s">
        <v>134</v>
      </c>
      <c r="E1115" s="23" t="s">
        <v>34</v>
      </c>
      <c r="F1115" s="23" t="s">
        <v>152</v>
      </c>
      <c r="G1115" s="23" t="s">
        <v>35</v>
      </c>
      <c r="H1115" s="22">
        <v>1</v>
      </c>
      <c r="I1115" s="22">
        <v>9.6</v>
      </c>
      <c r="J1115" s="22">
        <v>9.6</v>
      </c>
      <c r="K1115" s="22">
        <v>4</v>
      </c>
      <c r="L1115" s="23" t="s">
        <v>36</v>
      </c>
      <c r="M1115" s="22">
        <v>1.7</v>
      </c>
      <c r="N1115" s="22">
        <v>8</v>
      </c>
      <c r="O1115" s="22">
        <v>0</v>
      </c>
      <c r="P1115" s="23"/>
      <c r="Q1115" s="23"/>
      <c r="R1115" s="23"/>
      <c r="S1115" s="23"/>
      <c r="Z1115" s="23"/>
      <c r="AA1115" s="22">
        <v>159</v>
      </c>
      <c r="AB1115" s="3" t="str">
        <f t="shared" si="9"/>
        <v>ANO_0100_46_T3-C2_vv</v>
      </c>
      <c r="AC1115" s="3" t="str">
        <f t="shared" si="8"/>
        <v>ANO_0100_46_T3-C2_vv_1</v>
      </c>
    </row>
    <row r="1116" spans="1:29" ht="14">
      <c r="A1116" s="23"/>
      <c r="B1116" s="23"/>
      <c r="C1116" s="23"/>
      <c r="D1116" s="23"/>
      <c r="E1116" s="23"/>
      <c r="F1116" s="23"/>
      <c r="G1116" s="23"/>
      <c r="H1116" s="22">
        <v>2</v>
      </c>
      <c r="I1116" s="23"/>
      <c r="J1116" s="23"/>
      <c r="K1116" s="23"/>
      <c r="L1116" s="23" t="s">
        <v>38</v>
      </c>
      <c r="M1116" s="22">
        <v>3</v>
      </c>
      <c r="N1116" s="22">
        <v>5</v>
      </c>
      <c r="O1116" s="22">
        <v>3</v>
      </c>
      <c r="P1116" s="23"/>
      <c r="Q1116" s="23"/>
      <c r="R1116" s="23"/>
      <c r="S1116" s="23"/>
      <c r="Z1116" s="23"/>
      <c r="AA1116" s="23"/>
      <c r="AB1116" s="3" t="str">
        <f t="shared" si="9"/>
        <v>___</v>
      </c>
      <c r="AC1116" s="3" t="str">
        <f t="shared" si="8"/>
        <v>____2</v>
      </c>
    </row>
    <row r="1117" spans="1:29" ht="14">
      <c r="A1117" s="23"/>
      <c r="B1117" s="23"/>
      <c r="C1117" s="23"/>
      <c r="D1117" s="23"/>
      <c r="E1117" s="23"/>
      <c r="F1117" s="23"/>
      <c r="G1117" s="23"/>
      <c r="H1117" s="22">
        <v>3</v>
      </c>
      <c r="I1117" s="23"/>
      <c r="J1117" s="23"/>
      <c r="K1117" s="23"/>
      <c r="L1117" s="23" t="s">
        <v>39</v>
      </c>
      <c r="M1117" s="22">
        <v>2.1</v>
      </c>
      <c r="N1117" s="22">
        <v>0</v>
      </c>
      <c r="O1117" s="22">
        <v>3</v>
      </c>
      <c r="P1117" s="23"/>
      <c r="Q1117" s="22">
        <v>1</v>
      </c>
      <c r="R1117" s="23"/>
      <c r="S1117" s="23"/>
      <c r="Z1117" s="23"/>
      <c r="AA1117" s="23"/>
      <c r="AB1117" s="3" t="str">
        <f t="shared" si="9"/>
        <v>___</v>
      </c>
      <c r="AC1117" s="3" t="str">
        <f t="shared" si="8"/>
        <v>____3</v>
      </c>
    </row>
    <row r="1118" spans="1:29" ht="14">
      <c r="A1118" s="22" t="s">
        <v>153</v>
      </c>
      <c r="B1118" s="23" t="s">
        <v>154</v>
      </c>
      <c r="C1118" s="22">
        <v>46</v>
      </c>
      <c r="D1118" s="23" t="s">
        <v>134</v>
      </c>
      <c r="E1118" s="23" t="s">
        <v>34</v>
      </c>
      <c r="F1118" s="23" t="s">
        <v>152</v>
      </c>
      <c r="G1118" s="23" t="s">
        <v>40</v>
      </c>
      <c r="H1118" s="22">
        <v>1</v>
      </c>
      <c r="I1118" s="22">
        <v>17.5</v>
      </c>
      <c r="J1118" s="22">
        <v>26.2</v>
      </c>
      <c r="K1118" s="22">
        <v>5</v>
      </c>
      <c r="L1118" s="23" t="s">
        <v>36</v>
      </c>
      <c r="M1118" s="22">
        <v>2.4</v>
      </c>
      <c r="N1118" s="22">
        <v>6</v>
      </c>
      <c r="O1118" s="22">
        <v>2</v>
      </c>
      <c r="P1118" s="23"/>
      <c r="Q1118" s="23"/>
      <c r="R1118" s="23"/>
      <c r="S1118" s="23"/>
      <c r="Z1118" s="23" t="s">
        <v>155</v>
      </c>
      <c r="AA1118" s="22">
        <v>160</v>
      </c>
      <c r="AB1118" s="3" t="str">
        <f t="shared" si="9"/>
        <v>ANO_0085_46_T3-C2_vm</v>
      </c>
      <c r="AC1118" s="3" t="str">
        <f t="shared" si="8"/>
        <v>ANO_0085_46_T3-C2_vm_1</v>
      </c>
    </row>
    <row r="1119" spans="1:29" ht="14">
      <c r="A1119" s="23"/>
      <c r="B1119" s="23"/>
      <c r="C1119" s="23"/>
      <c r="D1119" s="23"/>
      <c r="E1119" s="23"/>
      <c r="F1119" s="23"/>
      <c r="G1119" s="23"/>
      <c r="H1119" s="22">
        <v>2</v>
      </c>
      <c r="I1119" s="23"/>
      <c r="J1119" s="23"/>
      <c r="K1119" s="23"/>
      <c r="L1119" s="23" t="s">
        <v>38</v>
      </c>
      <c r="M1119" s="22">
        <v>6.5</v>
      </c>
      <c r="N1119" s="22">
        <v>0</v>
      </c>
      <c r="O1119" s="22">
        <v>4</v>
      </c>
      <c r="P1119" s="23"/>
      <c r="Q1119" s="22">
        <v>4</v>
      </c>
      <c r="R1119" s="23"/>
      <c r="S1119" s="23"/>
      <c r="Z1119" s="23"/>
      <c r="AA1119" s="23"/>
      <c r="AB1119" s="3" t="str">
        <f t="shared" si="9"/>
        <v>___</v>
      </c>
      <c r="AC1119" s="3" t="str">
        <f t="shared" si="8"/>
        <v>____2</v>
      </c>
    </row>
    <row r="1120" spans="1:29" ht="14">
      <c r="A1120" s="23"/>
      <c r="B1120" s="23"/>
      <c r="C1120" s="23"/>
      <c r="D1120" s="23"/>
      <c r="E1120" s="23"/>
      <c r="F1120" s="23"/>
      <c r="G1120" s="23"/>
      <c r="H1120" s="22">
        <v>3</v>
      </c>
      <c r="I1120" s="23"/>
      <c r="J1120" s="23"/>
      <c r="K1120" s="23"/>
      <c r="L1120" s="23" t="s">
        <v>39</v>
      </c>
      <c r="M1120" s="22">
        <v>3.7</v>
      </c>
      <c r="N1120" s="22">
        <v>0</v>
      </c>
      <c r="O1120" s="22">
        <v>5</v>
      </c>
      <c r="P1120" s="23"/>
      <c r="Q1120" s="22">
        <v>1</v>
      </c>
      <c r="R1120" s="23"/>
      <c r="S1120" s="23"/>
      <c r="Z1120" s="23"/>
      <c r="AA1120" s="23"/>
      <c r="AB1120" s="3" t="str">
        <f t="shared" si="9"/>
        <v>___</v>
      </c>
      <c r="AC1120" s="3" t="str">
        <f t="shared" si="8"/>
        <v>____3</v>
      </c>
    </row>
    <row r="1121" spans="1:29" ht="14">
      <c r="A1121" s="22" t="s">
        <v>153</v>
      </c>
      <c r="B1121" s="23" t="s">
        <v>154</v>
      </c>
      <c r="C1121" s="22">
        <v>46</v>
      </c>
      <c r="D1121" s="23" t="s">
        <v>134</v>
      </c>
      <c r="E1121" s="23" t="s">
        <v>34</v>
      </c>
      <c r="F1121" s="23" t="s">
        <v>152</v>
      </c>
      <c r="G1121" s="23" t="s">
        <v>40</v>
      </c>
      <c r="H1121" s="22">
        <v>1</v>
      </c>
      <c r="I1121" s="22">
        <v>17</v>
      </c>
      <c r="J1121" s="22">
        <v>18.5</v>
      </c>
      <c r="K1121" s="22">
        <v>4</v>
      </c>
      <c r="L1121" s="23" t="s">
        <v>36</v>
      </c>
      <c r="M1121" s="22">
        <v>7.9</v>
      </c>
      <c r="N1121" s="22">
        <v>7</v>
      </c>
      <c r="O1121" s="22">
        <v>0</v>
      </c>
      <c r="P1121" s="23"/>
      <c r="Q1121" s="23"/>
      <c r="R1121" s="23"/>
      <c r="S1121" s="23"/>
      <c r="Z1121" s="23" t="s">
        <v>155</v>
      </c>
      <c r="AA1121" s="22">
        <v>161</v>
      </c>
      <c r="AB1121" s="3" t="str">
        <f t="shared" si="9"/>
        <v>ANO_0085_46_T3-C2_vm</v>
      </c>
      <c r="AC1121" s="3" t="str">
        <f t="shared" si="8"/>
        <v>ANO_0085_46_T3-C2_vm_1</v>
      </c>
    </row>
    <row r="1122" spans="1:29" ht="14">
      <c r="A1122" s="23"/>
      <c r="B1122" s="23"/>
      <c r="C1122" s="23"/>
      <c r="D1122" s="23"/>
      <c r="E1122" s="23"/>
      <c r="F1122" s="23"/>
      <c r="G1122" s="23"/>
      <c r="H1122" s="22">
        <v>2</v>
      </c>
      <c r="I1122" s="23"/>
      <c r="J1122" s="23"/>
      <c r="K1122" s="23"/>
      <c r="L1122" s="23" t="s">
        <v>38</v>
      </c>
      <c r="M1122" s="22">
        <v>4.9000000000000004</v>
      </c>
      <c r="N1122" s="22">
        <v>0</v>
      </c>
      <c r="O1122" s="22">
        <v>5</v>
      </c>
      <c r="P1122" s="23"/>
      <c r="Q1122" s="23"/>
      <c r="R1122" s="23"/>
      <c r="S1122" s="23"/>
      <c r="Z1122" s="23"/>
      <c r="AA1122" s="23"/>
      <c r="AB1122" s="3" t="str">
        <f t="shared" si="9"/>
        <v>___</v>
      </c>
      <c r="AC1122" s="3" t="str">
        <f t="shared" si="8"/>
        <v>____2</v>
      </c>
    </row>
    <row r="1123" spans="1:29" ht="14">
      <c r="A1123" s="23"/>
      <c r="B1123" s="23"/>
      <c r="C1123" s="23"/>
      <c r="D1123" s="23"/>
      <c r="E1123" s="23"/>
      <c r="F1123" s="23"/>
      <c r="G1123" s="23"/>
      <c r="H1123" s="22">
        <v>3</v>
      </c>
      <c r="I1123" s="23"/>
      <c r="J1123" s="23"/>
      <c r="K1123" s="23"/>
      <c r="L1123" s="23" t="s">
        <v>39</v>
      </c>
      <c r="M1123" s="22">
        <v>5.8</v>
      </c>
      <c r="N1123" s="22">
        <v>0</v>
      </c>
      <c r="O1123" s="22">
        <v>4</v>
      </c>
      <c r="P1123" s="23"/>
      <c r="Q1123" s="22">
        <v>1</v>
      </c>
      <c r="R1123" s="23"/>
      <c r="S1123" s="23"/>
      <c r="Z1123" s="23"/>
      <c r="AA1123" s="23"/>
      <c r="AB1123" s="3" t="str">
        <f t="shared" si="9"/>
        <v>___</v>
      </c>
      <c r="AC1123" s="3" t="str">
        <f t="shared" si="8"/>
        <v>____3</v>
      </c>
    </row>
    <row r="1124" spans="1:29" ht="14">
      <c r="A1124" s="22" t="s">
        <v>153</v>
      </c>
      <c r="B1124" s="23" t="s">
        <v>154</v>
      </c>
      <c r="C1124" s="22">
        <v>46</v>
      </c>
      <c r="D1124" s="23" t="s">
        <v>134</v>
      </c>
      <c r="E1124" s="23" t="s">
        <v>34</v>
      </c>
      <c r="F1124" s="23" t="s">
        <v>152</v>
      </c>
      <c r="G1124" s="23" t="s">
        <v>40</v>
      </c>
      <c r="H1124" s="22">
        <v>1</v>
      </c>
      <c r="I1124" s="22">
        <v>25</v>
      </c>
      <c r="J1124" s="22">
        <v>30.2</v>
      </c>
      <c r="K1124" s="22">
        <v>5</v>
      </c>
      <c r="L1124" s="23" t="s">
        <v>36</v>
      </c>
      <c r="M1124" s="22">
        <v>8.5</v>
      </c>
      <c r="N1124" s="22">
        <v>5</v>
      </c>
      <c r="O1124" s="22">
        <v>2</v>
      </c>
      <c r="P1124" s="23"/>
      <c r="Q1124" s="23"/>
      <c r="R1124" s="23"/>
      <c r="S1124" s="23"/>
      <c r="Z1124" s="23" t="s">
        <v>155</v>
      </c>
      <c r="AA1124" s="22">
        <v>162</v>
      </c>
      <c r="AB1124" s="3" t="str">
        <f t="shared" si="9"/>
        <v>ANO_0085_46_T3-C2_vm</v>
      </c>
      <c r="AC1124" s="3" t="str">
        <f t="shared" si="8"/>
        <v>ANO_0085_46_T3-C2_vm_1</v>
      </c>
    </row>
    <row r="1125" spans="1:29" ht="14">
      <c r="A1125" s="23"/>
      <c r="B1125" s="23"/>
      <c r="C1125" s="23"/>
      <c r="D1125" s="23"/>
      <c r="E1125" s="23"/>
      <c r="F1125" s="23"/>
      <c r="G1125" s="23"/>
      <c r="H1125" s="22">
        <v>2</v>
      </c>
      <c r="I1125" s="23"/>
      <c r="J1125" s="23"/>
      <c r="K1125" s="23"/>
      <c r="L1125" s="23" t="s">
        <v>38</v>
      </c>
      <c r="M1125" s="22">
        <v>6.5</v>
      </c>
      <c r="N1125" s="22">
        <v>0</v>
      </c>
      <c r="O1125" s="22">
        <v>5</v>
      </c>
      <c r="P1125" s="23"/>
      <c r="Q1125" s="22">
        <v>1</v>
      </c>
      <c r="R1125" s="23"/>
      <c r="S1125" s="23"/>
      <c r="Z1125" s="23"/>
      <c r="AA1125" s="23"/>
      <c r="AB1125" s="3" t="str">
        <f t="shared" si="9"/>
        <v>___</v>
      </c>
      <c r="AC1125" s="3" t="str">
        <f t="shared" si="8"/>
        <v>____2</v>
      </c>
    </row>
    <row r="1126" spans="1:29" ht="14">
      <c r="A1126" s="23"/>
      <c r="B1126" s="23"/>
      <c r="C1126" s="23"/>
      <c r="D1126" s="23"/>
      <c r="E1126" s="23"/>
      <c r="F1126" s="23"/>
      <c r="G1126" s="23"/>
      <c r="H1126" s="22">
        <v>3</v>
      </c>
      <c r="I1126" s="23"/>
      <c r="J1126" s="23"/>
      <c r="K1126" s="23"/>
      <c r="L1126" s="23" t="s">
        <v>39</v>
      </c>
      <c r="M1126" s="22">
        <v>4</v>
      </c>
      <c r="N1126" s="22">
        <v>0</v>
      </c>
      <c r="O1126" s="22">
        <v>2</v>
      </c>
      <c r="P1126" s="23"/>
      <c r="Q1126" s="22">
        <v>1</v>
      </c>
      <c r="R1126" s="23"/>
      <c r="S1126" s="23"/>
      <c r="Z1126" s="23"/>
      <c r="AA1126" s="23"/>
      <c r="AB1126" s="3" t="str">
        <f t="shared" si="9"/>
        <v>___</v>
      </c>
      <c r="AC1126" s="3" t="str">
        <f t="shared" si="8"/>
        <v>____3</v>
      </c>
    </row>
    <row r="1127" spans="1:29" ht="14">
      <c r="A1127" s="22" t="s">
        <v>153</v>
      </c>
      <c r="B1127" s="23" t="s">
        <v>154</v>
      </c>
      <c r="C1127" s="22">
        <v>46</v>
      </c>
      <c r="D1127" s="23" t="s">
        <v>134</v>
      </c>
      <c r="E1127" s="23" t="s">
        <v>34</v>
      </c>
      <c r="F1127" s="23" t="s">
        <v>152</v>
      </c>
      <c r="G1127" s="23" t="s">
        <v>35</v>
      </c>
      <c r="H1127" s="22">
        <v>1</v>
      </c>
      <c r="I1127" s="22">
        <v>11.5</v>
      </c>
      <c r="J1127" s="22">
        <v>14</v>
      </c>
      <c r="K1127" s="22">
        <v>4</v>
      </c>
      <c r="L1127" s="23" t="s">
        <v>36</v>
      </c>
      <c r="M1127" s="22">
        <v>2.8</v>
      </c>
      <c r="N1127" s="22">
        <v>10</v>
      </c>
      <c r="O1127" s="22">
        <v>0</v>
      </c>
      <c r="P1127" s="23"/>
      <c r="Q1127" s="23"/>
      <c r="R1127" s="23"/>
      <c r="S1127" s="23"/>
      <c r="Z1127" s="23" t="s">
        <v>155</v>
      </c>
      <c r="AA1127" s="22">
        <v>163</v>
      </c>
      <c r="AB1127" s="3" t="str">
        <f t="shared" si="9"/>
        <v>ANO_0085_46_T3-C2_vv</v>
      </c>
      <c r="AC1127" s="3" t="str">
        <f t="shared" si="8"/>
        <v>ANO_0085_46_T3-C2_vv_1</v>
      </c>
    </row>
    <row r="1128" spans="1:29" ht="14">
      <c r="A1128" s="23"/>
      <c r="B1128" s="23"/>
      <c r="C1128" s="23"/>
      <c r="D1128" s="23"/>
      <c r="E1128" s="23"/>
      <c r="F1128" s="23"/>
      <c r="G1128" s="23"/>
      <c r="H1128" s="22">
        <v>2</v>
      </c>
      <c r="I1128" s="23"/>
      <c r="J1128" s="23"/>
      <c r="K1128" s="23"/>
      <c r="L1128" s="23" t="s">
        <v>38</v>
      </c>
      <c r="M1128" s="22">
        <v>4.8</v>
      </c>
      <c r="N1128" s="22">
        <v>4</v>
      </c>
      <c r="O1128" s="22">
        <v>4</v>
      </c>
      <c r="P1128" s="23"/>
      <c r="Q1128" s="22">
        <v>2</v>
      </c>
      <c r="R1128" s="23"/>
      <c r="S1128" s="23"/>
      <c r="Z1128" s="23"/>
      <c r="AA1128" s="23"/>
      <c r="AB1128" s="3" t="str">
        <f t="shared" si="9"/>
        <v>___</v>
      </c>
      <c r="AC1128" s="3" t="str">
        <f t="shared" si="8"/>
        <v>____2</v>
      </c>
    </row>
    <row r="1129" spans="1:29" ht="14">
      <c r="A1129" s="23"/>
      <c r="B1129" s="23"/>
      <c r="C1129" s="23"/>
      <c r="D1129" s="23"/>
      <c r="E1129" s="23"/>
      <c r="F1129" s="23"/>
      <c r="G1129" s="23"/>
      <c r="H1129" s="22">
        <v>3</v>
      </c>
      <c r="I1129" s="23"/>
      <c r="J1129" s="23"/>
      <c r="K1129" s="23"/>
      <c r="L1129" s="23" t="s">
        <v>39</v>
      </c>
      <c r="M1129" s="22">
        <v>4.5</v>
      </c>
      <c r="N1129" s="22">
        <v>0</v>
      </c>
      <c r="O1129" s="22">
        <v>6</v>
      </c>
      <c r="P1129" s="23"/>
      <c r="Q1129" s="23"/>
      <c r="R1129" s="23"/>
      <c r="S1129" s="23"/>
      <c r="Z1129" s="23"/>
      <c r="AA1129" s="23"/>
      <c r="AB1129" s="3" t="str">
        <f t="shared" si="9"/>
        <v>___</v>
      </c>
      <c r="AC1129" s="3" t="str">
        <f t="shared" si="8"/>
        <v>____3</v>
      </c>
    </row>
    <row r="1130" spans="1:29" ht="14">
      <c r="A1130" s="22" t="s">
        <v>153</v>
      </c>
      <c r="B1130" s="23" t="s">
        <v>154</v>
      </c>
      <c r="C1130" s="22">
        <v>46</v>
      </c>
      <c r="D1130" s="23" t="s">
        <v>134</v>
      </c>
      <c r="E1130" s="23" t="s">
        <v>34</v>
      </c>
      <c r="F1130" s="23" t="s">
        <v>152</v>
      </c>
      <c r="G1130" s="23" t="s">
        <v>35</v>
      </c>
      <c r="H1130" s="22">
        <v>1</v>
      </c>
      <c r="I1130" s="22">
        <v>13.5</v>
      </c>
      <c r="J1130" s="22">
        <v>17</v>
      </c>
      <c r="K1130" s="22">
        <v>4</v>
      </c>
      <c r="L1130" s="23" t="s">
        <v>36</v>
      </c>
      <c r="M1130" s="22">
        <v>3.6</v>
      </c>
      <c r="N1130" s="22">
        <v>17</v>
      </c>
      <c r="O1130" s="22">
        <v>0</v>
      </c>
      <c r="P1130" s="23"/>
      <c r="Q1130" s="23"/>
      <c r="R1130" s="23"/>
      <c r="S1130" s="23"/>
      <c r="Z1130" s="23" t="s">
        <v>155</v>
      </c>
      <c r="AA1130" s="22">
        <v>164</v>
      </c>
      <c r="AB1130" s="3" t="str">
        <f t="shared" si="9"/>
        <v>ANO_0085_46_T3-C2_vv</v>
      </c>
      <c r="AC1130" s="3" t="str">
        <f t="shared" si="8"/>
        <v>ANO_0085_46_T3-C2_vv_1</v>
      </c>
    </row>
    <row r="1131" spans="1:29" ht="14">
      <c r="A1131" s="23"/>
      <c r="B1131" s="23"/>
      <c r="C1131" s="23"/>
      <c r="D1131" s="23"/>
      <c r="E1131" s="23"/>
      <c r="F1131" s="23"/>
      <c r="G1131" s="23"/>
      <c r="H1131" s="22">
        <v>2</v>
      </c>
      <c r="I1131" s="23"/>
      <c r="J1131" s="23"/>
      <c r="K1131" s="23"/>
      <c r="L1131" s="23" t="s">
        <v>38</v>
      </c>
      <c r="M1131" s="22">
        <v>4.3</v>
      </c>
      <c r="N1131" s="22">
        <v>14</v>
      </c>
      <c r="O1131" s="22">
        <v>1</v>
      </c>
      <c r="P1131" s="23"/>
      <c r="Q1131" s="23"/>
      <c r="R1131" s="23"/>
      <c r="S1131" s="23"/>
      <c r="Z1131" s="23"/>
      <c r="AA1131" s="23"/>
      <c r="AB1131" s="3" t="str">
        <f t="shared" si="9"/>
        <v>___</v>
      </c>
      <c r="AC1131" s="3" t="str">
        <f t="shared" si="8"/>
        <v>____2</v>
      </c>
    </row>
    <row r="1132" spans="1:29" ht="14">
      <c r="A1132" s="23"/>
      <c r="B1132" s="23"/>
      <c r="C1132" s="23"/>
      <c r="D1132" s="23"/>
      <c r="E1132" s="23"/>
      <c r="F1132" s="23"/>
      <c r="G1132" s="23"/>
      <c r="H1132" s="22">
        <v>3</v>
      </c>
      <c r="I1132" s="23"/>
      <c r="J1132" s="23"/>
      <c r="K1132" s="23"/>
      <c r="L1132" s="23" t="s">
        <v>39</v>
      </c>
      <c r="M1132" s="22">
        <v>4.2</v>
      </c>
      <c r="N1132" s="22">
        <v>6</v>
      </c>
      <c r="O1132" s="22">
        <v>5</v>
      </c>
      <c r="P1132" s="23"/>
      <c r="Q1132" s="22">
        <v>1</v>
      </c>
      <c r="R1132" s="23"/>
      <c r="S1132" s="23"/>
      <c r="Z1132" s="23"/>
      <c r="AA1132" s="23"/>
      <c r="AB1132" s="3" t="str">
        <f t="shared" si="9"/>
        <v>___</v>
      </c>
      <c r="AC1132" s="3" t="str">
        <f t="shared" si="8"/>
        <v>____3</v>
      </c>
    </row>
    <row r="1133" spans="1:29" ht="14">
      <c r="A1133" s="22" t="s">
        <v>153</v>
      </c>
      <c r="B1133" s="23" t="s">
        <v>154</v>
      </c>
      <c r="C1133" s="22">
        <v>46</v>
      </c>
      <c r="D1133" s="23" t="s">
        <v>134</v>
      </c>
      <c r="E1133" s="23" t="s">
        <v>34</v>
      </c>
      <c r="F1133" s="23" t="s">
        <v>152</v>
      </c>
      <c r="G1133" s="23" t="s">
        <v>35</v>
      </c>
      <c r="H1133" s="22">
        <v>1</v>
      </c>
      <c r="I1133" s="22">
        <v>12</v>
      </c>
      <c r="J1133" s="22">
        <v>13.9</v>
      </c>
      <c r="K1133" s="22">
        <v>4</v>
      </c>
      <c r="L1133" s="23" t="s">
        <v>36</v>
      </c>
      <c r="M1133" s="22">
        <v>2.4</v>
      </c>
      <c r="N1133" s="22">
        <v>11</v>
      </c>
      <c r="O1133" s="22">
        <v>0</v>
      </c>
      <c r="P1133" s="23"/>
      <c r="Q1133" s="23"/>
      <c r="R1133" s="23"/>
      <c r="S1133" s="23"/>
      <c r="Z1133" s="23" t="s">
        <v>155</v>
      </c>
      <c r="AA1133" s="22">
        <v>165</v>
      </c>
      <c r="AB1133" s="3" t="str">
        <f t="shared" si="9"/>
        <v>ANO_0085_46_T3-C2_vv</v>
      </c>
      <c r="AC1133" s="3" t="str">
        <f t="shared" si="8"/>
        <v>ANO_0085_46_T3-C2_vv_1</v>
      </c>
    </row>
    <row r="1134" spans="1:29" ht="14">
      <c r="A1134" s="23"/>
      <c r="B1134" s="23"/>
      <c r="C1134" s="23"/>
      <c r="D1134" s="23"/>
      <c r="E1134" s="23"/>
      <c r="F1134" s="23"/>
      <c r="G1134" s="23"/>
      <c r="H1134" s="22">
        <v>2</v>
      </c>
      <c r="I1134" s="23"/>
      <c r="J1134" s="23"/>
      <c r="K1134" s="23"/>
      <c r="L1134" s="23" t="s">
        <v>38</v>
      </c>
      <c r="M1134" s="22">
        <v>3.9</v>
      </c>
      <c r="N1134" s="22">
        <v>11</v>
      </c>
      <c r="O1134" s="22">
        <v>1</v>
      </c>
      <c r="P1134" s="23"/>
      <c r="Q1134" s="23"/>
      <c r="R1134" s="23"/>
      <c r="S1134" s="23"/>
      <c r="Z1134" s="23"/>
      <c r="AA1134" s="23"/>
      <c r="AB1134" s="3" t="str">
        <f t="shared" si="9"/>
        <v>___</v>
      </c>
      <c r="AC1134" s="3" t="str">
        <f t="shared" si="8"/>
        <v>____2</v>
      </c>
    </row>
    <row r="1135" spans="1:29" ht="14">
      <c r="A1135" s="23"/>
      <c r="B1135" s="23"/>
      <c r="C1135" s="23"/>
      <c r="D1135" s="23"/>
      <c r="E1135" s="23"/>
      <c r="F1135" s="23"/>
      <c r="G1135" s="23"/>
      <c r="H1135" s="22">
        <v>3</v>
      </c>
      <c r="I1135" s="23"/>
      <c r="J1135" s="23"/>
      <c r="K1135" s="23"/>
      <c r="L1135" s="23" t="s">
        <v>39</v>
      </c>
      <c r="M1135" s="22">
        <v>5.6</v>
      </c>
      <c r="N1135" s="22">
        <v>4</v>
      </c>
      <c r="O1135" s="22">
        <v>5</v>
      </c>
      <c r="P1135" s="23"/>
      <c r="Q1135" s="22">
        <v>2</v>
      </c>
      <c r="R1135" s="23"/>
      <c r="S1135" s="23"/>
      <c r="Z1135" s="23"/>
      <c r="AA1135" s="23"/>
      <c r="AB1135" s="3" t="str">
        <f t="shared" si="9"/>
        <v>___</v>
      </c>
      <c r="AC1135" s="3" t="str">
        <f t="shared" si="8"/>
        <v>____3</v>
      </c>
    </row>
    <row r="1136" spans="1:29" ht="14">
      <c r="A1136" s="22" t="s">
        <v>153</v>
      </c>
      <c r="B1136" s="23" t="s">
        <v>154</v>
      </c>
      <c r="C1136" s="22">
        <v>51</v>
      </c>
      <c r="D1136" s="23" t="s">
        <v>134</v>
      </c>
      <c r="E1136" s="23" t="s">
        <v>34</v>
      </c>
      <c r="F1136" s="23" t="s">
        <v>156</v>
      </c>
      <c r="G1136" s="23" t="s">
        <v>40</v>
      </c>
      <c r="H1136" s="22">
        <v>1</v>
      </c>
      <c r="I1136" s="22">
        <v>24.5</v>
      </c>
      <c r="J1136" s="22">
        <v>34.200000000000003</v>
      </c>
      <c r="K1136" s="22">
        <v>8</v>
      </c>
      <c r="L1136" s="23" t="s">
        <v>36</v>
      </c>
      <c r="M1136" s="22">
        <v>4.5</v>
      </c>
      <c r="N1136" s="22">
        <v>5</v>
      </c>
      <c r="O1136" s="22">
        <v>0</v>
      </c>
      <c r="P1136" s="23"/>
      <c r="Q1136" s="22">
        <v>1</v>
      </c>
      <c r="R1136" s="23"/>
      <c r="S1136" s="23"/>
      <c r="Z1136" s="23"/>
      <c r="AA1136" s="22">
        <v>166</v>
      </c>
      <c r="AB1136" s="3" t="str">
        <f t="shared" si="9"/>
        <v>ANO_0085_51_T3-C5_vm</v>
      </c>
      <c r="AC1136" s="3" t="str">
        <f t="shared" si="8"/>
        <v>ANO_0085_51_T3-C5_vm_1</v>
      </c>
    </row>
    <row r="1137" spans="1:29" ht="14">
      <c r="A1137" s="23"/>
      <c r="B1137" s="23"/>
      <c r="C1137" s="23"/>
      <c r="D1137" s="23"/>
      <c r="E1137" s="23"/>
      <c r="F1137" s="23"/>
      <c r="G1137" s="23"/>
      <c r="H1137" s="22">
        <v>2</v>
      </c>
      <c r="I1137" s="23"/>
      <c r="J1137" s="23"/>
      <c r="K1137" s="23"/>
      <c r="L1137" s="23" t="s">
        <v>38</v>
      </c>
      <c r="M1137" s="22">
        <v>5</v>
      </c>
      <c r="N1137" s="22">
        <v>0</v>
      </c>
      <c r="O1137" s="22">
        <v>4</v>
      </c>
      <c r="P1137" s="23"/>
      <c r="Q1137" s="22">
        <v>1</v>
      </c>
      <c r="R1137" s="23"/>
      <c r="S1137" s="23"/>
      <c r="Z1137" s="23"/>
      <c r="AA1137" s="23"/>
      <c r="AB1137" s="3" t="str">
        <f t="shared" si="9"/>
        <v>___</v>
      </c>
      <c r="AC1137" s="3" t="str">
        <f t="shared" si="8"/>
        <v>____2</v>
      </c>
    </row>
    <row r="1138" spans="1:29" ht="14">
      <c r="A1138" s="23"/>
      <c r="B1138" s="23"/>
      <c r="C1138" s="23"/>
      <c r="D1138" s="23"/>
      <c r="E1138" s="23"/>
      <c r="F1138" s="23"/>
      <c r="G1138" s="23"/>
      <c r="H1138" s="22">
        <v>3</v>
      </c>
      <c r="I1138" s="23"/>
      <c r="J1138" s="23"/>
      <c r="K1138" s="23"/>
      <c r="L1138" s="23" t="s">
        <v>39</v>
      </c>
      <c r="M1138" s="22">
        <v>4.7</v>
      </c>
      <c r="N1138" s="22">
        <v>0</v>
      </c>
      <c r="O1138" s="22">
        <v>5</v>
      </c>
      <c r="P1138" s="23"/>
      <c r="Q1138" s="23"/>
      <c r="R1138" s="23"/>
      <c r="S1138" s="23"/>
      <c r="Z1138" s="23"/>
      <c r="AA1138" s="23"/>
      <c r="AB1138" s="3" t="str">
        <f t="shared" si="9"/>
        <v>___</v>
      </c>
      <c r="AC1138" s="3" t="str">
        <f t="shared" si="8"/>
        <v>____3</v>
      </c>
    </row>
    <row r="1139" spans="1:29" ht="14">
      <c r="A1139" s="22" t="s">
        <v>153</v>
      </c>
      <c r="B1139" s="23" t="s">
        <v>154</v>
      </c>
      <c r="C1139" s="22">
        <v>51</v>
      </c>
      <c r="D1139" s="23" t="s">
        <v>134</v>
      </c>
      <c r="E1139" s="23" t="s">
        <v>34</v>
      </c>
      <c r="F1139" s="23" t="s">
        <v>156</v>
      </c>
      <c r="G1139" s="23" t="s">
        <v>40</v>
      </c>
      <c r="H1139" s="22">
        <v>1</v>
      </c>
      <c r="I1139" s="22">
        <v>18.5</v>
      </c>
      <c r="J1139" s="22">
        <v>22.2</v>
      </c>
      <c r="K1139" s="22">
        <v>5</v>
      </c>
      <c r="L1139" s="23" t="s">
        <v>36</v>
      </c>
      <c r="M1139" s="22">
        <v>3.2</v>
      </c>
      <c r="N1139" s="22">
        <v>5</v>
      </c>
      <c r="O1139" s="22">
        <v>0</v>
      </c>
      <c r="P1139" s="23"/>
      <c r="Q1139" s="23"/>
      <c r="R1139" s="23"/>
      <c r="S1139" s="23"/>
      <c r="Z1139" s="23"/>
      <c r="AA1139" s="22">
        <v>167</v>
      </c>
      <c r="AB1139" s="3" t="str">
        <f t="shared" si="9"/>
        <v>ANO_0085_51_T3-C5_vm</v>
      </c>
      <c r="AC1139" s="3" t="str">
        <f t="shared" si="8"/>
        <v>ANO_0085_51_T3-C5_vm_1</v>
      </c>
    </row>
    <row r="1140" spans="1:29" ht="14">
      <c r="A1140" s="23"/>
      <c r="B1140" s="23"/>
      <c r="C1140" s="23"/>
      <c r="D1140" s="23"/>
      <c r="E1140" s="23"/>
      <c r="F1140" s="23"/>
      <c r="G1140" s="23"/>
      <c r="H1140" s="22">
        <v>2</v>
      </c>
      <c r="I1140" s="23"/>
      <c r="J1140" s="23"/>
      <c r="K1140" s="23"/>
      <c r="L1140" s="23" t="s">
        <v>38</v>
      </c>
      <c r="M1140" s="22">
        <v>6.2</v>
      </c>
      <c r="N1140" s="22">
        <v>0</v>
      </c>
      <c r="O1140" s="22">
        <v>4</v>
      </c>
      <c r="P1140" s="23"/>
      <c r="Q1140" s="22">
        <v>2</v>
      </c>
      <c r="R1140" s="23"/>
      <c r="S1140" s="23"/>
      <c r="Z1140" s="23"/>
      <c r="AA1140" s="23"/>
      <c r="AB1140" s="3" t="str">
        <f t="shared" si="9"/>
        <v>___</v>
      </c>
      <c r="AC1140" s="3" t="str">
        <f t="shared" si="8"/>
        <v>____2</v>
      </c>
    </row>
    <row r="1141" spans="1:29" ht="14">
      <c r="A1141" s="23"/>
      <c r="B1141" s="23"/>
      <c r="C1141" s="23"/>
      <c r="D1141" s="23"/>
      <c r="E1141" s="23"/>
      <c r="F1141" s="23"/>
      <c r="G1141" s="23"/>
      <c r="H1141" s="22">
        <v>3</v>
      </c>
      <c r="I1141" s="23"/>
      <c r="J1141" s="23"/>
      <c r="K1141" s="23"/>
      <c r="L1141" s="23" t="s">
        <v>39</v>
      </c>
      <c r="M1141" s="22">
        <v>7.6</v>
      </c>
      <c r="N1141" s="22">
        <v>0</v>
      </c>
      <c r="O1141" s="22">
        <v>3</v>
      </c>
      <c r="P1141" s="23"/>
      <c r="Q1141" s="22">
        <v>3</v>
      </c>
      <c r="R1141" s="23"/>
      <c r="S1141" s="23"/>
      <c r="Z1141" s="23"/>
      <c r="AA1141" s="23"/>
      <c r="AB1141" s="3" t="str">
        <f t="shared" si="9"/>
        <v>___</v>
      </c>
      <c r="AC1141" s="3" t="str">
        <f t="shared" si="8"/>
        <v>____3</v>
      </c>
    </row>
    <row r="1142" spans="1:29" ht="14">
      <c r="A1142" s="22" t="s">
        <v>153</v>
      </c>
      <c r="B1142" s="23" t="s">
        <v>154</v>
      </c>
      <c r="C1142" s="22">
        <v>51</v>
      </c>
      <c r="D1142" s="23" t="s">
        <v>134</v>
      </c>
      <c r="E1142" s="23" t="s">
        <v>34</v>
      </c>
      <c r="F1142" s="23" t="s">
        <v>156</v>
      </c>
      <c r="G1142" s="23" t="s">
        <v>40</v>
      </c>
      <c r="H1142" s="22">
        <v>1</v>
      </c>
      <c r="I1142" s="22">
        <v>16</v>
      </c>
      <c r="J1142" s="22">
        <v>20.5</v>
      </c>
      <c r="K1142" s="22">
        <v>4</v>
      </c>
      <c r="L1142" s="23" t="s">
        <v>36</v>
      </c>
      <c r="M1142" s="22">
        <v>3.2</v>
      </c>
      <c r="N1142" s="22">
        <v>5</v>
      </c>
      <c r="O1142" s="22">
        <v>1</v>
      </c>
      <c r="P1142" s="23"/>
      <c r="Q1142" s="23"/>
      <c r="R1142" s="23"/>
      <c r="S1142" s="23"/>
      <c r="Z1142" s="23"/>
      <c r="AA1142" s="22">
        <v>168</v>
      </c>
      <c r="AB1142" s="3" t="str">
        <f t="shared" si="9"/>
        <v>ANO_0085_51_T3-C5_vm</v>
      </c>
      <c r="AC1142" s="3" t="str">
        <f t="shared" si="8"/>
        <v>ANO_0085_51_T3-C5_vm_1</v>
      </c>
    </row>
    <row r="1143" spans="1:29" ht="14">
      <c r="A1143" s="23"/>
      <c r="B1143" s="23"/>
      <c r="C1143" s="23"/>
      <c r="D1143" s="23"/>
      <c r="E1143" s="23"/>
      <c r="F1143" s="23"/>
      <c r="G1143" s="23"/>
      <c r="H1143" s="22">
        <v>2</v>
      </c>
      <c r="I1143" s="23"/>
      <c r="J1143" s="23"/>
      <c r="K1143" s="23"/>
      <c r="L1143" s="23" t="s">
        <v>38</v>
      </c>
      <c r="M1143" s="22">
        <v>6.5</v>
      </c>
      <c r="N1143" s="22">
        <v>2</v>
      </c>
      <c r="O1143" s="22">
        <v>5</v>
      </c>
      <c r="P1143" s="23"/>
      <c r="Q1143" s="22">
        <v>2</v>
      </c>
      <c r="R1143" s="23"/>
      <c r="S1143" s="23"/>
      <c r="Z1143" s="23"/>
      <c r="AA1143" s="23"/>
      <c r="AB1143" s="3" t="str">
        <f t="shared" si="9"/>
        <v>___</v>
      </c>
      <c r="AC1143" s="3" t="str">
        <f t="shared" si="8"/>
        <v>____2</v>
      </c>
    </row>
    <row r="1144" spans="1:29" ht="14">
      <c r="A1144" s="23"/>
      <c r="B1144" s="23"/>
      <c r="C1144" s="23"/>
      <c r="D1144" s="23"/>
      <c r="E1144" s="23"/>
      <c r="F1144" s="23"/>
      <c r="G1144" s="23"/>
      <c r="H1144" s="22">
        <v>3</v>
      </c>
      <c r="I1144" s="23"/>
      <c r="J1144" s="23"/>
      <c r="K1144" s="23"/>
      <c r="L1144" s="23" t="s">
        <v>39</v>
      </c>
      <c r="M1144" s="22">
        <v>5.0999999999999996</v>
      </c>
      <c r="N1144" s="22">
        <v>0</v>
      </c>
      <c r="O1144" s="22">
        <v>4</v>
      </c>
      <c r="P1144" s="23"/>
      <c r="Q1144" s="22">
        <v>1</v>
      </c>
      <c r="R1144" s="23"/>
      <c r="S1144" s="23"/>
      <c r="Z1144" s="23"/>
      <c r="AA1144" s="23"/>
      <c r="AB1144" s="3" t="str">
        <f t="shared" si="9"/>
        <v>___</v>
      </c>
      <c r="AC1144" s="3" t="str">
        <f t="shared" si="8"/>
        <v>____3</v>
      </c>
    </row>
    <row r="1145" spans="1:29" ht="14">
      <c r="A1145" s="22" t="s">
        <v>153</v>
      </c>
      <c r="B1145" s="23" t="s">
        <v>154</v>
      </c>
      <c r="C1145" s="22">
        <v>51</v>
      </c>
      <c r="D1145" s="23" t="s">
        <v>134</v>
      </c>
      <c r="E1145" s="23" t="s">
        <v>34</v>
      </c>
      <c r="F1145" s="23" t="s">
        <v>156</v>
      </c>
      <c r="G1145" s="23" t="s">
        <v>35</v>
      </c>
      <c r="H1145" s="22">
        <v>1</v>
      </c>
      <c r="I1145" s="22">
        <v>11.5</v>
      </c>
      <c r="J1145" s="22">
        <v>17.2</v>
      </c>
      <c r="K1145" s="22">
        <v>5</v>
      </c>
      <c r="L1145" s="23" t="s">
        <v>36</v>
      </c>
      <c r="M1145" s="22">
        <v>3.9</v>
      </c>
      <c r="N1145" s="22">
        <v>9</v>
      </c>
      <c r="O1145" s="22">
        <v>1</v>
      </c>
      <c r="P1145" s="23"/>
      <c r="Q1145" s="23"/>
      <c r="R1145" s="23"/>
      <c r="S1145" s="23"/>
      <c r="Z1145" s="23"/>
      <c r="AA1145" s="22">
        <v>169</v>
      </c>
      <c r="AB1145" s="3" t="str">
        <f t="shared" si="9"/>
        <v>ANO_0085_51_T3-C5_vv</v>
      </c>
      <c r="AC1145" s="3" t="str">
        <f t="shared" si="8"/>
        <v>ANO_0085_51_T3-C5_vv_1</v>
      </c>
    </row>
    <row r="1146" spans="1:29" ht="14">
      <c r="A1146" s="23"/>
      <c r="B1146" s="23"/>
      <c r="C1146" s="23"/>
      <c r="D1146" s="23"/>
      <c r="E1146" s="23"/>
      <c r="F1146" s="23"/>
      <c r="G1146" s="23"/>
      <c r="H1146" s="22">
        <v>2</v>
      </c>
      <c r="I1146" s="23"/>
      <c r="J1146" s="23"/>
      <c r="K1146" s="23"/>
      <c r="L1146" s="23" t="s">
        <v>38</v>
      </c>
      <c r="M1146" s="22">
        <v>2.7</v>
      </c>
      <c r="N1146" s="22">
        <v>6</v>
      </c>
      <c r="O1146" s="22">
        <v>2</v>
      </c>
      <c r="P1146" s="23"/>
      <c r="Q1146" s="22">
        <v>1</v>
      </c>
      <c r="R1146" s="23"/>
      <c r="S1146" s="23"/>
      <c r="Z1146" s="23"/>
      <c r="AA1146" s="23"/>
      <c r="AB1146" s="3" t="str">
        <f t="shared" si="9"/>
        <v>___</v>
      </c>
      <c r="AC1146" s="3" t="str">
        <f t="shared" si="8"/>
        <v>____2</v>
      </c>
    </row>
    <row r="1147" spans="1:29" ht="14">
      <c r="A1147" s="23"/>
      <c r="B1147" s="23"/>
      <c r="C1147" s="23"/>
      <c r="D1147" s="23"/>
      <c r="E1147" s="23"/>
      <c r="F1147" s="23"/>
      <c r="G1147" s="23"/>
      <c r="H1147" s="22">
        <v>3</v>
      </c>
      <c r="I1147" s="23"/>
      <c r="J1147" s="23"/>
      <c r="K1147" s="23"/>
      <c r="L1147" s="23" t="s">
        <v>39</v>
      </c>
      <c r="M1147" s="22">
        <v>2.6</v>
      </c>
      <c r="N1147" s="22">
        <v>0</v>
      </c>
      <c r="O1147" s="22">
        <v>6</v>
      </c>
      <c r="P1147" s="23"/>
      <c r="Q1147" s="23"/>
      <c r="R1147" s="23"/>
      <c r="S1147" s="23"/>
      <c r="Z1147" s="23"/>
      <c r="AA1147" s="23"/>
      <c r="AB1147" s="3" t="str">
        <f t="shared" si="9"/>
        <v>___</v>
      </c>
      <c r="AC1147" s="3" t="str">
        <f t="shared" si="8"/>
        <v>____3</v>
      </c>
    </row>
    <row r="1148" spans="1:29" ht="14">
      <c r="A1148" s="22" t="s">
        <v>153</v>
      </c>
      <c r="B1148" s="23" t="s">
        <v>154</v>
      </c>
      <c r="C1148" s="22">
        <v>51</v>
      </c>
      <c r="D1148" s="23" t="s">
        <v>134</v>
      </c>
      <c r="E1148" s="23" t="s">
        <v>34</v>
      </c>
      <c r="F1148" s="23" t="s">
        <v>156</v>
      </c>
      <c r="G1148" s="23" t="s">
        <v>35</v>
      </c>
      <c r="H1148" s="22">
        <v>1</v>
      </c>
      <c r="I1148" s="22">
        <v>8.5</v>
      </c>
      <c r="J1148" s="22">
        <v>13.1</v>
      </c>
      <c r="K1148" s="22">
        <v>4</v>
      </c>
      <c r="L1148" s="23" t="s">
        <v>36</v>
      </c>
      <c r="M1148" s="22">
        <v>2.2000000000000002</v>
      </c>
      <c r="N1148" s="22">
        <v>10</v>
      </c>
      <c r="O1148" s="22">
        <v>0</v>
      </c>
      <c r="P1148" s="23"/>
      <c r="Q1148" s="23"/>
      <c r="R1148" s="23"/>
      <c r="S1148" s="23"/>
      <c r="Z1148" s="23"/>
      <c r="AA1148" s="22">
        <v>170</v>
      </c>
      <c r="AB1148" s="3" t="str">
        <f t="shared" si="9"/>
        <v>ANO_0085_51_T3-C5_vv</v>
      </c>
      <c r="AC1148" s="3" t="str">
        <f t="shared" si="8"/>
        <v>ANO_0085_51_T3-C5_vv_1</v>
      </c>
    </row>
    <row r="1149" spans="1:29" ht="14">
      <c r="A1149" s="23"/>
      <c r="B1149" s="23"/>
      <c r="C1149" s="23"/>
      <c r="D1149" s="23"/>
      <c r="E1149" s="23"/>
      <c r="F1149" s="23"/>
      <c r="G1149" s="23"/>
      <c r="H1149" s="22">
        <v>2</v>
      </c>
      <c r="I1149" s="23"/>
      <c r="J1149" s="23"/>
      <c r="K1149" s="23"/>
      <c r="L1149" s="23" t="s">
        <v>38</v>
      </c>
      <c r="M1149" s="22">
        <v>3.4</v>
      </c>
      <c r="N1149" s="22">
        <v>7</v>
      </c>
      <c r="O1149" s="22">
        <v>1</v>
      </c>
      <c r="P1149" s="23"/>
      <c r="Q1149" s="23"/>
      <c r="R1149" s="23"/>
      <c r="S1149" s="23"/>
      <c r="Z1149" s="23"/>
      <c r="AA1149" s="23"/>
      <c r="AB1149" s="3" t="str">
        <f t="shared" si="9"/>
        <v>___</v>
      </c>
      <c r="AC1149" s="3" t="str">
        <f t="shared" si="8"/>
        <v>____2</v>
      </c>
    </row>
    <row r="1150" spans="1:29" ht="14">
      <c r="A1150" s="23"/>
      <c r="B1150" s="23"/>
      <c r="C1150" s="23"/>
      <c r="D1150" s="23"/>
      <c r="E1150" s="23"/>
      <c r="F1150" s="23"/>
      <c r="G1150" s="23"/>
      <c r="H1150" s="22">
        <v>3</v>
      </c>
      <c r="I1150" s="23"/>
      <c r="J1150" s="23"/>
      <c r="K1150" s="23"/>
      <c r="L1150" s="23" t="s">
        <v>39</v>
      </c>
      <c r="M1150" s="22">
        <v>5</v>
      </c>
      <c r="N1150" s="22">
        <v>0</v>
      </c>
      <c r="O1150" s="22">
        <v>5</v>
      </c>
      <c r="P1150" s="23"/>
      <c r="Q1150" s="22">
        <v>1</v>
      </c>
      <c r="R1150" s="22">
        <v>1</v>
      </c>
      <c r="S1150" s="22"/>
      <c r="Z1150" s="23"/>
      <c r="AA1150" s="23"/>
      <c r="AB1150" s="3" t="str">
        <f t="shared" si="9"/>
        <v>___</v>
      </c>
      <c r="AC1150" s="3" t="str">
        <f t="shared" si="8"/>
        <v>____3</v>
      </c>
    </row>
    <row r="1151" spans="1:29" ht="14">
      <c r="A1151" s="22" t="s">
        <v>153</v>
      </c>
      <c r="B1151" s="23" t="s">
        <v>154</v>
      </c>
      <c r="C1151" s="22">
        <v>51</v>
      </c>
      <c r="D1151" s="23" t="s">
        <v>134</v>
      </c>
      <c r="E1151" s="23" t="s">
        <v>34</v>
      </c>
      <c r="F1151" s="23" t="s">
        <v>156</v>
      </c>
      <c r="G1151" s="23" t="s">
        <v>35</v>
      </c>
      <c r="H1151" s="22">
        <v>1</v>
      </c>
      <c r="I1151" s="22">
        <v>9</v>
      </c>
      <c r="J1151" s="22">
        <v>12</v>
      </c>
      <c r="K1151" s="22">
        <v>3</v>
      </c>
      <c r="L1151" s="23" t="s">
        <v>36</v>
      </c>
      <c r="M1151" s="22">
        <v>3.5</v>
      </c>
      <c r="N1151" s="22">
        <v>8</v>
      </c>
      <c r="O1151" s="22">
        <v>1</v>
      </c>
      <c r="P1151" s="23"/>
      <c r="Q1151" s="23"/>
      <c r="R1151" s="23"/>
      <c r="S1151" s="23"/>
      <c r="Z1151" s="23"/>
      <c r="AA1151" s="22">
        <v>171</v>
      </c>
      <c r="AB1151" s="3" t="str">
        <f t="shared" si="9"/>
        <v>ANO_0085_51_T3-C5_vv</v>
      </c>
      <c r="AC1151" s="3" t="str">
        <f t="shared" si="8"/>
        <v>ANO_0085_51_T3-C5_vv_1</v>
      </c>
    </row>
    <row r="1152" spans="1:29" ht="14">
      <c r="A1152" s="23"/>
      <c r="B1152" s="23"/>
      <c r="C1152" s="23"/>
      <c r="D1152" s="23"/>
      <c r="E1152" s="23"/>
      <c r="F1152" s="23"/>
      <c r="G1152" s="23"/>
      <c r="H1152" s="22">
        <v>2</v>
      </c>
      <c r="I1152" s="23"/>
      <c r="J1152" s="23"/>
      <c r="K1152" s="23"/>
      <c r="L1152" s="23" t="s">
        <v>38</v>
      </c>
      <c r="M1152" s="22">
        <v>4.0999999999999996</v>
      </c>
      <c r="N1152" s="22">
        <v>4</v>
      </c>
      <c r="O1152" s="22">
        <v>5</v>
      </c>
      <c r="P1152" s="23"/>
      <c r="Q1152" s="23"/>
      <c r="R1152" s="23"/>
      <c r="S1152" s="23"/>
      <c r="Z1152" s="23"/>
      <c r="AA1152" s="23"/>
      <c r="AB1152" s="3" t="str">
        <f t="shared" si="9"/>
        <v>___</v>
      </c>
      <c r="AC1152" s="3" t="str">
        <f t="shared" si="8"/>
        <v>____2</v>
      </c>
    </row>
    <row r="1153" spans="1:29" ht="14">
      <c r="A1153" s="23"/>
      <c r="B1153" s="23"/>
      <c r="C1153" s="23"/>
      <c r="D1153" s="23"/>
      <c r="E1153" s="23"/>
      <c r="F1153" s="23"/>
      <c r="G1153" s="23"/>
      <c r="H1153" s="22">
        <v>3</v>
      </c>
      <c r="I1153" s="23"/>
      <c r="J1153" s="23"/>
      <c r="K1153" s="23"/>
      <c r="L1153" s="23" t="s">
        <v>39</v>
      </c>
      <c r="M1153" s="22">
        <v>4.5999999999999996</v>
      </c>
      <c r="N1153" s="22">
        <v>0</v>
      </c>
      <c r="O1153" s="22">
        <v>7</v>
      </c>
      <c r="P1153" s="23"/>
      <c r="Q1153" s="23"/>
      <c r="R1153" s="23"/>
      <c r="S1153" s="23"/>
      <c r="Z1153" s="23"/>
      <c r="AA1153" s="23"/>
      <c r="AB1153" s="3" t="str">
        <f t="shared" si="9"/>
        <v>___</v>
      </c>
      <c r="AC1153" s="3" t="str">
        <f t="shared" si="8"/>
        <v>____3</v>
      </c>
    </row>
    <row r="1154" spans="1:29" ht="14">
      <c r="A1154" s="22" t="s">
        <v>157</v>
      </c>
      <c r="B1154" s="23" t="s">
        <v>158</v>
      </c>
      <c r="C1154" s="22">
        <v>44</v>
      </c>
      <c r="D1154" s="23" t="s">
        <v>134</v>
      </c>
      <c r="E1154" s="23" t="s">
        <v>34</v>
      </c>
      <c r="F1154" s="23" t="s">
        <v>159</v>
      </c>
      <c r="G1154" s="23" t="s">
        <v>40</v>
      </c>
      <c r="H1154" s="22">
        <v>1</v>
      </c>
      <c r="I1154" s="22">
        <v>14.5</v>
      </c>
      <c r="J1154" s="22">
        <v>16.899999999999999</v>
      </c>
      <c r="K1154" s="22">
        <v>4</v>
      </c>
      <c r="L1154" s="23" t="s">
        <v>36</v>
      </c>
      <c r="M1154" s="22">
        <v>3.3</v>
      </c>
      <c r="N1154" s="22">
        <v>5</v>
      </c>
      <c r="O1154" s="22">
        <v>0</v>
      </c>
      <c r="P1154" s="23"/>
      <c r="Q1154" s="23"/>
      <c r="R1154" s="23"/>
      <c r="S1154" s="23"/>
      <c r="Z1154" s="23"/>
      <c r="AA1154" s="22">
        <v>172</v>
      </c>
      <c r="AB1154" s="3" t="str">
        <f t="shared" si="9"/>
        <v>ANO_0010_44_T3-C4_vm</v>
      </c>
      <c r="AC1154" s="3" t="str">
        <f t="shared" si="8"/>
        <v>ANO_0010_44_T3-C4_vm_1</v>
      </c>
    </row>
    <row r="1155" spans="1:29" ht="14">
      <c r="A1155" s="23"/>
      <c r="B1155" s="23"/>
      <c r="C1155" s="23"/>
      <c r="D1155" s="23"/>
      <c r="E1155" s="23"/>
      <c r="F1155" s="23"/>
      <c r="G1155" s="23"/>
      <c r="H1155" s="22">
        <v>2</v>
      </c>
      <c r="I1155" s="23"/>
      <c r="J1155" s="23"/>
      <c r="K1155" s="23"/>
      <c r="L1155" s="23" t="s">
        <v>38</v>
      </c>
      <c r="M1155" s="22">
        <v>5.3</v>
      </c>
      <c r="N1155" s="22">
        <v>2</v>
      </c>
      <c r="O1155" s="22">
        <v>2</v>
      </c>
      <c r="P1155" s="23"/>
      <c r="Q1155" s="22">
        <v>2</v>
      </c>
      <c r="R1155" s="23"/>
      <c r="S1155" s="23"/>
      <c r="Z1155" s="23"/>
      <c r="AA1155" s="23"/>
      <c r="AB1155" s="3" t="str">
        <f t="shared" si="9"/>
        <v>___</v>
      </c>
      <c r="AC1155" s="3" t="str">
        <f t="shared" si="8"/>
        <v>____2</v>
      </c>
    </row>
    <row r="1156" spans="1:29" ht="14">
      <c r="A1156" s="23"/>
      <c r="B1156" s="23"/>
      <c r="C1156" s="23"/>
      <c r="D1156" s="23"/>
      <c r="E1156" s="23"/>
      <c r="F1156" s="23"/>
      <c r="G1156" s="23"/>
      <c r="H1156" s="22">
        <v>3</v>
      </c>
      <c r="I1156" s="23"/>
      <c r="J1156" s="23"/>
      <c r="K1156" s="23"/>
      <c r="L1156" s="23" t="s">
        <v>39</v>
      </c>
      <c r="M1156" s="22">
        <v>3.6</v>
      </c>
      <c r="N1156" s="22">
        <v>0</v>
      </c>
      <c r="O1156" s="22">
        <v>1</v>
      </c>
      <c r="P1156" s="23"/>
      <c r="Q1156" s="22">
        <v>1</v>
      </c>
      <c r="R1156" s="23"/>
      <c r="S1156" s="23"/>
      <c r="Z1156" s="23"/>
      <c r="AA1156" s="23"/>
      <c r="AB1156" s="3" t="str">
        <f t="shared" si="9"/>
        <v>___</v>
      </c>
      <c r="AC1156" s="3" t="str">
        <f t="shared" si="8"/>
        <v>____3</v>
      </c>
    </row>
    <row r="1157" spans="1:29" ht="14">
      <c r="A1157" s="22" t="s">
        <v>157</v>
      </c>
      <c r="B1157" s="23" t="s">
        <v>158</v>
      </c>
      <c r="C1157" s="22">
        <v>44</v>
      </c>
      <c r="D1157" s="23" t="s">
        <v>134</v>
      </c>
      <c r="E1157" s="23" t="s">
        <v>34</v>
      </c>
      <c r="F1157" s="23" t="s">
        <v>159</v>
      </c>
      <c r="G1157" s="23" t="s">
        <v>40</v>
      </c>
      <c r="H1157" s="22">
        <v>1</v>
      </c>
      <c r="I1157" s="22">
        <v>14</v>
      </c>
      <c r="J1157" s="22">
        <v>21.4</v>
      </c>
      <c r="K1157" s="22">
        <v>6</v>
      </c>
      <c r="L1157" s="23" t="s">
        <v>36</v>
      </c>
      <c r="M1157" s="22">
        <v>2.1</v>
      </c>
      <c r="N1157" s="22">
        <v>4</v>
      </c>
      <c r="O1157" s="22">
        <v>0</v>
      </c>
      <c r="P1157" s="23"/>
      <c r="Q1157" s="23"/>
      <c r="R1157" s="23"/>
      <c r="S1157" s="23"/>
      <c r="Z1157" s="23"/>
      <c r="AA1157" s="22">
        <v>173</v>
      </c>
      <c r="AB1157" s="3" t="str">
        <f t="shared" si="9"/>
        <v>ANO_0010_44_T3-C4_vm</v>
      </c>
      <c r="AC1157" s="3" t="str">
        <f t="shared" si="8"/>
        <v>ANO_0010_44_T3-C4_vm_1</v>
      </c>
    </row>
    <row r="1158" spans="1:29" ht="14">
      <c r="A1158" s="23"/>
      <c r="B1158" s="23"/>
      <c r="C1158" s="23"/>
      <c r="D1158" s="23"/>
      <c r="E1158" s="23"/>
      <c r="F1158" s="23"/>
      <c r="G1158" s="23"/>
      <c r="H1158" s="22">
        <v>2</v>
      </c>
      <c r="I1158" s="23"/>
      <c r="J1158" s="23"/>
      <c r="K1158" s="23"/>
      <c r="L1158" s="23" t="s">
        <v>38</v>
      </c>
      <c r="M1158" s="22">
        <v>4.9000000000000004</v>
      </c>
      <c r="N1158" s="22">
        <v>0</v>
      </c>
      <c r="O1158" s="22">
        <v>2</v>
      </c>
      <c r="P1158" s="23"/>
      <c r="Q1158" s="22">
        <v>2</v>
      </c>
      <c r="R1158" s="23"/>
      <c r="S1158" s="23"/>
      <c r="Z1158" s="23"/>
      <c r="AA1158" s="23"/>
      <c r="AB1158" s="3" t="str">
        <f t="shared" si="9"/>
        <v>___</v>
      </c>
      <c r="AC1158" s="3" t="str">
        <f t="shared" si="8"/>
        <v>____2</v>
      </c>
    </row>
    <row r="1159" spans="1:29" ht="14">
      <c r="A1159" s="23"/>
      <c r="B1159" s="23"/>
      <c r="C1159" s="23"/>
      <c r="D1159" s="23"/>
      <c r="E1159" s="23"/>
      <c r="F1159" s="23"/>
      <c r="G1159" s="23"/>
      <c r="H1159" s="22">
        <v>3</v>
      </c>
      <c r="I1159" s="23"/>
      <c r="J1159" s="23"/>
      <c r="K1159" s="23"/>
      <c r="L1159" s="23" t="s">
        <v>39</v>
      </c>
      <c r="M1159" s="22">
        <v>5.2</v>
      </c>
      <c r="N1159" s="22">
        <v>0</v>
      </c>
      <c r="O1159" s="22">
        <v>2</v>
      </c>
      <c r="P1159" s="23"/>
      <c r="Q1159" s="22">
        <v>2</v>
      </c>
      <c r="R1159" s="23"/>
      <c r="S1159" s="23"/>
      <c r="Z1159" s="23"/>
      <c r="AA1159" s="23"/>
      <c r="AB1159" s="3" t="str">
        <f t="shared" si="9"/>
        <v>___</v>
      </c>
      <c r="AC1159" s="3" t="str">
        <f t="shared" si="8"/>
        <v>____3</v>
      </c>
    </row>
    <row r="1160" spans="1:29" ht="14">
      <c r="A1160" s="22" t="s">
        <v>157</v>
      </c>
      <c r="B1160" s="23" t="s">
        <v>158</v>
      </c>
      <c r="C1160" s="22">
        <v>44</v>
      </c>
      <c r="D1160" s="23" t="s">
        <v>134</v>
      </c>
      <c r="E1160" s="23" t="s">
        <v>34</v>
      </c>
      <c r="F1160" s="23" t="s">
        <v>159</v>
      </c>
      <c r="G1160" s="23" t="s">
        <v>40</v>
      </c>
      <c r="H1160" s="22">
        <v>1</v>
      </c>
      <c r="I1160" s="22">
        <v>18.5</v>
      </c>
      <c r="J1160" s="22">
        <v>31.5</v>
      </c>
      <c r="K1160" s="22">
        <v>5</v>
      </c>
      <c r="L1160" s="23" t="s">
        <v>36</v>
      </c>
      <c r="M1160" s="22">
        <v>2.1</v>
      </c>
      <c r="N1160" s="22">
        <v>4</v>
      </c>
      <c r="O1160" s="22">
        <v>0</v>
      </c>
      <c r="P1160" s="23"/>
      <c r="Q1160" s="23"/>
      <c r="R1160" s="23"/>
      <c r="S1160" s="23"/>
      <c r="Z1160" s="23"/>
      <c r="AA1160" s="22">
        <v>174</v>
      </c>
      <c r="AB1160" s="3" t="str">
        <f t="shared" si="9"/>
        <v>ANO_0010_44_T3-C4_vm</v>
      </c>
      <c r="AC1160" s="3" t="str">
        <f t="shared" si="8"/>
        <v>ANO_0010_44_T3-C4_vm_1</v>
      </c>
    </row>
    <row r="1161" spans="1:29" ht="14">
      <c r="A1161" s="23"/>
      <c r="B1161" s="23"/>
      <c r="C1161" s="23"/>
      <c r="D1161" s="23"/>
      <c r="E1161" s="23"/>
      <c r="F1161" s="23"/>
      <c r="G1161" s="23"/>
      <c r="H1161" s="22">
        <v>2</v>
      </c>
      <c r="I1161" s="23"/>
      <c r="J1161" s="23"/>
      <c r="K1161" s="23"/>
      <c r="L1161" s="23" t="s">
        <v>38</v>
      </c>
      <c r="M1161" s="22">
        <v>7.6</v>
      </c>
      <c r="N1161" s="22">
        <v>0</v>
      </c>
      <c r="O1161" s="22">
        <v>2</v>
      </c>
      <c r="P1161" s="23"/>
      <c r="Q1161" s="22">
        <v>4</v>
      </c>
      <c r="R1161" s="23"/>
      <c r="S1161" s="23"/>
      <c r="Z1161" s="23"/>
      <c r="AA1161" s="23"/>
      <c r="AB1161" s="3" t="str">
        <f t="shared" si="9"/>
        <v>___</v>
      </c>
      <c r="AC1161" s="3" t="str">
        <f t="shared" si="8"/>
        <v>____2</v>
      </c>
    </row>
    <row r="1162" spans="1:29" ht="14">
      <c r="A1162" s="23"/>
      <c r="B1162" s="23"/>
      <c r="C1162" s="23"/>
      <c r="D1162" s="23"/>
      <c r="E1162" s="23"/>
      <c r="F1162" s="23"/>
      <c r="G1162" s="23"/>
      <c r="H1162" s="22">
        <v>3</v>
      </c>
      <c r="I1162" s="23"/>
      <c r="J1162" s="23"/>
      <c r="K1162" s="23"/>
      <c r="L1162" s="23" t="s">
        <v>39</v>
      </c>
      <c r="M1162" s="22">
        <v>10.5</v>
      </c>
      <c r="N1162" s="22">
        <v>0</v>
      </c>
      <c r="O1162" s="22">
        <v>3</v>
      </c>
      <c r="P1162" s="23"/>
      <c r="Q1162" s="22">
        <v>3</v>
      </c>
      <c r="R1162" s="23"/>
      <c r="S1162" s="23"/>
      <c r="Z1162" s="23"/>
      <c r="AA1162" s="23"/>
      <c r="AB1162" s="3" t="str">
        <f t="shared" si="9"/>
        <v>___</v>
      </c>
      <c r="AC1162" s="3" t="str">
        <f t="shared" si="8"/>
        <v>____3</v>
      </c>
    </row>
    <row r="1163" spans="1:29" ht="14">
      <c r="A1163" s="22" t="s">
        <v>157</v>
      </c>
      <c r="B1163" s="23" t="s">
        <v>158</v>
      </c>
      <c r="C1163" s="22">
        <v>44</v>
      </c>
      <c r="D1163" s="23" t="s">
        <v>134</v>
      </c>
      <c r="E1163" s="23" t="s">
        <v>34</v>
      </c>
      <c r="F1163" s="23" t="s">
        <v>159</v>
      </c>
      <c r="G1163" s="23" t="s">
        <v>35</v>
      </c>
      <c r="H1163" s="22">
        <v>1</v>
      </c>
      <c r="I1163" s="22">
        <v>13</v>
      </c>
      <c r="J1163" s="22">
        <v>14.5</v>
      </c>
      <c r="K1163" s="22">
        <v>4</v>
      </c>
      <c r="L1163" s="23" t="s">
        <v>36</v>
      </c>
      <c r="M1163" s="22">
        <v>2.7</v>
      </c>
      <c r="N1163" s="22">
        <v>12</v>
      </c>
      <c r="O1163" s="22">
        <v>0</v>
      </c>
      <c r="P1163" s="23"/>
      <c r="Q1163" s="23"/>
      <c r="R1163" s="23"/>
      <c r="S1163" s="23"/>
      <c r="Z1163" s="23"/>
      <c r="AA1163" s="22">
        <v>175</v>
      </c>
      <c r="AB1163" s="3" t="str">
        <f t="shared" si="9"/>
        <v>ANO_0010_44_T3-C4_vv</v>
      </c>
      <c r="AC1163" s="3" t="str">
        <f t="shared" si="8"/>
        <v>ANO_0010_44_T3-C4_vv_1</v>
      </c>
    </row>
    <row r="1164" spans="1:29" ht="14">
      <c r="A1164" s="23"/>
      <c r="B1164" s="23"/>
      <c r="C1164" s="23"/>
      <c r="D1164" s="23"/>
      <c r="E1164" s="23"/>
      <c r="F1164" s="23"/>
      <c r="G1164" s="23"/>
      <c r="H1164" s="22">
        <v>2</v>
      </c>
      <c r="I1164" s="23"/>
      <c r="J1164" s="23"/>
      <c r="K1164" s="23"/>
      <c r="L1164" s="23" t="s">
        <v>38</v>
      </c>
      <c r="M1164" s="22">
        <v>3.7</v>
      </c>
      <c r="N1164" s="22">
        <v>9</v>
      </c>
      <c r="O1164" s="22">
        <v>0</v>
      </c>
      <c r="P1164" s="23"/>
      <c r="Q1164" s="23"/>
      <c r="R1164" s="23"/>
      <c r="S1164" s="23"/>
      <c r="Z1164" s="23"/>
      <c r="AA1164" s="23"/>
      <c r="AB1164" s="3" t="str">
        <f t="shared" si="9"/>
        <v>___</v>
      </c>
      <c r="AC1164" s="3" t="str">
        <f t="shared" si="8"/>
        <v>____2</v>
      </c>
    </row>
    <row r="1165" spans="1:29" ht="14">
      <c r="A1165" s="23"/>
      <c r="B1165" s="23"/>
      <c r="C1165" s="23"/>
      <c r="D1165" s="23"/>
      <c r="E1165" s="23"/>
      <c r="F1165" s="23"/>
      <c r="G1165" s="23"/>
      <c r="H1165" s="22">
        <v>3</v>
      </c>
      <c r="I1165" s="23"/>
      <c r="J1165" s="23"/>
      <c r="K1165" s="23"/>
      <c r="L1165" s="23" t="s">
        <v>39</v>
      </c>
      <c r="M1165" s="22">
        <v>4.7</v>
      </c>
      <c r="N1165" s="22">
        <v>1</v>
      </c>
      <c r="O1165" s="22">
        <v>10</v>
      </c>
      <c r="P1165" s="23"/>
      <c r="Q1165" s="23"/>
      <c r="R1165" s="23"/>
      <c r="S1165" s="23"/>
      <c r="Z1165" s="23"/>
      <c r="AA1165" s="23"/>
      <c r="AB1165" s="3" t="str">
        <f t="shared" si="9"/>
        <v>___</v>
      </c>
      <c r="AC1165" s="3" t="str">
        <f t="shared" si="8"/>
        <v>____3</v>
      </c>
    </row>
    <row r="1166" spans="1:29" ht="14">
      <c r="A1166" s="22" t="s">
        <v>157</v>
      </c>
      <c r="B1166" s="23" t="s">
        <v>158</v>
      </c>
      <c r="C1166" s="22">
        <v>44</v>
      </c>
      <c r="D1166" s="23" t="s">
        <v>134</v>
      </c>
      <c r="E1166" s="23" t="s">
        <v>34</v>
      </c>
      <c r="F1166" s="23" t="s">
        <v>159</v>
      </c>
      <c r="G1166" s="23" t="s">
        <v>35</v>
      </c>
      <c r="H1166" s="22">
        <v>1</v>
      </c>
      <c r="I1166" s="22">
        <v>7</v>
      </c>
      <c r="J1166" s="22">
        <v>10.5</v>
      </c>
      <c r="K1166" s="22">
        <v>4</v>
      </c>
      <c r="L1166" s="23" t="s">
        <v>36</v>
      </c>
      <c r="M1166" s="22">
        <v>1.9</v>
      </c>
      <c r="N1166" s="22">
        <v>9</v>
      </c>
      <c r="O1166" s="22">
        <v>0</v>
      </c>
      <c r="P1166" s="23"/>
      <c r="Q1166" s="23"/>
      <c r="R1166" s="23"/>
      <c r="S1166" s="23"/>
      <c r="Z1166" s="23"/>
      <c r="AA1166" s="22">
        <v>176</v>
      </c>
      <c r="AB1166" s="3" t="str">
        <f t="shared" si="9"/>
        <v>ANO_0010_44_T3-C4_vv</v>
      </c>
      <c r="AC1166" s="3" t="str">
        <f t="shared" si="8"/>
        <v>ANO_0010_44_T3-C4_vv_1</v>
      </c>
    </row>
    <row r="1167" spans="1:29" ht="14">
      <c r="A1167" s="23"/>
      <c r="B1167" s="23"/>
      <c r="C1167" s="23"/>
      <c r="D1167" s="23"/>
      <c r="E1167" s="23"/>
      <c r="F1167" s="23"/>
      <c r="G1167" s="23"/>
      <c r="H1167" s="22">
        <v>2</v>
      </c>
      <c r="I1167" s="23"/>
      <c r="J1167" s="23"/>
      <c r="K1167" s="23"/>
      <c r="L1167" s="23" t="s">
        <v>38</v>
      </c>
      <c r="M1167" s="22">
        <v>3.1</v>
      </c>
      <c r="N1167" s="22">
        <v>9</v>
      </c>
      <c r="O1167" s="22">
        <v>1</v>
      </c>
      <c r="P1167" s="23"/>
      <c r="Q1167" s="23"/>
      <c r="R1167" s="23"/>
      <c r="S1167" s="23"/>
      <c r="Z1167" s="23"/>
      <c r="AA1167" s="23"/>
      <c r="AB1167" s="3" t="str">
        <f t="shared" si="9"/>
        <v>___</v>
      </c>
      <c r="AC1167" s="3" t="str">
        <f t="shared" si="8"/>
        <v>____2</v>
      </c>
    </row>
    <row r="1168" spans="1:29" ht="14">
      <c r="A1168" s="23"/>
      <c r="B1168" s="23"/>
      <c r="C1168" s="23"/>
      <c r="D1168" s="23"/>
      <c r="E1168" s="23"/>
      <c r="F1168" s="23"/>
      <c r="G1168" s="23"/>
      <c r="H1168" s="22">
        <v>3</v>
      </c>
      <c r="I1168" s="23"/>
      <c r="J1168" s="23"/>
      <c r="K1168" s="23"/>
      <c r="L1168" s="23" t="s">
        <v>39</v>
      </c>
      <c r="M1168" s="22">
        <v>3.8</v>
      </c>
      <c r="N1168" s="22">
        <v>5</v>
      </c>
      <c r="O1168" s="22">
        <v>4</v>
      </c>
      <c r="P1168" s="23"/>
      <c r="Q1168" s="23"/>
      <c r="R1168" s="23"/>
      <c r="S1168" s="23"/>
      <c r="Z1168" s="23"/>
      <c r="AA1168" s="23"/>
      <c r="AB1168" s="3" t="str">
        <f t="shared" si="9"/>
        <v>___</v>
      </c>
      <c r="AC1168" s="3" t="str">
        <f t="shared" si="8"/>
        <v>____3</v>
      </c>
    </row>
    <row r="1169" spans="1:29" ht="14">
      <c r="A1169" s="22" t="s">
        <v>157</v>
      </c>
      <c r="B1169" s="23" t="s">
        <v>158</v>
      </c>
      <c r="C1169" s="22">
        <v>44</v>
      </c>
      <c r="D1169" s="23" t="s">
        <v>134</v>
      </c>
      <c r="E1169" s="23" t="s">
        <v>34</v>
      </c>
      <c r="F1169" s="23" t="s">
        <v>159</v>
      </c>
      <c r="G1169" s="23" t="s">
        <v>35</v>
      </c>
      <c r="H1169" s="22">
        <v>1</v>
      </c>
      <c r="I1169" s="22">
        <v>7</v>
      </c>
      <c r="J1169" s="22">
        <v>12.6</v>
      </c>
      <c r="K1169" s="22">
        <v>4</v>
      </c>
      <c r="L1169" s="23" t="s">
        <v>36</v>
      </c>
      <c r="M1169" s="22">
        <v>1.4</v>
      </c>
      <c r="N1169" s="22">
        <v>5</v>
      </c>
      <c r="O1169" s="22">
        <v>0</v>
      </c>
      <c r="P1169" s="23"/>
      <c r="Q1169" s="23"/>
      <c r="R1169" s="23"/>
      <c r="S1169" s="23"/>
      <c r="Z1169" s="23"/>
      <c r="AA1169" s="22">
        <v>177</v>
      </c>
      <c r="AB1169" s="3" t="str">
        <f t="shared" si="9"/>
        <v>ANO_0010_44_T3-C4_vv</v>
      </c>
      <c r="AC1169" s="3" t="str">
        <f t="shared" si="8"/>
        <v>ANO_0010_44_T3-C4_vv_1</v>
      </c>
    </row>
    <row r="1170" spans="1:29" ht="14">
      <c r="A1170" s="23"/>
      <c r="B1170" s="23"/>
      <c r="C1170" s="23"/>
      <c r="D1170" s="23"/>
      <c r="E1170" s="23"/>
      <c r="F1170" s="23"/>
      <c r="G1170" s="23"/>
      <c r="H1170" s="22">
        <v>2</v>
      </c>
      <c r="I1170" s="23"/>
      <c r="J1170" s="23"/>
      <c r="K1170" s="23"/>
      <c r="L1170" s="23" t="s">
        <v>38</v>
      </c>
      <c r="M1170" s="22">
        <v>3.8</v>
      </c>
      <c r="N1170" s="22">
        <v>6</v>
      </c>
      <c r="O1170" s="22">
        <v>3</v>
      </c>
      <c r="P1170" s="23"/>
      <c r="Q1170" s="23"/>
      <c r="R1170" s="23"/>
      <c r="S1170" s="23"/>
      <c r="Z1170" s="23"/>
      <c r="AA1170" s="23"/>
      <c r="AB1170" s="3" t="str">
        <f t="shared" si="9"/>
        <v>___</v>
      </c>
      <c r="AC1170" s="3" t="str">
        <f t="shared" si="8"/>
        <v>____2</v>
      </c>
    </row>
    <row r="1171" spans="1:29" ht="14">
      <c r="A1171" s="23"/>
      <c r="B1171" s="23"/>
      <c r="C1171" s="23"/>
      <c r="D1171" s="23"/>
      <c r="E1171" s="23"/>
      <c r="F1171" s="23"/>
      <c r="G1171" s="23"/>
      <c r="H1171" s="22">
        <v>3</v>
      </c>
      <c r="I1171" s="23"/>
      <c r="J1171" s="23"/>
      <c r="K1171" s="23"/>
      <c r="L1171" s="23" t="s">
        <v>39</v>
      </c>
      <c r="M1171" s="22">
        <v>3.9</v>
      </c>
      <c r="N1171" s="22">
        <v>1</v>
      </c>
      <c r="O1171" s="22">
        <v>6</v>
      </c>
      <c r="P1171" s="23"/>
      <c r="Q1171" s="23"/>
      <c r="R1171" s="23"/>
      <c r="S1171" s="23"/>
      <c r="Z1171" s="23"/>
      <c r="AA1171" s="23"/>
      <c r="AB1171" s="3" t="str">
        <f t="shared" si="9"/>
        <v>___</v>
      </c>
      <c r="AC1171" s="3" t="str">
        <f t="shared" si="8"/>
        <v>____3</v>
      </c>
    </row>
    <row r="1172" spans="1:29" ht="14">
      <c r="A1172" s="22" t="s">
        <v>157</v>
      </c>
      <c r="B1172" s="23" t="s">
        <v>158</v>
      </c>
      <c r="C1172" s="22">
        <v>53</v>
      </c>
      <c r="D1172" s="23" t="s">
        <v>134</v>
      </c>
      <c r="E1172" s="23" t="s">
        <v>34</v>
      </c>
      <c r="F1172" s="23" t="s">
        <v>160</v>
      </c>
      <c r="G1172" s="23" t="s">
        <v>40</v>
      </c>
      <c r="H1172" s="22">
        <v>1</v>
      </c>
      <c r="I1172" s="22">
        <v>15</v>
      </c>
      <c r="J1172" s="22">
        <v>17.8</v>
      </c>
      <c r="K1172" s="22">
        <v>4</v>
      </c>
      <c r="L1172" s="23" t="s">
        <v>36</v>
      </c>
      <c r="M1172" s="22">
        <v>4.4000000000000004</v>
      </c>
      <c r="N1172" s="22">
        <v>7</v>
      </c>
      <c r="O1172" s="22">
        <v>0</v>
      </c>
      <c r="P1172" s="23"/>
      <c r="Q1172" s="23"/>
      <c r="R1172" s="23"/>
      <c r="S1172" s="23"/>
      <c r="Z1172" s="23"/>
      <c r="AA1172" s="22">
        <v>178</v>
      </c>
      <c r="AB1172" s="3" t="str">
        <f t="shared" si="9"/>
        <v>ANO_0010_53_V1-C6_vm</v>
      </c>
      <c r="AC1172" s="3" t="str">
        <f t="shared" si="8"/>
        <v>ANO_0010_53_V1-C6_vm_1</v>
      </c>
    </row>
    <row r="1173" spans="1:29" ht="14">
      <c r="A1173" s="23"/>
      <c r="B1173" s="23"/>
      <c r="C1173" s="23"/>
      <c r="D1173" s="23"/>
      <c r="E1173" s="23"/>
      <c r="F1173" s="23"/>
      <c r="G1173" s="23"/>
      <c r="H1173" s="22">
        <v>2</v>
      </c>
      <c r="I1173" s="23"/>
      <c r="J1173" s="23"/>
      <c r="K1173" s="23"/>
      <c r="L1173" s="23" t="s">
        <v>38</v>
      </c>
      <c r="M1173" s="22">
        <v>5.2</v>
      </c>
      <c r="N1173" s="22">
        <v>0</v>
      </c>
      <c r="O1173" s="22">
        <v>4</v>
      </c>
      <c r="P1173" s="23"/>
      <c r="Q1173" s="22">
        <v>1</v>
      </c>
      <c r="R1173" s="23"/>
      <c r="S1173" s="23"/>
      <c r="Z1173" s="23"/>
      <c r="AA1173" s="23"/>
      <c r="AB1173" s="3" t="str">
        <f t="shared" si="9"/>
        <v>___</v>
      </c>
      <c r="AC1173" s="3" t="str">
        <f t="shared" si="8"/>
        <v>____2</v>
      </c>
    </row>
    <row r="1174" spans="1:29" ht="14">
      <c r="A1174" s="23"/>
      <c r="B1174" s="23"/>
      <c r="C1174" s="23"/>
      <c r="D1174" s="23"/>
      <c r="E1174" s="23"/>
      <c r="F1174" s="23"/>
      <c r="G1174" s="23"/>
      <c r="H1174" s="22">
        <v>3</v>
      </c>
      <c r="I1174" s="23"/>
      <c r="J1174" s="23"/>
      <c r="K1174" s="23"/>
      <c r="L1174" s="23" t="s">
        <v>39</v>
      </c>
      <c r="M1174" s="22">
        <v>2.2000000000000002</v>
      </c>
      <c r="N1174" s="22">
        <v>0</v>
      </c>
      <c r="O1174" s="22">
        <v>3</v>
      </c>
      <c r="P1174" s="23"/>
      <c r="Q1174" s="22">
        <v>2</v>
      </c>
      <c r="R1174" s="23"/>
      <c r="S1174" s="23"/>
      <c r="Z1174" s="23"/>
      <c r="AA1174" s="23"/>
      <c r="AB1174" s="3" t="str">
        <f t="shared" si="9"/>
        <v>___</v>
      </c>
      <c r="AC1174" s="3" t="str">
        <f t="shared" si="8"/>
        <v>____3</v>
      </c>
    </row>
    <row r="1175" spans="1:29" ht="14">
      <c r="A1175" s="22" t="s">
        <v>157</v>
      </c>
      <c r="B1175" s="23" t="s">
        <v>158</v>
      </c>
      <c r="C1175" s="22">
        <v>53</v>
      </c>
      <c r="D1175" s="23" t="s">
        <v>134</v>
      </c>
      <c r="E1175" s="23" t="s">
        <v>34</v>
      </c>
      <c r="F1175" s="23" t="s">
        <v>160</v>
      </c>
      <c r="G1175" s="23" t="s">
        <v>40</v>
      </c>
      <c r="H1175" s="22">
        <v>1</v>
      </c>
      <c r="I1175" s="22">
        <v>18</v>
      </c>
      <c r="J1175" s="22">
        <v>20.6</v>
      </c>
      <c r="K1175" s="22">
        <v>5</v>
      </c>
      <c r="L1175" s="23" t="s">
        <v>36</v>
      </c>
      <c r="M1175" s="22">
        <v>2.7</v>
      </c>
      <c r="N1175" s="22">
        <v>2</v>
      </c>
      <c r="O1175" s="22">
        <v>0</v>
      </c>
      <c r="P1175" s="23"/>
      <c r="Q1175" s="23"/>
      <c r="R1175" s="23"/>
      <c r="S1175" s="23"/>
      <c r="Z1175" s="23"/>
      <c r="AA1175" s="22">
        <v>179</v>
      </c>
      <c r="AB1175" s="3" t="str">
        <f t="shared" si="9"/>
        <v>ANO_0010_53_V1-C6_vm</v>
      </c>
      <c r="AC1175" s="3" t="str">
        <f t="shared" si="8"/>
        <v>ANO_0010_53_V1-C6_vm_1</v>
      </c>
    </row>
    <row r="1176" spans="1:29" ht="14">
      <c r="A1176" s="23"/>
      <c r="B1176" s="23"/>
      <c r="C1176" s="23"/>
      <c r="D1176" s="23"/>
      <c r="E1176" s="23"/>
      <c r="F1176" s="23"/>
      <c r="G1176" s="23"/>
      <c r="H1176" s="22">
        <v>2</v>
      </c>
      <c r="I1176" s="23"/>
      <c r="J1176" s="23"/>
      <c r="K1176" s="23"/>
      <c r="L1176" s="23" t="s">
        <v>38</v>
      </c>
      <c r="M1176" s="22">
        <v>4.9000000000000004</v>
      </c>
      <c r="N1176" s="22">
        <v>0</v>
      </c>
      <c r="O1176" s="22">
        <v>1</v>
      </c>
      <c r="P1176" s="23"/>
      <c r="Q1176" s="22">
        <v>3</v>
      </c>
      <c r="R1176" s="23"/>
      <c r="S1176" s="23"/>
      <c r="Z1176" s="23"/>
      <c r="AA1176" s="23"/>
      <c r="AB1176" s="3" t="str">
        <f t="shared" si="9"/>
        <v>___</v>
      </c>
      <c r="AC1176" s="3" t="str">
        <f t="shared" si="8"/>
        <v>____2</v>
      </c>
    </row>
    <row r="1177" spans="1:29" ht="14">
      <c r="A1177" s="23"/>
      <c r="B1177" s="23"/>
      <c r="C1177" s="23"/>
      <c r="D1177" s="23"/>
      <c r="E1177" s="23"/>
      <c r="F1177" s="23"/>
      <c r="G1177" s="23"/>
      <c r="H1177" s="22">
        <v>3</v>
      </c>
      <c r="I1177" s="23"/>
      <c r="J1177" s="23"/>
      <c r="K1177" s="23"/>
      <c r="L1177" s="23" t="s">
        <v>39</v>
      </c>
      <c r="M1177" s="22">
        <v>5.5</v>
      </c>
      <c r="N1177" s="22">
        <v>0</v>
      </c>
      <c r="O1177" s="22">
        <v>3</v>
      </c>
      <c r="P1177" s="23"/>
      <c r="Q1177" s="22">
        <v>2</v>
      </c>
      <c r="R1177" s="23"/>
      <c r="S1177" s="23"/>
      <c r="Z1177" s="23"/>
      <c r="AA1177" s="23"/>
      <c r="AB1177" s="3" t="str">
        <f t="shared" si="9"/>
        <v>___</v>
      </c>
      <c r="AC1177" s="3" t="str">
        <f t="shared" si="8"/>
        <v>____3</v>
      </c>
    </row>
    <row r="1178" spans="1:29" ht="14">
      <c r="A1178" s="22" t="s">
        <v>157</v>
      </c>
      <c r="B1178" s="23" t="s">
        <v>158</v>
      </c>
      <c r="C1178" s="22">
        <v>53</v>
      </c>
      <c r="D1178" s="23" t="s">
        <v>134</v>
      </c>
      <c r="E1178" s="23" t="s">
        <v>34</v>
      </c>
      <c r="F1178" s="23" t="s">
        <v>160</v>
      </c>
      <c r="G1178" s="23" t="s">
        <v>40</v>
      </c>
      <c r="H1178" s="22">
        <v>1</v>
      </c>
      <c r="I1178" s="22">
        <v>14</v>
      </c>
      <c r="J1178" s="22">
        <v>20.399999999999999</v>
      </c>
      <c r="K1178" s="22">
        <v>5</v>
      </c>
      <c r="L1178" s="23" t="s">
        <v>36</v>
      </c>
      <c r="M1178" s="22">
        <v>4.2</v>
      </c>
      <c r="N1178" s="22">
        <v>4</v>
      </c>
      <c r="O1178" s="22">
        <v>0</v>
      </c>
      <c r="P1178" s="23"/>
      <c r="Q1178" s="23"/>
      <c r="R1178" s="23"/>
      <c r="S1178" s="23"/>
      <c r="Z1178" s="23"/>
      <c r="AA1178" s="22">
        <v>180</v>
      </c>
      <c r="AB1178" s="3" t="str">
        <f t="shared" si="9"/>
        <v>ANO_0010_53_V1-C6_vm</v>
      </c>
      <c r="AC1178" s="3" t="str">
        <f t="shared" si="8"/>
        <v>ANO_0010_53_V1-C6_vm_1</v>
      </c>
    </row>
    <row r="1179" spans="1:29" ht="14">
      <c r="A1179" s="23"/>
      <c r="B1179" s="23"/>
      <c r="C1179" s="23"/>
      <c r="D1179" s="23"/>
      <c r="E1179" s="23"/>
      <c r="F1179" s="23"/>
      <c r="G1179" s="23"/>
      <c r="H1179" s="22">
        <v>2</v>
      </c>
      <c r="I1179" s="23"/>
      <c r="J1179" s="23"/>
      <c r="K1179" s="23"/>
      <c r="L1179" s="23" t="s">
        <v>38</v>
      </c>
      <c r="M1179" s="22">
        <v>2.7</v>
      </c>
      <c r="N1179" s="22">
        <v>2</v>
      </c>
      <c r="O1179" s="22">
        <v>1</v>
      </c>
      <c r="P1179" s="23"/>
      <c r="Q1179" s="23"/>
      <c r="R1179" s="23"/>
      <c r="S1179" s="23"/>
      <c r="Z1179" s="23"/>
      <c r="AA1179" s="23"/>
      <c r="AB1179" s="3" t="str">
        <f t="shared" si="9"/>
        <v>___</v>
      </c>
      <c r="AC1179" s="3" t="str">
        <f t="shared" si="8"/>
        <v>____2</v>
      </c>
    </row>
    <row r="1180" spans="1:29" ht="14">
      <c r="A1180" s="23"/>
      <c r="B1180" s="23"/>
      <c r="C1180" s="23"/>
      <c r="D1180" s="23"/>
      <c r="E1180" s="23"/>
      <c r="F1180" s="23"/>
      <c r="G1180" s="23"/>
      <c r="H1180" s="22">
        <v>3</v>
      </c>
      <c r="I1180" s="23"/>
      <c r="J1180" s="23"/>
      <c r="K1180" s="23"/>
      <c r="L1180" s="23" t="s">
        <v>39</v>
      </c>
      <c r="M1180" s="22">
        <v>4.9000000000000004</v>
      </c>
      <c r="N1180" s="22">
        <v>0</v>
      </c>
      <c r="O1180" s="22">
        <v>2</v>
      </c>
      <c r="P1180" s="23"/>
      <c r="Q1180" s="22">
        <v>2</v>
      </c>
      <c r="R1180" s="23"/>
      <c r="S1180" s="23"/>
      <c r="Z1180" s="23"/>
      <c r="AA1180" s="23"/>
      <c r="AB1180" s="3" t="str">
        <f t="shared" si="9"/>
        <v>___</v>
      </c>
      <c r="AC1180" s="3" t="str">
        <f t="shared" si="8"/>
        <v>____3</v>
      </c>
    </row>
    <row r="1181" spans="1:29" ht="14">
      <c r="A1181" s="22" t="s">
        <v>157</v>
      </c>
      <c r="B1181" s="23" t="s">
        <v>158</v>
      </c>
      <c r="C1181" s="22">
        <v>53</v>
      </c>
      <c r="D1181" s="23" t="s">
        <v>134</v>
      </c>
      <c r="E1181" s="23" t="s">
        <v>34</v>
      </c>
      <c r="F1181" s="23" t="s">
        <v>160</v>
      </c>
      <c r="G1181" s="23" t="s">
        <v>35</v>
      </c>
      <c r="H1181" s="22">
        <v>1</v>
      </c>
      <c r="I1181" s="22">
        <v>9</v>
      </c>
      <c r="J1181" s="22">
        <v>11.6</v>
      </c>
      <c r="K1181" s="22">
        <v>6</v>
      </c>
      <c r="L1181" s="23" t="s">
        <v>36</v>
      </c>
      <c r="M1181" s="22">
        <v>1.3</v>
      </c>
      <c r="N1181" s="22">
        <v>9</v>
      </c>
      <c r="O1181" s="22">
        <v>0</v>
      </c>
      <c r="P1181" s="23"/>
      <c r="Q1181" s="23"/>
      <c r="R1181" s="23"/>
      <c r="S1181" s="23"/>
      <c r="Z1181" s="23"/>
      <c r="AA1181" s="22">
        <v>181</v>
      </c>
      <c r="AB1181" s="3" t="str">
        <f t="shared" si="9"/>
        <v>ANO_0010_53_V1-C6_vv</v>
      </c>
      <c r="AC1181" s="3" t="str">
        <f t="shared" si="8"/>
        <v>ANO_0010_53_V1-C6_vv_1</v>
      </c>
    </row>
    <row r="1182" spans="1:29" ht="14">
      <c r="A1182" s="23"/>
      <c r="B1182" s="23"/>
      <c r="C1182" s="23"/>
      <c r="D1182" s="23"/>
      <c r="E1182" s="23"/>
      <c r="F1182" s="23"/>
      <c r="G1182" s="23"/>
      <c r="H1182" s="22">
        <v>2</v>
      </c>
      <c r="I1182" s="23"/>
      <c r="J1182" s="23"/>
      <c r="K1182" s="23"/>
      <c r="L1182" s="23" t="s">
        <v>38</v>
      </c>
      <c r="M1182" s="22">
        <v>3.8</v>
      </c>
      <c r="N1182" s="22">
        <v>11</v>
      </c>
      <c r="O1182" s="22">
        <v>1</v>
      </c>
      <c r="P1182" s="23"/>
      <c r="Q1182" s="23"/>
      <c r="R1182" s="23"/>
      <c r="S1182" s="23"/>
      <c r="Z1182" s="23"/>
      <c r="AA1182" s="23"/>
      <c r="AB1182" s="3" t="str">
        <f t="shared" si="9"/>
        <v>___</v>
      </c>
      <c r="AC1182" s="3" t="str">
        <f t="shared" si="8"/>
        <v>____2</v>
      </c>
    </row>
    <row r="1183" spans="1:29" ht="14">
      <c r="A1183" s="23"/>
      <c r="B1183" s="23"/>
      <c r="C1183" s="23"/>
      <c r="D1183" s="23"/>
      <c r="E1183" s="23"/>
      <c r="F1183" s="23"/>
      <c r="G1183" s="23"/>
      <c r="H1183" s="22">
        <v>3</v>
      </c>
      <c r="I1183" s="23"/>
      <c r="J1183" s="23"/>
      <c r="K1183" s="23"/>
      <c r="L1183" s="23" t="s">
        <v>39</v>
      </c>
      <c r="M1183" s="22">
        <v>2.1</v>
      </c>
      <c r="N1183" s="22">
        <v>1</v>
      </c>
      <c r="O1183" s="22">
        <v>6</v>
      </c>
      <c r="P1183" s="23"/>
      <c r="Q1183" s="23"/>
      <c r="R1183" s="23"/>
      <c r="S1183" s="23"/>
      <c r="Z1183" s="23"/>
      <c r="AA1183" s="23"/>
      <c r="AB1183" s="3" t="str">
        <f t="shared" si="9"/>
        <v>___</v>
      </c>
      <c r="AC1183" s="3" t="str">
        <f t="shared" si="8"/>
        <v>____3</v>
      </c>
    </row>
    <row r="1184" spans="1:29" ht="14">
      <c r="A1184" s="22" t="s">
        <v>157</v>
      </c>
      <c r="B1184" s="23" t="s">
        <v>158</v>
      </c>
      <c r="C1184" s="22">
        <v>53</v>
      </c>
      <c r="D1184" s="23" t="s">
        <v>134</v>
      </c>
      <c r="E1184" s="23" t="s">
        <v>34</v>
      </c>
      <c r="F1184" s="23" t="s">
        <v>160</v>
      </c>
      <c r="G1184" s="23" t="s">
        <v>35</v>
      </c>
      <c r="H1184" s="22">
        <v>1</v>
      </c>
      <c r="I1184" s="22">
        <v>7.5</v>
      </c>
      <c r="J1184" s="22">
        <v>10.1</v>
      </c>
      <c r="K1184" s="22">
        <v>5</v>
      </c>
      <c r="L1184" s="23" t="s">
        <v>36</v>
      </c>
      <c r="M1184" s="22">
        <v>1.7</v>
      </c>
      <c r="N1184" s="22">
        <v>7</v>
      </c>
      <c r="O1184" s="22">
        <v>1</v>
      </c>
      <c r="P1184" s="23"/>
      <c r="Q1184" s="23"/>
      <c r="R1184" s="23"/>
      <c r="S1184" s="23"/>
      <c r="Z1184" s="23"/>
      <c r="AA1184" s="22">
        <v>182</v>
      </c>
      <c r="AB1184" s="3" t="str">
        <f t="shared" si="9"/>
        <v>ANO_0010_53_V1-C6_vv</v>
      </c>
      <c r="AC1184" s="3" t="str">
        <f t="shared" si="8"/>
        <v>ANO_0010_53_V1-C6_vv_1</v>
      </c>
    </row>
    <row r="1185" spans="1:30" ht="14">
      <c r="A1185" s="23"/>
      <c r="B1185" s="23"/>
      <c r="C1185" s="23"/>
      <c r="D1185" s="23"/>
      <c r="E1185" s="23"/>
      <c r="F1185" s="23"/>
      <c r="G1185" s="23"/>
      <c r="H1185" s="22">
        <v>2</v>
      </c>
      <c r="I1185" s="23"/>
      <c r="J1185" s="23"/>
      <c r="K1185" s="23"/>
      <c r="L1185" s="23" t="s">
        <v>38</v>
      </c>
      <c r="M1185" s="22">
        <v>1.9</v>
      </c>
      <c r="N1185" s="22">
        <v>5</v>
      </c>
      <c r="O1185" s="22">
        <v>2</v>
      </c>
      <c r="P1185" s="23"/>
      <c r="Q1185" s="23"/>
      <c r="R1185" s="23"/>
      <c r="S1185" s="23"/>
      <c r="Z1185" s="23"/>
      <c r="AA1185" s="23"/>
      <c r="AB1185" s="3" t="str">
        <f t="shared" si="9"/>
        <v>___</v>
      </c>
      <c r="AC1185" s="3" t="str">
        <f t="shared" si="8"/>
        <v>____2</v>
      </c>
    </row>
    <row r="1186" spans="1:30" ht="14">
      <c r="A1186" s="23"/>
      <c r="B1186" s="23"/>
      <c r="C1186" s="23"/>
      <c r="D1186" s="23"/>
      <c r="E1186" s="23"/>
      <c r="F1186" s="23"/>
      <c r="G1186" s="23"/>
      <c r="H1186" s="22">
        <v>3</v>
      </c>
      <c r="I1186" s="23"/>
      <c r="J1186" s="23"/>
      <c r="K1186" s="23"/>
      <c r="L1186" s="23" t="s">
        <v>39</v>
      </c>
      <c r="M1186" s="22">
        <v>2.2000000000000002</v>
      </c>
      <c r="N1186" s="22">
        <v>5</v>
      </c>
      <c r="O1186" s="22">
        <v>2</v>
      </c>
      <c r="P1186" s="23"/>
      <c r="Q1186" s="23"/>
      <c r="R1186" s="23"/>
      <c r="S1186" s="23"/>
      <c r="Z1186" s="23"/>
      <c r="AA1186" s="23"/>
      <c r="AB1186" s="3" t="str">
        <f t="shared" si="9"/>
        <v>___</v>
      </c>
      <c r="AC1186" s="3" t="str">
        <f t="shared" si="8"/>
        <v>____3</v>
      </c>
    </row>
    <row r="1187" spans="1:30" ht="14">
      <c r="A1187" s="22" t="s">
        <v>157</v>
      </c>
      <c r="B1187" s="23" t="s">
        <v>158</v>
      </c>
      <c r="C1187" s="22">
        <v>53</v>
      </c>
      <c r="D1187" s="23" t="s">
        <v>134</v>
      </c>
      <c r="E1187" s="23" t="s">
        <v>34</v>
      </c>
      <c r="F1187" s="23" t="s">
        <v>160</v>
      </c>
      <c r="G1187" s="23" t="s">
        <v>35</v>
      </c>
      <c r="H1187" s="22">
        <v>1</v>
      </c>
      <c r="I1187" s="22">
        <v>11.5</v>
      </c>
      <c r="J1187" s="22">
        <v>13.5</v>
      </c>
      <c r="K1187" s="22">
        <v>5</v>
      </c>
      <c r="L1187" s="23" t="s">
        <v>36</v>
      </c>
      <c r="M1187" s="22">
        <v>1.6</v>
      </c>
      <c r="N1187" s="22">
        <v>10</v>
      </c>
      <c r="O1187" s="22">
        <v>0</v>
      </c>
      <c r="P1187" s="23"/>
      <c r="Q1187" s="23"/>
      <c r="R1187" s="23"/>
      <c r="S1187" s="23"/>
      <c r="Z1187" s="23"/>
      <c r="AA1187" s="22">
        <v>183</v>
      </c>
      <c r="AB1187" s="3" t="str">
        <f t="shared" si="9"/>
        <v>ANO_0010_53_V1-C6_vv</v>
      </c>
      <c r="AC1187" s="3" t="str">
        <f t="shared" si="8"/>
        <v>ANO_0010_53_V1-C6_vv_1</v>
      </c>
    </row>
    <row r="1188" spans="1:30" ht="14">
      <c r="A1188" s="23"/>
      <c r="B1188" s="23"/>
      <c r="C1188" s="23"/>
      <c r="D1188" s="23"/>
      <c r="E1188" s="23"/>
      <c r="F1188" s="23"/>
      <c r="G1188" s="23"/>
      <c r="H1188" s="22">
        <v>2</v>
      </c>
      <c r="I1188" s="23"/>
      <c r="J1188" s="23"/>
      <c r="K1188" s="23"/>
      <c r="L1188" s="23" t="s">
        <v>38</v>
      </c>
      <c r="M1188" s="22">
        <v>2.7</v>
      </c>
      <c r="N1188" s="22">
        <v>8</v>
      </c>
      <c r="O1188" s="22">
        <v>1</v>
      </c>
      <c r="P1188" s="23"/>
      <c r="Q1188" s="23"/>
      <c r="R1188" s="23"/>
      <c r="S1188" s="23"/>
      <c r="Z1188" s="23"/>
      <c r="AA1188" s="23"/>
      <c r="AB1188" s="3" t="str">
        <f t="shared" si="9"/>
        <v>___</v>
      </c>
      <c r="AC1188" s="3" t="str">
        <f t="shared" si="8"/>
        <v>____2</v>
      </c>
    </row>
    <row r="1189" spans="1:30" ht="14">
      <c r="A1189" s="23"/>
      <c r="B1189" s="23"/>
      <c r="C1189" s="23"/>
      <c r="D1189" s="23"/>
      <c r="E1189" s="23"/>
      <c r="F1189" s="23"/>
      <c r="G1189" s="23"/>
      <c r="H1189" s="22">
        <v>3</v>
      </c>
      <c r="I1189" s="23"/>
      <c r="J1189" s="23"/>
      <c r="K1189" s="23"/>
      <c r="L1189" s="23" t="s">
        <v>39</v>
      </c>
      <c r="M1189" s="22">
        <v>4.2</v>
      </c>
      <c r="N1189" s="22">
        <v>4</v>
      </c>
      <c r="O1189" s="22">
        <v>4</v>
      </c>
      <c r="P1189" s="23"/>
      <c r="Q1189" s="22">
        <v>1</v>
      </c>
      <c r="R1189" s="23"/>
      <c r="S1189" s="23"/>
      <c r="Z1189" s="23"/>
      <c r="AA1189" s="23"/>
      <c r="AB1189" s="3" t="str">
        <f t="shared" si="9"/>
        <v>___</v>
      </c>
      <c r="AC1189" s="3" t="str">
        <f t="shared" si="8"/>
        <v>____3</v>
      </c>
    </row>
    <row r="1190" spans="1:30" ht="14">
      <c r="A1190" s="24" t="s">
        <v>161</v>
      </c>
      <c r="B1190" s="25" t="s">
        <v>162</v>
      </c>
      <c r="C1190" s="24">
        <v>55</v>
      </c>
      <c r="D1190" s="26" t="s">
        <v>163</v>
      </c>
      <c r="E1190" s="27" t="s">
        <v>34</v>
      </c>
      <c r="F1190" s="27" t="s">
        <v>159</v>
      </c>
      <c r="G1190" s="27" t="s">
        <v>35</v>
      </c>
      <c r="H1190" s="24">
        <v>1</v>
      </c>
      <c r="I1190" s="24">
        <v>9.1</v>
      </c>
      <c r="J1190" s="24">
        <v>9.1</v>
      </c>
      <c r="K1190" s="24">
        <v>3</v>
      </c>
      <c r="L1190" s="27" t="s">
        <v>36</v>
      </c>
      <c r="M1190" s="24">
        <v>25</v>
      </c>
      <c r="N1190" s="24">
        <v>10</v>
      </c>
      <c r="O1190" s="24">
        <v>10</v>
      </c>
      <c r="P1190" s="24">
        <v>0</v>
      </c>
      <c r="Q1190" s="24">
        <v>0</v>
      </c>
      <c r="R1190" s="24">
        <v>0</v>
      </c>
      <c r="S1190" s="28"/>
      <c r="Z1190" s="27" t="s">
        <v>164</v>
      </c>
      <c r="AA1190" s="23"/>
      <c r="AB1190" s="3" t="str">
        <f t="shared" si="9"/>
        <v>ANO_0416_55_T3-C4_vv</v>
      </c>
      <c r="AC1190" s="3" t="str">
        <f t="shared" si="8"/>
        <v>ANO_0416_55_T3-C4_vv_1</v>
      </c>
      <c r="AD1190" s="3" t="s">
        <v>49</v>
      </c>
    </row>
    <row r="1191" spans="1:30" ht="14">
      <c r="A1191" s="26"/>
      <c r="B1191" s="5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 t="s">
        <v>38</v>
      </c>
      <c r="M1191" s="28">
        <v>30.4</v>
      </c>
      <c r="N1191" s="28">
        <v>7</v>
      </c>
      <c r="O1191" s="28">
        <v>11</v>
      </c>
      <c r="P1191" s="28">
        <v>0</v>
      </c>
      <c r="Q1191" s="28">
        <v>0</v>
      </c>
      <c r="R1191" s="28">
        <v>0</v>
      </c>
      <c r="S1191" s="28"/>
      <c r="Z1191" s="26"/>
      <c r="AA1191" s="23"/>
      <c r="AB1191" s="3" t="str">
        <f t="shared" si="9"/>
        <v>___</v>
      </c>
      <c r="AC1191" s="3" t="str">
        <f t="shared" si="8"/>
        <v>____</v>
      </c>
    </row>
    <row r="1192" spans="1:30" ht="14">
      <c r="A1192" s="26"/>
      <c r="B1192" s="5"/>
      <c r="C1192" s="26"/>
      <c r="D1192" s="29"/>
      <c r="E1192" s="26"/>
      <c r="F1192" s="26"/>
      <c r="G1192" s="26"/>
      <c r="H1192" s="26"/>
      <c r="I1192" s="26"/>
      <c r="J1192" s="26"/>
      <c r="K1192" s="26"/>
      <c r="L1192" s="26" t="s">
        <v>39</v>
      </c>
      <c r="M1192" s="28">
        <v>34.299999999999997</v>
      </c>
      <c r="N1192" s="28">
        <v>0</v>
      </c>
      <c r="O1192" s="28">
        <v>6</v>
      </c>
      <c r="P1192" s="28">
        <v>0</v>
      </c>
      <c r="Q1192" s="28">
        <v>0</v>
      </c>
      <c r="R1192" s="28">
        <v>0</v>
      </c>
      <c r="S1192" s="28"/>
      <c r="Z1192" s="26"/>
      <c r="AA1192" s="23"/>
      <c r="AB1192" s="3" t="str">
        <f t="shared" si="9"/>
        <v>___</v>
      </c>
      <c r="AC1192" s="3" t="str">
        <f t="shared" si="8"/>
        <v>____</v>
      </c>
    </row>
    <row r="1193" spans="1:30" ht="14">
      <c r="A1193" s="24" t="s">
        <v>161</v>
      </c>
      <c r="B1193" s="25" t="s">
        <v>162</v>
      </c>
      <c r="C1193" s="24">
        <v>55</v>
      </c>
      <c r="D1193" s="26" t="s">
        <v>163</v>
      </c>
      <c r="E1193" s="27" t="s">
        <v>34</v>
      </c>
      <c r="F1193" s="27" t="s">
        <v>159</v>
      </c>
      <c r="G1193" s="27" t="s">
        <v>35</v>
      </c>
      <c r="H1193" s="24">
        <v>2</v>
      </c>
      <c r="I1193" s="24">
        <v>7.7</v>
      </c>
      <c r="J1193" s="24">
        <v>8.3000000000000007</v>
      </c>
      <c r="K1193" s="24">
        <v>3</v>
      </c>
      <c r="L1193" s="27" t="s">
        <v>36</v>
      </c>
      <c r="M1193" s="24">
        <v>27.7</v>
      </c>
      <c r="N1193" s="24">
        <v>12</v>
      </c>
      <c r="O1193" s="24">
        <v>12</v>
      </c>
      <c r="P1193" s="24">
        <v>0</v>
      </c>
      <c r="Q1193" s="24">
        <v>0</v>
      </c>
      <c r="R1193" s="24">
        <v>0</v>
      </c>
      <c r="S1193" s="28"/>
      <c r="Z1193" s="27"/>
      <c r="AA1193" s="23"/>
      <c r="AB1193" s="3" t="str">
        <f t="shared" si="9"/>
        <v>ANO_0416_55_T3-C4_vv</v>
      </c>
      <c r="AC1193" s="3" t="str">
        <f t="shared" si="8"/>
        <v>ANO_0416_55_T3-C4_vv_2</v>
      </c>
      <c r="AD1193" s="3" t="s">
        <v>49</v>
      </c>
    </row>
    <row r="1194" spans="1:30" ht="14">
      <c r="A1194" s="26"/>
      <c r="B1194" s="5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 t="s">
        <v>38</v>
      </c>
      <c r="M1194" s="28">
        <v>26.5</v>
      </c>
      <c r="N1194" s="28">
        <v>10</v>
      </c>
      <c r="O1194" s="28">
        <v>12</v>
      </c>
      <c r="P1194" s="28">
        <v>3</v>
      </c>
      <c r="Q1194" s="28">
        <v>3</v>
      </c>
      <c r="R1194" s="28">
        <v>0</v>
      </c>
      <c r="S1194" s="28"/>
      <c r="Z1194" s="26" t="s">
        <v>165</v>
      </c>
      <c r="AA1194" s="23"/>
      <c r="AB1194" s="3" t="str">
        <f t="shared" si="9"/>
        <v>___</v>
      </c>
      <c r="AC1194" s="3" t="str">
        <f t="shared" si="8"/>
        <v>____</v>
      </c>
    </row>
    <row r="1195" spans="1:30" ht="14">
      <c r="A1195" s="29"/>
      <c r="B1195" s="30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 t="s">
        <v>39</v>
      </c>
      <c r="M1195" s="31">
        <v>34.299999999999997</v>
      </c>
      <c r="N1195" s="31">
        <v>3</v>
      </c>
      <c r="O1195" s="31">
        <v>5</v>
      </c>
      <c r="P1195" s="31">
        <v>2</v>
      </c>
      <c r="Q1195" s="31">
        <v>2</v>
      </c>
      <c r="R1195" s="31">
        <v>0</v>
      </c>
      <c r="S1195" s="28"/>
      <c r="Z1195" s="29"/>
      <c r="AA1195" s="23"/>
      <c r="AB1195" s="3" t="str">
        <f t="shared" si="9"/>
        <v>___</v>
      </c>
      <c r="AC1195" s="3" t="str">
        <f t="shared" si="8"/>
        <v>____</v>
      </c>
    </row>
    <row r="1196" spans="1:30" ht="14">
      <c r="A1196" s="28" t="s">
        <v>161</v>
      </c>
      <c r="B1196" s="5" t="s">
        <v>162</v>
      </c>
      <c r="C1196" s="28">
        <v>55</v>
      </c>
      <c r="D1196" s="26" t="s">
        <v>163</v>
      </c>
      <c r="E1196" s="26" t="s">
        <v>34</v>
      </c>
      <c r="F1196" s="26" t="s">
        <v>159</v>
      </c>
      <c r="G1196" s="26" t="s">
        <v>35</v>
      </c>
      <c r="H1196" s="28">
        <v>3</v>
      </c>
      <c r="I1196" s="28">
        <v>6.5</v>
      </c>
      <c r="J1196" s="28">
        <v>10.1</v>
      </c>
      <c r="K1196" s="28">
        <v>3</v>
      </c>
      <c r="L1196" s="26" t="s">
        <v>36</v>
      </c>
      <c r="M1196" s="28">
        <v>32</v>
      </c>
      <c r="N1196" s="28">
        <v>12</v>
      </c>
      <c r="O1196" s="28">
        <v>12</v>
      </c>
      <c r="P1196" s="28">
        <v>0</v>
      </c>
      <c r="Q1196" s="28">
        <v>0</v>
      </c>
      <c r="R1196" s="28">
        <v>0</v>
      </c>
      <c r="S1196" s="28"/>
      <c r="Z1196" s="26"/>
      <c r="AA1196" s="23"/>
      <c r="AB1196" s="3" t="str">
        <f t="shared" si="9"/>
        <v>ANO_0416_55_T3-C4_vv</v>
      </c>
      <c r="AC1196" s="3" t="str">
        <f t="shared" si="8"/>
        <v>ANO_0416_55_T3-C4_vv_3</v>
      </c>
      <c r="AD1196" s="3" t="s">
        <v>49</v>
      </c>
    </row>
    <row r="1197" spans="1:30" ht="14">
      <c r="A1197" s="26"/>
      <c r="B1197" s="5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 t="s">
        <v>38</v>
      </c>
      <c r="M1197" s="28">
        <v>41.4</v>
      </c>
      <c r="N1197" s="28">
        <v>7</v>
      </c>
      <c r="O1197" s="28">
        <v>9</v>
      </c>
      <c r="P1197" s="28">
        <v>0</v>
      </c>
      <c r="Q1197" s="28">
        <v>0</v>
      </c>
      <c r="R1197" s="28">
        <v>0</v>
      </c>
      <c r="S1197" s="28"/>
      <c r="Z1197" s="26"/>
      <c r="AA1197" s="23"/>
      <c r="AB1197" s="3" t="str">
        <f t="shared" si="9"/>
        <v>___</v>
      </c>
      <c r="AC1197" s="3" t="str">
        <f t="shared" si="8"/>
        <v>____</v>
      </c>
    </row>
    <row r="1198" spans="1:30" ht="14">
      <c r="A1198" s="29"/>
      <c r="B1198" s="30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 t="s">
        <v>39</v>
      </c>
      <c r="M1198" s="31">
        <v>31.8</v>
      </c>
      <c r="N1198" s="31">
        <v>1</v>
      </c>
      <c r="O1198" s="31">
        <v>5</v>
      </c>
      <c r="P1198" s="31">
        <v>0</v>
      </c>
      <c r="Q1198" s="31">
        <v>0</v>
      </c>
      <c r="R1198" s="31">
        <v>0</v>
      </c>
      <c r="S1198" s="28"/>
      <c r="Z1198" s="29"/>
      <c r="AA1198" s="23"/>
      <c r="AB1198" s="3" t="str">
        <f t="shared" si="9"/>
        <v>___</v>
      </c>
      <c r="AC1198" s="3" t="str">
        <f t="shared" si="8"/>
        <v>____</v>
      </c>
    </row>
    <row r="1199" spans="1:30" ht="14">
      <c r="A1199" s="28" t="s">
        <v>161</v>
      </c>
      <c r="B1199" s="5" t="s">
        <v>162</v>
      </c>
      <c r="C1199" s="28">
        <v>55</v>
      </c>
      <c r="D1199" s="26" t="s">
        <v>163</v>
      </c>
      <c r="E1199" s="26" t="s">
        <v>34</v>
      </c>
      <c r="F1199" s="26" t="s">
        <v>159</v>
      </c>
      <c r="G1199" s="26" t="s">
        <v>40</v>
      </c>
      <c r="H1199" s="28">
        <v>1</v>
      </c>
      <c r="I1199" s="28">
        <v>9.8000000000000007</v>
      </c>
      <c r="J1199" s="28">
        <v>14.9</v>
      </c>
      <c r="K1199" s="28">
        <v>5</v>
      </c>
      <c r="L1199" s="26" t="s">
        <v>36</v>
      </c>
      <c r="M1199" s="28">
        <v>23.5</v>
      </c>
      <c r="N1199" s="28">
        <v>4</v>
      </c>
      <c r="O1199" s="28">
        <v>4</v>
      </c>
      <c r="P1199" s="28">
        <v>1</v>
      </c>
      <c r="Q1199" s="28">
        <v>0</v>
      </c>
      <c r="R1199" s="28">
        <v>0</v>
      </c>
      <c r="S1199" s="28"/>
      <c r="Z1199" s="26"/>
      <c r="AA1199" s="23"/>
      <c r="AB1199" s="3" t="str">
        <f t="shared" si="9"/>
        <v>ANO_0416_55_T3-C4_vm</v>
      </c>
      <c r="AC1199" s="3" t="str">
        <f t="shared" si="8"/>
        <v>ANO_0416_55_T3-C4_vm_1</v>
      </c>
      <c r="AD1199" s="3" t="s">
        <v>37</v>
      </c>
    </row>
    <row r="1200" spans="1:30" ht="14">
      <c r="A1200" s="28"/>
      <c r="B1200" s="5"/>
      <c r="C1200" s="28"/>
      <c r="D1200" s="26"/>
      <c r="E1200" s="26"/>
      <c r="F1200" s="26"/>
      <c r="G1200" s="26"/>
      <c r="H1200" s="28"/>
      <c r="I1200" s="28"/>
      <c r="J1200" s="28"/>
      <c r="K1200" s="28"/>
      <c r="L1200" s="26" t="s">
        <v>38</v>
      </c>
      <c r="M1200" s="28">
        <v>29.8</v>
      </c>
      <c r="N1200" s="28">
        <v>0</v>
      </c>
      <c r="O1200" s="28">
        <v>3</v>
      </c>
      <c r="P1200" s="28">
        <v>3</v>
      </c>
      <c r="Q1200" s="28">
        <v>7</v>
      </c>
      <c r="R1200" s="28">
        <v>0</v>
      </c>
      <c r="S1200" s="28"/>
      <c r="Z1200" s="26"/>
      <c r="AA1200" s="23"/>
      <c r="AB1200" s="3" t="str">
        <f t="shared" si="9"/>
        <v>___</v>
      </c>
      <c r="AC1200" s="3" t="str">
        <f t="shared" si="8"/>
        <v>____</v>
      </c>
    </row>
    <row r="1201" spans="1:30" ht="14">
      <c r="A1201" s="29"/>
      <c r="B1201" s="30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 t="s">
        <v>39</v>
      </c>
      <c r="M1201" s="31">
        <v>45.1</v>
      </c>
      <c r="N1201" s="31">
        <v>0</v>
      </c>
      <c r="O1201" s="31">
        <v>4</v>
      </c>
      <c r="P1201" s="31">
        <v>0</v>
      </c>
      <c r="Q1201" s="31">
        <v>0</v>
      </c>
      <c r="R1201" s="31">
        <v>0</v>
      </c>
      <c r="S1201" s="28"/>
      <c r="Z1201" s="29"/>
      <c r="AA1201" s="23"/>
      <c r="AB1201" s="3" t="str">
        <f t="shared" si="9"/>
        <v>___</v>
      </c>
      <c r="AC1201" s="3" t="str">
        <f t="shared" si="8"/>
        <v>____</v>
      </c>
    </row>
    <row r="1202" spans="1:30" ht="14">
      <c r="A1202" s="28" t="s">
        <v>161</v>
      </c>
      <c r="B1202" s="5" t="s">
        <v>162</v>
      </c>
      <c r="C1202" s="28">
        <v>55</v>
      </c>
      <c r="D1202" s="26" t="s">
        <v>163</v>
      </c>
      <c r="E1202" s="26" t="s">
        <v>34</v>
      </c>
      <c r="F1202" s="26" t="s">
        <v>159</v>
      </c>
      <c r="G1202" s="26" t="s">
        <v>40</v>
      </c>
      <c r="H1202" s="28">
        <v>2</v>
      </c>
      <c r="I1202" s="28">
        <v>15.8</v>
      </c>
      <c r="J1202" s="28">
        <v>16.2</v>
      </c>
      <c r="K1202" s="28">
        <v>4</v>
      </c>
      <c r="L1202" s="26" t="s">
        <v>36</v>
      </c>
      <c r="M1202" s="28">
        <v>20.100000000000001</v>
      </c>
      <c r="N1202" s="28">
        <v>4</v>
      </c>
      <c r="O1202" s="28">
        <v>5</v>
      </c>
      <c r="P1202" s="28">
        <v>1</v>
      </c>
      <c r="Q1202" s="28">
        <v>4</v>
      </c>
      <c r="R1202" s="28">
        <v>0</v>
      </c>
      <c r="S1202" s="28"/>
      <c r="Z1202" s="26" t="s">
        <v>166</v>
      </c>
      <c r="AA1202" s="23"/>
      <c r="AB1202" s="3" t="str">
        <f t="shared" si="9"/>
        <v>ANO_0416_55_T3-C4_vm</v>
      </c>
      <c r="AC1202" s="3" t="str">
        <f t="shared" si="8"/>
        <v>ANO_0416_55_T3-C4_vm_2</v>
      </c>
      <c r="AD1202" s="3" t="s">
        <v>37</v>
      </c>
    </row>
    <row r="1203" spans="1:30" ht="14">
      <c r="A1203" s="28"/>
      <c r="B1203" s="5"/>
      <c r="C1203" s="28"/>
      <c r="D1203" s="26"/>
      <c r="E1203" s="26"/>
      <c r="F1203" s="26"/>
      <c r="G1203" s="26"/>
      <c r="H1203" s="28"/>
      <c r="I1203" s="28"/>
      <c r="J1203" s="28"/>
      <c r="K1203" s="28"/>
      <c r="L1203" s="26" t="s">
        <v>38</v>
      </c>
      <c r="M1203" s="28">
        <v>34.299999999999997</v>
      </c>
      <c r="N1203" s="28">
        <v>0</v>
      </c>
      <c r="O1203" s="28">
        <v>3</v>
      </c>
      <c r="P1203" s="28">
        <v>3</v>
      </c>
      <c r="Q1203" s="28">
        <v>6</v>
      </c>
      <c r="R1203" s="28">
        <v>0</v>
      </c>
      <c r="S1203" s="28"/>
      <c r="Z1203" s="26"/>
      <c r="AA1203" s="23"/>
      <c r="AB1203" s="3" t="str">
        <f t="shared" si="9"/>
        <v>___</v>
      </c>
      <c r="AC1203" s="3" t="str">
        <f t="shared" si="8"/>
        <v>____</v>
      </c>
    </row>
    <row r="1204" spans="1:30" ht="14">
      <c r="A1204" s="29"/>
      <c r="B1204" s="30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 t="s">
        <v>39</v>
      </c>
      <c r="M1204" s="31">
        <v>53.8</v>
      </c>
      <c r="N1204" s="31">
        <v>0</v>
      </c>
      <c r="O1204" s="31">
        <v>1</v>
      </c>
      <c r="P1204" s="31">
        <v>3</v>
      </c>
      <c r="Q1204" s="31">
        <v>7</v>
      </c>
      <c r="R1204" s="31">
        <v>0</v>
      </c>
      <c r="S1204" s="28"/>
      <c r="Z1204" s="29"/>
      <c r="AA1204" s="23"/>
      <c r="AB1204" s="3" t="str">
        <f t="shared" si="9"/>
        <v>___</v>
      </c>
      <c r="AC1204" s="3" t="str">
        <f t="shared" si="8"/>
        <v>____</v>
      </c>
    </row>
    <row r="1205" spans="1:30" ht="14">
      <c r="A1205" s="28" t="s">
        <v>161</v>
      </c>
      <c r="B1205" s="5" t="s">
        <v>162</v>
      </c>
      <c r="C1205" s="28">
        <v>55</v>
      </c>
      <c r="D1205" s="26" t="s">
        <v>163</v>
      </c>
      <c r="E1205" s="26" t="s">
        <v>34</v>
      </c>
      <c r="F1205" s="26" t="s">
        <v>159</v>
      </c>
      <c r="G1205" s="26" t="s">
        <v>40</v>
      </c>
      <c r="H1205" s="28">
        <v>3</v>
      </c>
      <c r="I1205" s="28">
        <v>10.8</v>
      </c>
      <c r="J1205" s="28">
        <v>17.5</v>
      </c>
      <c r="K1205" s="28">
        <v>4</v>
      </c>
      <c r="L1205" s="26" t="s">
        <v>36</v>
      </c>
      <c r="M1205" s="28">
        <v>46.7</v>
      </c>
      <c r="N1205" s="28">
        <v>4</v>
      </c>
      <c r="O1205" s="28">
        <v>7</v>
      </c>
      <c r="P1205" s="28">
        <v>1</v>
      </c>
      <c r="Q1205" s="28">
        <v>1</v>
      </c>
      <c r="R1205" s="28">
        <v>0</v>
      </c>
      <c r="S1205" s="28"/>
      <c r="Z1205" s="26" t="s">
        <v>166</v>
      </c>
      <c r="AA1205" s="23"/>
      <c r="AB1205" s="3" t="str">
        <f t="shared" si="9"/>
        <v>ANO_0416_55_T3-C4_vm</v>
      </c>
      <c r="AC1205" s="3" t="str">
        <f t="shared" si="8"/>
        <v>ANO_0416_55_T3-C4_vm_3</v>
      </c>
      <c r="AD1205" s="3" t="s">
        <v>37</v>
      </c>
    </row>
    <row r="1206" spans="1:30" ht="14">
      <c r="A1206" s="28"/>
      <c r="B1206" s="5"/>
      <c r="C1206" s="28"/>
      <c r="D1206" s="26"/>
      <c r="E1206" s="26"/>
      <c r="F1206" s="26"/>
      <c r="G1206" s="26"/>
      <c r="H1206" s="28"/>
      <c r="I1206" s="28"/>
      <c r="J1206" s="28"/>
      <c r="K1206" s="28"/>
      <c r="L1206" s="26" t="s">
        <v>38</v>
      </c>
      <c r="M1206" s="28">
        <v>34.6</v>
      </c>
      <c r="N1206" s="28">
        <v>0</v>
      </c>
      <c r="O1206" s="28">
        <v>3</v>
      </c>
      <c r="P1206" s="28">
        <v>2</v>
      </c>
      <c r="Q1206" s="28">
        <v>8</v>
      </c>
      <c r="R1206" s="28">
        <v>0</v>
      </c>
      <c r="S1206" s="28"/>
      <c r="Z1206" s="26"/>
      <c r="AA1206" s="23"/>
      <c r="AB1206" s="3" t="str">
        <f t="shared" si="9"/>
        <v>___</v>
      </c>
      <c r="AC1206" s="3" t="str">
        <f t="shared" si="8"/>
        <v>____</v>
      </c>
    </row>
    <row r="1207" spans="1:30" ht="14">
      <c r="A1207" s="29"/>
      <c r="B1207" s="30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 t="s">
        <v>39</v>
      </c>
      <c r="M1207" s="31">
        <v>61.2</v>
      </c>
      <c r="N1207" s="31">
        <v>0</v>
      </c>
      <c r="O1207" s="31">
        <v>2</v>
      </c>
      <c r="P1207" s="31">
        <v>2</v>
      </c>
      <c r="Q1207" s="31">
        <v>10</v>
      </c>
      <c r="R1207" s="31">
        <v>1</v>
      </c>
      <c r="S1207" s="28"/>
      <c r="Z1207" s="29"/>
      <c r="AA1207" s="23"/>
      <c r="AB1207" s="3" t="str">
        <f t="shared" si="9"/>
        <v>___</v>
      </c>
      <c r="AC1207" s="3" t="str">
        <f t="shared" si="8"/>
        <v>____</v>
      </c>
    </row>
    <row r="1208" spans="1:30" ht="14">
      <c r="A1208" s="28" t="s">
        <v>161</v>
      </c>
      <c r="B1208" s="5" t="s">
        <v>162</v>
      </c>
      <c r="C1208" s="28">
        <v>24</v>
      </c>
      <c r="D1208" s="26" t="s">
        <v>163</v>
      </c>
      <c r="E1208" s="26" t="s">
        <v>34</v>
      </c>
      <c r="F1208" s="26" t="s">
        <v>167</v>
      </c>
      <c r="G1208" s="26" t="s">
        <v>40</v>
      </c>
      <c r="H1208" s="28">
        <v>1</v>
      </c>
      <c r="I1208" s="28">
        <v>6.1</v>
      </c>
      <c r="J1208" s="28">
        <v>7.4</v>
      </c>
      <c r="K1208" s="28">
        <v>2</v>
      </c>
      <c r="L1208" s="26" t="s">
        <v>36</v>
      </c>
      <c r="M1208" s="28">
        <v>20.100000000000001</v>
      </c>
      <c r="N1208" s="28">
        <v>5</v>
      </c>
      <c r="O1208" s="28">
        <v>5</v>
      </c>
      <c r="P1208" s="28">
        <v>0</v>
      </c>
      <c r="Q1208" s="28">
        <v>0</v>
      </c>
      <c r="R1208" s="28">
        <v>0</v>
      </c>
      <c r="S1208" s="28"/>
      <c r="Z1208" s="26"/>
      <c r="AA1208" s="23"/>
      <c r="AB1208" s="3" t="str">
        <f t="shared" si="9"/>
        <v>ANO_0416_24_T3-C1_vm</v>
      </c>
      <c r="AC1208" s="3" t="str">
        <f t="shared" si="8"/>
        <v>ANO_0416_24_T3-C1_vm_1</v>
      </c>
      <c r="AD1208" s="3" t="s">
        <v>37</v>
      </c>
    </row>
    <row r="1209" spans="1:30" ht="14">
      <c r="A1209" s="26"/>
      <c r="B1209" s="5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 t="s">
        <v>38</v>
      </c>
      <c r="M1209" s="28">
        <v>55.4</v>
      </c>
      <c r="N1209" s="28">
        <v>0</v>
      </c>
      <c r="O1209" s="28">
        <v>6</v>
      </c>
      <c r="P1209" s="28">
        <v>2</v>
      </c>
      <c r="Q1209" s="28">
        <v>2</v>
      </c>
      <c r="R1209" s="28">
        <v>0</v>
      </c>
      <c r="S1209" s="28"/>
      <c r="Z1209" s="26"/>
      <c r="AA1209" s="23"/>
      <c r="AB1209" s="3" t="str">
        <f t="shared" si="9"/>
        <v>___</v>
      </c>
      <c r="AC1209" s="3" t="str">
        <f t="shared" si="8"/>
        <v>____</v>
      </c>
    </row>
    <row r="1210" spans="1:30" ht="14">
      <c r="A1210" s="29"/>
      <c r="B1210" s="30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 t="s">
        <v>39</v>
      </c>
      <c r="M1210" s="31" t="s">
        <v>47</v>
      </c>
      <c r="N1210" s="31" t="s">
        <v>47</v>
      </c>
      <c r="O1210" s="31" t="s">
        <v>47</v>
      </c>
      <c r="P1210" s="31" t="s">
        <v>47</v>
      </c>
      <c r="Q1210" s="31" t="s">
        <v>47</v>
      </c>
      <c r="R1210" s="31" t="s">
        <v>47</v>
      </c>
      <c r="S1210" s="28"/>
      <c r="Z1210" s="29"/>
      <c r="AA1210" s="23"/>
      <c r="AB1210" s="3" t="str">
        <f t="shared" si="9"/>
        <v>___</v>
      </c>
      <c r="AC1210" s="3" t="str">
        <f t="shared" si="8"/>
        <v>____</v>
      </c>
    </row>
    <row r="1211" spans="1:30" ht="14">
      <c r="A1211" s="28" t="s">
        <v>161</v>
      </c>
      <c r="B1211" s="5" t="s">
        <v>162</v>
      </c>
      <c r="C1211" s="28">
        <v>24</v>
      </c>
      <c r="D1211" s="26" t="s">
        <v>163</v>
      </c>
      <c r="E1211" s="26" t="s">
        <v>34</v>
      </c>
      <c r="F1211" s="26" t="s">
        <v>167</v>
      </c>
      <c r="G1211" s="26" t="s">
        <v>40</v>
      </c>
      <c r="H1211" s="28">
        <v>2</v>
      </c>
      <c r="I1211" s="28">
        <v>7.1</v>
      </c>
      <c r="J1211" s="28">
        <v>14.5</v>
      </c>
      <c r="K1211" s="28">
        <v>4</v>
      </c>
      <c r="L1211" s="26" t="s">
        <v>36</v>
      </c>
      <c r="M1211" s="28">
        <v>26.2</v>
      </c>
      <c r="N1211" s="28">
        <v>6</v>
      </c>
      <c r="O1211" s="28">
        <v>6</v>
      </c>
      <c r="P1211" s="28">
        <v>0</v>
      </c>
      <c r="Q1211" s="28">
        <v>0</v>
      </c>
      <c r="R1211" s="28">
        <v>0</v>
      </c>
      <c r="S1211" s="28"/>
      <c r="Z1211" s="26"/>
      <c r="AA1211" s="23"/>
      <c r="AB1211" s="3" t="str">
        <f t="shared" si="9"/>
        <v>ANO_0416_24_T3-C1_vm</v>
      </c>
      <c r="AC1211" s="3" t="str">
        <f t="shared" si="8"/>
        <v>ANO_0416_24_T3-C1_vm_2</v>
      </c>
      <c r="AD1211" s="3" t="s">
        <v>37</v>
      </c>
    </row>
    <row r="1212" spans="1:30" ht="14">
      <c r="A1212" s="26"/>
      <c r="B1212" s="5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 t="s">
        <v>38</v>
      </c>
      <c r="M1212" s="28">
        <v>41</v>
      </c>
      <c r="N1212" s="28">
        <v>0</v>
      </c>
      <c r="O1212" s="28">
        <v>4</v>
      </c>
      <c r="P1212" s="28">
        <v>2</v>
      </c>
      <c r="Q1212" s="28">
        <v>2</v>
      </c>
      <c r="R1212" s="28">
        <v>0</v>
      </c>
      <c r="S1212" s="28"/>
      <c r="Z1212" s="26"/>
      <c r="AA1212" s="23"/>
      <c r="AB1212" s="3" t="str">
        <f t="shared" si="9"/>
        <v>___</v>
      </c>
      <c r="AC1212" s="3" t="str">
        <f t="shared" si="8"/>
        <v>____</v>
      </c>
    </row>
    <row r="1213" spans="1:30" ht="14">
      <c r="A1213" s="29"/>
      <c r="B1213" s="30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 t="s">
        <v>39</v>
      </c>
      <c r="M1213" s="31">
        <v>27.2</v>
      </c>
      <c r="N1213" s="31">
        <v>0</v>
      </c>
      <c r="O1213" s="31">
        <v>3</v>
      </c>
      <c r="P1213" s="31">
        <v>3</v>
      </c>
      <c r="Q1213" s="31">
        <v>4</v>
      </c>
      <c r="R1213" s="31">
        <v>0</v>
      </c>
      <c r="S1213" s="28"/>
      <c r="Z1213" s="29"/>
      <c r="AA1213" s="23"/>
      <c r="AB1213" s="3" t="str">
        <f t="shared" si="9"/>
        <v>___</v>
      </c>
      <c r="AC1213" s="3" t="str">
        <f t="shared" si="8"/>
        <v>____</v>
      </c>
    </row>
    <row r="1214" spans="1:30" ht="14">
      <c r="A1214" s="28" t="s">
        <v>161</v>
      </c>
      <c r="B1214" s="5" t="s">
        <v>162</v>
      </c>
      <c r="C1214" s="28">
        <v>24</v>
      </c>
      <c r="D1214" s="26" t="s">
        <v>163</v>
      </c>
      <c r="E1214" s="26" t="s">
        <v>34</v>
      </c>
      <c r="F1214" s="26" t="s">
        <v>167</v>
      </c>
      <c r="G1214" s="26" t="s">
        <v>40</v>
      </c>
      <c r="H1214" s="28">
        <v>3</v>
      </c>
      <c r="I1214" s="28">
        <v>4.3</v>
      </c>
      <c r="J1214" s="28">
        <v>11.2</v>
      </c>
      <c r="K1214" s="28">
        <v>3</v>
      </c>
      <c r="L1214" s="26" t="s">
        <v>36</v>
      </c>
      <c r="M1214" s="28">
        <v>11.2</v>
      </c>
      <c r="N1214" s="28">
        <v>4</v>
      </c>
      <c r="O1214" s="28">
        <v>4</v>
      </c>
      <c r="P1214" s="28">
        <v>1</v>
      </c>
      <c r="Q1214" s="28">
        <v>1</v>
      </c>
      <c r="R1214" s="28">
        <v>0</v>
      </c>
      <c r="S1214" s="28"/>
      <c r="Z1214" s="26" t="s">
        <v>166</v>
      </c>
      <c r="AA1214" s="23"/>
      <c r="AB1214" s="3" t="str">
        <f t="shared" si="9"/>
        <v>ANO_0416_24_T3-C1_vm</v>
      </c>
      <c r="AC1214" s="3" t="str">
        <f t="shared" si="8"/>
        <v>ANO_0416_24_T3-C1_vm_3</v>
      </c>
      <c r="AD1214" s="3" t="s">
        <v>37</v>
      </c>
    </row>
    <row r="1215" spans="1:30" ht="14">
      <c r="A1215" s="26"/>
      <c r="B1215" s="5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 t="s">
        <v>38</v>
      </c>
      <c r="M1215" s="28">
        <v>16.2</v>
      </c>
      <c r="N1215" s="28">
        <v>0</v>
      </c>
      <c r="O1215" s="28">
        <v>2</v>
      </c>
      <c r="P1215" s="28">
        <v>1</v>
      </c>
      <c r="Q1215" s="28">
        <v>1</v>
      </c>
      <c r="R1215" s="28">
        <v>0</v>
      </c>
      <c r="S1215" s="28"/>
      <c r="Z1215" s="26"/>
      <c r="AA1215" s="23"/>
      <c r="AB1215" s="3" t="str">
        <f t="shared" si="9"/>
        <v>___</v>
      </c>
      <c r="AC1215" s="3" t="str">
        <f t="shared" si="8"/>
        <v>____</v>
      </c>
    </row>
    <row r="1216" spans="1:30" ht="14">
      <c r="A1216" s="29"/>
      <c r="B1216" s="30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 t="s">
        <v>39</v>
      </c>
      <c r="M1216" s="31">
        <v>30.1</v>
      </c>
      <c r="N1216" s="31">
        <v>0</v>
      </c>
      <c r="O1216" s="31">
        <v>4</v>
      </c>
      <c r="P1216" s="31">
        <v>4</v>
      </c>
      <c r="Q1216" s="31">
        <v>19</v>
      </c>
      <c r="R1216" s="31">
        <v>0</v>
      </c>
      <c r="S1216" s="28"/>
      <c r="Z1216" s="29"/>
      <c r="AA1216" s="23"/>
      <c r="AB1216" s="3" t="str">
        <f t="shared" si="9"/>
        <v>___</v>
      </c>
      <c r="AC1216" s="3" t="str">
        <f t="shared" si="8"/>
        <v>____</v>
      </c>
    </row>
    <row r="1217" spans="1:30" ht="14">
      <c r="A1217" s="28" t="s">
        <v>161</v>
      </c>
      <c r="B1217" s="5" t="s">
        <v>162</v>
      </c>
      <c r="C1217" s="28">
        <v>24</v>
      </c>
      <c r="D1217" s="26" t="s">
        <v>163</v>
      </c>
      <c r="E1217" s="26" t="s">
        <v>34</v>
      </c>
      <c r="F1217" s="26" t="s">
        <v>167</v>
      </c>
      <c r="G1217" s="26" t="s">
        <v>35</v>
      </c>
      <c r="H1217" s="28">
        <v>1</v>
      </c>
      <c r="I1217" s="28">
        <v>2.6</v>
      </c>
      <c r="J1217" s="28">
        <v>6</v>
      </c>
      <c r="K1217" s="28">
        <v>3</v>
      </c>
      <c r="L1217" s="26" t="s">
        <v>36</v>
      </c>
      <c r="M1217" s="28">
        <v>16.3</v>
      </c>
      <c r="N1217" s="28">
        <v>10</v>
      </c>
      <c r="O1217" s="28">
        <v>10</v>
      </c>
      <c r="P1217" s="28">
        <v>0</v>
      </c>
      <c r="Q1217" s="28">
        <v>0</v>
      </c>
      <c r="R1217" s="28">
        <v>0</v>
      </c>
      <c r="S1217" s="28"/>
      <c r="Z1217" s="26"/>
      <c r="AA1217" s="23"/>
      <c r="AB1217" s="3" t="str">
        <f t="shared" si="9"/>
        <v>ANO_0416_24_T3-C1_vv</v>
      </c>
      <c r="AC1217" s="3" t="str">
        <f t="shared" si="8"/>
        <v>ANO_0416_24_T3-C1_vv_1</v>
      </c>
      <c r="AD1217" s="3" t="s">
        <v>37</v>
      </c>
    </row>
    <row r="1218" spans="1:30" ht="14">
      <c r="A1218" s="26"/>
      <c r="B1218" s="5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 t="s">
        <v>38</v>
      </c>
      <c r="M1218" s="28">
        <v>19.8</v>
      </c>
      <c r="N1218" s="28">
        <v>9</v>
      </c>
      <c r="O1218" s="28">
        <v>10</v>
      </c>
      <c r="P1218" s="28">
        <v>0</v>
      </c>
      <c r="Q1218" s="28">
        <v>0</v>
      </c>
      <c r="R1218" s="28">
        <v>0</v>
      </c>
      <c r="S1218" s="28"/>
      <c r="Z1218" s="26"/>
      <c r="AA1218" s="23"/>
      <c r="AB1218" s="3" t="str">
        <f t="shared" si="9"/>
        <v>___</v>
      </c>
      <c r="AC1218" s="3" t="str">
        <f t="shared" si="8"/>
        <v>____</v>
      </c>
    </row>
    <row r="1219" spans="1:30" ht="14">
      <c r="A1219" s="29"/>
      <c r="B1219" s="30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 t="s">
        <v>39</v>
      </c>
      <c r="M1219" s="31">
        <v>20.2</v>
      </c>
      <c r="N1219" s="31">
        <v>3</v>
      </c>
      <c r="O1219" s="31">
        <v>8</v>
      </c>
      <c r="P1219" s="31">
        <v>0</v>
      </c>
      <c r="Q1219" s="31">
        <v>0</v>
      </c>
      <c r="R1219" s="31">
        <v>0</v>
      </c>
      <c r="S1219" s="28"/>
      <c r="Z1219" s="29"/>
      <c r="AA1219" s="23"/>
      <c r="AB1219" s="3" t="str">
        <f t="shared" si="9"/>
        <v>___</v>
      </c>
      <c r="AC1219" s="3" t="str">
        <f t="shared" si="8"/>
        <v>____</v>
      </c>
    </row>
    <row r="1220" spans="1:30" ht="14">
      <c r="A1220" s="28" t="s">
        <v>161</v>
      </c>
      <c r="B1220" s="5" t="s">
        <v>162</v>
      </c>
      <c r="C1220" s="28">
        <v>24</v>
      </c>
      <c r="D1220" s="26" t="s">
        <v>163</v>
      </c>
      <c r="E1220" s="26" t="s">
        <v>34</v>
      </c>
      <c r="F1220" s="26" t="s">
        <v>167</v>
      </c>
      <c r="G1220" s="26" t="s">
        <v>35</v>
      </c>
      <c r="H1220" s="28">
        <v>2</v>
      </c>
      <c r="I1220" s="28">
        <v>4.0999999999999996</v>
      </c>
      <c r="J1220" s="28">
        <v>4.3</v>
      </c>
      <c r="K1220" s="28">
        <v>3</v>
      </c>
      <c r="L1220" s="26" t="s">
        <v>36</v>
      </c>
      <c r="M1220" s="28">
        <v>16.8</v>
      </c>
      <c r="N1220" s="28">
        <v>13</v>
      </c>
      <c r="O1220" s="28">
        <v>14</v>
      </c>
      <c r="P1220" s="28">
        <v>0</v>
      </c>
      <c r="Q1220" s="28">
        <v>0</v>
      </c>
      <c r="R1220" s="28">
        <v>0</v>
      </c>
      <c r="S1220" s="28"/>
      <c r="Z1220" s="26"/>
      <c r="AA1220" s="23"/>
      <c r="AB1220" s="3" t="str">
        <f t="shared" si="9"/>
        <v>ANO_0416_24_T3-C1_vv</v>
      </c>
      <c r="AC1220" s="3" t="str">
        <f t="shared" si="8"/>
        <v>ANO_0416_24_T3-C1_vv_2</v>
      </c>
      <c r="AD1220" s="3" t="s">
        <v>37</v>
      </c>
    </row>
    <row r="1221" spans="1:30" ht="14">
      <c r="A1221" s="26"/>
      <c r="B1221" s="5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 t="s">
        <v>38</v>
      </c>
      <c r="M1221" s="28">
        <v>15.8</v>
      </c>
      <c r="N1221" s="28">
        <v>5</v>
      </c>
      <c r="O1221" s="28">
        <v>6</v>
      </c>
      <c r="P1221" s="28">
        <v>4</v>
      </c>
      <c r="Q1221" s="28">
        <v>4</v>
      </c>
      <c r="R1221" s="28">
        <v>0</v>
      </c>
      <c r="S1221" s="28"/>
      <c r="Z1221" s="26" t="s">
        <v>165</v>
      </c>
      <c r="AA1221" s="23"/>
      <c r="AB1221" s="3" t="str">
        <f t="shared" si="9"/>
        <v>___</v>
      </c>
      <c r="AC1221" s="3" t="str">
        <f t="shared" si="8"/>
        <v>____</v>
      </c>
    </row>
    <row r="1222" spans="1:30" ht="14">
      <c r="A1222" s="29"/>
      <c r="B1222" s="30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 t="s">
        <v>39</v>
      </c>
      <c r="M1222" s="31">
        <v>10</v>
      </c>
      <c r="N1222" s="31">
        <v>0</v>
      </c>
      <c r="O1222" s="31">
        <v>3</v>
      </c>
      <c r="P1222" s="31">
        <v>0</v>
      </c>
      <c r="Q1222" s="31">
        <v>0</v>
      </c>
      <c r="R1222" s="31">
        <v>0</v>
      </c>
      <c r="S1222" s="28"/>
      <c r="Z1222" s="29"/>
      <c r="AA1222" s="23"/>
      <c r="AB1222" s="3" t="str">
        <f t="shared" si="9"/>
        <v>___</v>
      </c>
      <c r="AC1222" s="3" t="str">
        <f t="shared" si="8"/>
        <v>____</v>
      </c>
    </row>
    <row r="1223" spans="1:30" ht="14">
      <c r="A1223" s="28" t="s">
        <v>161</v>
      </c>
      <c r="B1223" s="5" t="s">
        <v>162</v>
      </c>
      <c r="C1223" s="28">
        <v>24</v>
      </c>
      <c r="D1223" s="26" t="s">
        <v>163</v>
      </c>
      <c r="E1223" s="26" t="s">
        <v>34</v>
      </c>
      <c r="F1223" s="26" t="s">
        <v>167</v>
      </c>
      <c r="G1223" s="26" t="s">
        <v>35</v>
      </c>
      <c r="H1223" s="28">
        <v>3</v>
      </c>
      <c r="I1223" s="28">
        <v>3.1</v>
      </c>
      <c r="J1223" s="28">
        <v>4</v>
      </c>
      <c r="K1223" s="28">
        <v>4</v>
      </c>
      <c r="L1223" s="26" t="s">
        <v>36</v>
      </c>
      <c r="M1223" s="28">
        <v>15.4</v>
      </c>
      <c r="N1223" s="28">
        <v>9</v>
      </c>
      <c r="O1223" s="28">
        <v>10</v>
      </c>
      <c r="P1223" s="28">
        <v>0</v>
      </c>
      <c r="Q1223" s="28">
        <v>0</v>
      </c>
      <c r="R1223" s="28">
        <v>0</v>
      </c>
      <c r="S1223" s="28"/>
      <c r="Z1223" s="26"/>
      <c r="AA1223" s="23"/>
      <c r="AB1223" s="3" t="str">
        <f t="shared" si="9"/>
        <v>ANO_0416_24_T3-C1_vv</v>
      </c>
      <c r="AC1223" s="3" t="str">
        <f t="shared" si="8"/>
        <v>ANO_0416_24_T3-C1_vv_3</v>
      </c>
      <c r="AD1223" s="3" t="s">
        <v>37</v>
      </c>
    </row>
    <row r="1224" spans="1:30" ht="14">
      <c r="A1224" s="26"/>
      <c r="B1224" s="5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 t="s">
        <v>38</v>
      </c>
      <c r="M1224" s="28">
        <v>10.1</v>
      </c>
      <c r="N1224" s="28">
        <v>3</v>
      </c>
      <c r="O1224" s="28">
        <v>4</v>
      </c>
      <c r="P1224" s="28">
        <v>0</v>
      </c>
      <c r="Q1224" s="28">
        <v>0</v>
      </c>
      <c r="R1224" s="28">
        <v>0</v>
      </c>
      <c r="S1224" s="28"/>
      <c r="Z1224" s="26"/>
      <c r="AA1224" s="23"/>
      <c r="AB1224" s="3" t="str">
        <f t="shared" si="9"/>
        <v>___</v>
      </c>
      <c r="AC1224" s="3" t="str">
        <f t="shared" si="8"/>
        <v>____</v>
      </c>
    </row>
    <row r="1225" spans="1:30" ht="14">
      <c r="A1225" s="29"/>
      <c r="B1225" s="30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 t="s">
        <v>39</v>
      </c>
      <c r="M1225" s="31">
        <v>16.2</v>
      </c>
      <c r="N1225" s="31">
        <v>4</v>
      </c>
      <c r="O1225" s="31">
        <v>4</v>
      </c>
      <c r="P1225" s="31">
        <v>1</v>
      </c>
      <c r="Q1225" s="31">
        <v>1</v>
      </c>
      <c r="R1225" s="31">
        <v>0</v>
      </c>
      <c r="S1225" s="28"/>
      <c r="Z1225" s="29" t="s">
        <v>168</v>
      </c>
      <c r="AA1225" s="23"/>
      <c r="AB1225" s="3" t="str">
        <f t="shared" si="9"/>
        <v>___</v>
      </c>
      <c r="AC1225" s="3" t="str">
        <f t="shared" si="8"/>
        <v>____</v>
      </c>
    </row>
    <row r="1226" spans="1:30" ht="14">
      <c r="A1226" s="28" t="s">
        <v>169</v>
      </c>
      <c r="B1226" s="5" t="s">
        <v>170</v>
      </c>
      <c r="C1226" s="28">
        <v>13</v>
      </c>
      <c r="D1226" s="26" t="s">
        <v>163</v>
      </c>
      <c r="E1226" s="26" t="s">
        <v>34</v>
      </c>
      <c r="F1226" s="26" t="s">
        <v>171</v>
      </c>
      <c r="G1226" s="26" t="s">
        <v>40</v>
      </c>
      <c r="H1226" s="28">
        <v>1</v>
      </c>
      <c r="I1226" s="28">
        <v>12.4</v>
      </c>
      <c r="J1226" s="28">
        <v>14.2</v>
      </c>
      <c r="K1226" s="28">
        <v>5</v>
      </c>
      <c r="L1226" s="26" t="s">
        <v>36</v>
      </c>
      <c r="M1226" s="28">
        <v>40.299999999999997</v>
      </c>
      <c r="N1226" s="28">
        <v>5</v>
      </c>
      <c r="O1226" s="28">
        <v>7</v>
      </c>
      <c r="P1226" s="28">
        <v>0</v>
      </c>
      <c r="Q1226" s="28">
        <v>0</v>
      </c>
      <c r="R1226" s="28">
        <v>0</v>
      </c>
      <c r="S1226" s="28"/>
      <c r="Z1226" s="26"/>
      <c r="AA1226" s="23"/>
      <c r="AB1226" s="3" t="str">
        <f t="shared" si="9"/>
        <v>ANO_178_13_V1-C7_vm</v>
      </c>
      <c r="AC1226" s="3" t="str">
        <f t="shared" si="8"/>
        <v>ANO_178_13_V1-C7_vm_1</v>
      </c>
      <c r="AD1226" s="3" t="s">
        <v>37</v>
      </c>
    </row>
    <row r="1227" spans="1:30" ht="14">
      <c r="A1227" s="26"/>
      <c r="B1227" s="5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 t="s">
        <v>38</v>
      </c>
      <c r="M1227" s="28">
        <v>65</v>
      </c>
      <c r="N1227" s="28">
        <v>0</v>
      </c>
      <c r="O1227" s="28">
        <v>4</v>
      </c>
      <c r="P1227" s="28">
        <v>3</v>
      </c>
      <c r="Q1227" s="28">
        <v>3</v>
      </c>
      <c r="R1227" s="28">
        <v>0</v>
      </c>
      <c r="S1227" s="28"/>
      <c r="Z1227" s="26"/>
      <c r="AA1227" s="23"/>
      <c r="AB1227" s="3" t="str">
        <f t="shared" si="9"/>
        <v>___</v>
      </c>
      <c r="AC1227" s="3" t="str">
        <f t="shared" si="8"/>
        <v>____</v>
      </c>
    </row>
    <row r="1228" spans="1:30" ht="14">
      <c r="A1228" s="29"/>
      <c r="B1228" s="30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 t="s">
        <v>39</v>
      </c>
      <c r="M1228" s="31">
        <v>30.2</v>
      </c>
      <c r="N1228" s="31">
        <v>0</v>
      </c>
      <c r="O1228" s="31">
        <v>4</v>
      </c>
      <c r="P1228" s="31">
        <v>1</v>
      </c>
      <c r="Q1228" s="31">
        <v>1</v>
      </c>
      <c r="R1228" s="31">
        <v>0</v>
      </c>
      <c r="S1228" s="28"/>
      <c r="Z1228" s="29"/>
      <c r="AA1228" s="23"/>
      <c r="AB1228" s="3" t="str">
        <f t="shared" si="9"/>
        <v>___</v>
      </c>
      <c r="AC1228" s="3" t="str">
        <f t="shared" si="8"/>
        <v>____</v>
      </c>
    </row>
    <row r="1229" spans="1:30" ht="14">
      <c r="A1229" s="28" t="s">
        <v>169</v>
      </c>
      <c r="B1229" s="5" t="s">
        <v>170</v>
      </c>
      <c r="C1229" s="28">
        <v>13</v>
      </c>
      <c r="D1229" s="26" t="s">
        <v>163</v>
      </c>
      <c r="E1229" s="26" t="s">
        <v>34</v>
      </c>
      <c r="F1229" s="26" t="s">
        <v>171</v>
      </c>
      <c r="G1229" s="26" t="s">
        <v>40</v>
      </c>
      <c r="H1229" s="28">
        <v>2</v>
      </c>
      <c r="I1229" s="28">
        <v>16.8</v>
      </c>
      <c r="J1229" s="28">
        <v>17.100000000000001</v>
      </c>
      <c r="K1229" s="28">
        <v>5</v>
      </c>
      <c r="L1229" s="26" t="s">
        <v>36</v>
      </c>
      <c r="M1229" s="28">
        <v>26.3</v>
      </c>
      <c r="N1229" s="28">
        <v>5</v>
      </c>
      <c r="O1229" s="28">
        <v>5</v>
      </c>
      <c r="P1229" s="28">
        <v>0</v>
      </c>
      <c r="Q1229" s="28">
        <v>0</v>
      </c>
      <c r="R1229" s="28">
        <v>0</v>
      </c>
      <c r="S1229" s="28"/>
      <c r="Z1229" s="26" t="s">
        <v>172</v>
      </c>
      <c r="AA1229" s="23"/>
      <c r="AB1229" s="3" t="str">
        <f t="shared" si="9"/>
        <v>ANO_178_13_V1-C7_vm</v>
      </c>
      <c r="AC1229" s="3" t="str">
        <f t="shared" si="8"/>
        <v>ANO_178_13_V1-C7_vm_2</v>
      </c>
      <c r="AD1229" s="3" t="s">
        <v>37</v>
      </c>
    </row>
    <row r="1230" spans="1:30" ht="14">
      <c r="A1230" s="28"/>
      <c r="B1230" s="5"/>
      <c r="C1230" s="28"/>
      <c r="D1230" s="26"/>
      <c r="E1230" s="26"/>
      <c r="F1230" s="26"/>
      <c r="G1230" s="26"/>
      <c r="H1230" s="28"/>
      <c r="I1230" s="28"/>
      <c r="J1230" s="28"/>
      <c r="K1230" s="28"/>
      <c r="L1230" s="26" t="s">
        <v>38</v>
      </c>
      <c r="M1230" s="28">
        <v>25</v>
      </c>
      <c r="N1230" s="28">
        <v>1</v>
      </c>
      <c r="O1230" s="28">
        <v>2</v>
      </c>
      <c r="P1230" s="28">
        <v>2</v>
      </c>
      <c r="Q1230" s="28">
        <v>3</v>
      </c>
      <c r="R1230" s="28">
        <v>0</v>
      </c>
      <c r="S1230" s="28"/>
      <c r="Z1230" s="26" t="s">
        <v>168</v>
      </c>
      <c r="AA1230" s="23"/>
      <c r="AB1230" s="3" t="str">
        <f t="shared" si="9"/>
        <v>___</v>
      </c>
      <c r="AC1230" s="3" t="str">
        <f t="shared" si="8"/>
        <v>____</v>
      </c>
    </row>
    <row r="1231" spans="1:30" ht="14">
      <c r="A1231" s="29"/>
      <c r="B1231" s="30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 t="s">
        <v>39</v>
      </c>
      <c r="M1231" s="31">
        <v>25.1</v>
      </c>
      <c r="N1231" s="31">
        <v>0</v>
      </c>
      <c r="O1231" s="31">
        <v>3</v>
      </c>
      <c r="P1231" s="31">
        <v>2</v>
      </c>
      <c r="Q1231" s="31">
        <v>2</v>
      </c>
      <c r="R1231" s="31">
        <v>0</v>
      </c>
      <c r="S1231" s="28"/>
      <c r="Z1231" s="29"/>
      <c r="AA1231" s="23"/>
      <c r="AB1231" s="3" t="str">
        <f t="shared" si="9"/>
        <v>___</v>
      </c>
      <c r="AC1231" s="3" t="str">
        <f t="shared" si="8"/>
        <v>____</v>
      </c>
    </row>
    <row r="1232" spans="1:30" ht="14">
      <c r="A1232" s="28" t="s">
        <v>169</v>
      </c>
      <c r="B1232" s="5" t="s">
        <v>170</v>
      </c>
      <c r="C1232" s="28">
        <v>13</v>
      </c>
      <c r="D1232" s="26" t="s">
        <v>163</v>
      </c>
      <c r="E1232" s="26" t="s">
        <v>34</v>
      </c>
      <c r="F1232" s="26" t="s">
        <v>171</v>
      </c>
      <c r="G1232" s="26" t="s">
        <v>40</v>
      </c>
      <c r="H1232" s="28">
        <v>3</v>
      </c>
      <c r="I1232" s="28">
        <v>17.8</v>
      </c>
      <c r="J1232" s="28">
        <v>16.5</v>
      </c>
      <c r="K1232" s="28">
        <v>4</v>
      </c>
      <c r="L1232" s="26" t="s">
        <v>36</v>
      </c>
      <c r="M1232" s="28">
        <v>35.1</v>
      </c>
      <c r="N1232" s="28">
        <v>6</v>
      </c>
      <c r="O1232" s="28">
        <v>6</v>
      </c>
      <c r="P1232" s="28">
        <v>0</v>
      </c>
      <c r="Q1232" s="28">
        <v>0</v>
      </c>
      <c r="R1232" s="28">
        <v>0</v>
      </c>
      <c r="S1232" s="28"/>
      <c r="Z1232" s="26"/>
      <c r="AA1232" s="23"/>
      <c r="AB1232" s="3" t="str">
        <f t="shared" si="9"/>
        <v>ANO_178_13_V1-C7_vm</v>
      </c>
      <c r="AC1232" s="3" t="str">
        <f t="shared" si="8"/>
        <v>ANO_178_13_V1-C7_vm_3</v>
      </c>
      <c r="AD1232" s="3" t="s">
        <v>37</v>
      </c>
    </row>
    <row r="1233" spans="1:30" ht="14">
      <c r="A1233" s="28"/>
      <c r="B1233" s="5"/>
      <c r="C1233" s="28"/>
      <c r="D1233" s="26"/>
      <c r="E1233" s="26"/>
      <c r="F1233" s="26"/>
      <c r="G1233" s="26"/>
      <c r="H1233" s="28"/>
      <c r="I1233" s="28"/>
      <c r="J1233" s="28"/>
      <c r="K1233" s="28"/>
      <c r="L1233" s="26" t="s">
        <v>38</v>
      </c>
      <c r="M1233" s="22">
        <v>80.2</v>
      </c>
      <c r="N1233" s="28">
        <v>0</v>
      </c>
      <c r="O1233" s="28">
        <v>9</v>
      </c>
      <c r="P1233" s="28">
        <v>4</v>
      </c>
      <c r="Q1233" s="28">
        <v>4</v>
      </c>
      <c r="R1233" s="28">
        <v>0</v>
      </c>
      <c r="S1233" s="28"/>
      <c r="Z1233" s="23"/>
      <c r="AA1233" s="23"/>
      <c r="AB1233" s="3" t="str">
        <f t="shared" si="9"/>
        <v>___</v>
      </c>
      <c r="AC1233" s="3" t="str">
        <f t="shared" si="8"/>
        <v>____</v>
      </c>
    </row>
    <row r="1234" spans="1:30" ht="14">
      <c r="A1234" s="29"/>
      <c r="B1234" s="30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 t="s">
        <v>39</v>
      </c>
      <c r="M1234" s="28">
        <v>19.7</v>
      </c>
      <c r="N1234" s="31">
        <v>0</v>
      </c>
      <c r="O1234" s="31">
        <v>1</v>
      </c>
      <c r="P1234" s="31">
        <v>3</v>
      </c>
      <c r="Q1234" s="31">
        <v>4</v>
      </c>
      <c r="R1234" s="31">
        <v>0</v>
      </c>
      <c r="S1234" s="28"/>
      <c r="Z1234" s="26" t="s">
        <v>173</v>
      </c>
      <c r="AA1234" s="23"/>
      <c r="AB1234" s="3" t="str">
        <f t="shared" si="9"/>
        <v>___</v>
      </c>
      <c r="AC1234" s="3" t="str">
        <f t="shared" si="8"/>
        <v>____</v>
      </c>
    </row>
    <row r="1235" spans="1:30" ht="14">
      <c r="A1235" s="28" t="s">
        <v>169</v>
      </c>
      <c r="B1235" s="5" t="s">
        <v>170</v>
      </c>
      <c r="C1235" s="28">
        <v>22</v>
      </c>
      <c r="D1235" s="26" t="s">
        <v>163</v>
      </c>
      <c r="E1235" s="26" t="s">
        <v>34</v>
      </c>
      <c r="F1235" s="26" t="s">
        <v>174</v>
      </c>
      <c r="G1235" s="26" t="s">
        <v>40</v>
      </c>
      <c r="H1235" s="28">
        <v>1</v>
      </c>
      <c r="I1235" s="28">
        <v>16.8</v>
      </c>
      <c r="J1235" s="28">
        <v>21.5</v>
      </c>
      <c r="K1235" s="28">
        <v>4</v>
      </c>
      <c r="L1235" s="26" t="s">
        <v>36</v>
      </c>
      <c r="M1235" s="28">
        <v>30.6</v>
      </c>
      <c r="N1235" s="28">
        <v>5</v>
      </c>
      <c r="O1235" s="28">
        <v>6</v>
      </c>
      <c r="P1235" s="28">
        <v>0</v>
      </c>
      <c r="Q1235" s="28">
        <v>0</v>
      </c>
      <c r="R1235" s="28">
        <v>0</v>
      </c>
      <c r="S1235" s="28"/>
      <c r="Z1235" s="26" t="s">
        <v>175</v>
      </c>
      <c r="AA1235" s="23"/>
      <c r="AB1235" s="3" t="str">
        <f t="shared" si="9"/>
        <v>ANO_178_22_T34-C2_vm</v>
      </c>
      <c r="AC1235" s="3" t="str">
        <f t="shared" si="8"/>
        <v>ANO_178_22_T34-C2_vm_1</v>
      </c>
      <c r="AD1235" s="3" t="s">
        <v>37</v>
      </c>
    </row>
    <row r="1236" spans="1:30" ht="14">
      <c r="A1236" s="28"/>
      <c r="B1236" s="5"/>
      <c r="C1236" s="28"/>
      <c r="D1236" s="26"/>
      <c r="E1236" s="26"/>
      <c r="F1236" s="26"/>
      <c r="G1236" s="26"/>
      <c r="H1236" s="28"/>
      <c r="I1236" s="28"/>
      <c r="J1236" s="28"/>
      <c r="K1236" s="28"/>
      <c r="L1236" s="26" t="s">
        <v>38</v>
      </c>
      <c r="M1236" s="28">
        <v>80.400000000000006</v>
      </c>
      <c r="N1236" s="28">
        <v>0</v>
      </c>
      <c r="O1236" s="28">
        <v>7</v>
      </c>
      <c r="P1236" s="28">
        <v>1</v>
      </c>
      <c r="Q1236" s="28">
        <v>4</v>
      </c>
      <c r="R1236" s="28">
        <v>0</v>
      </c>
      <c r="S1236" s="28"/>
      <c r="Z1236" s="26"/>
      <c r="AA1236" s="23"/>
      <c r="AB1236" s="3" t="str">
        <f t="shared" si="9"/>
        <v>___</v>
      </c>
      <c r="AC1236" s="3" t="str">
        <f t="shared" si="8"/>
        <v>____</v>
      </c>
    </row>
    <row r="1237" spans="1:30" ht="14">
      <c r="A1237" s="29"/>
      <c r="B1237" s="30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 t="s">
        <v>39</v>
      </c>
      <c r="M1237" s="31">
        <v>67.2</v>
      </c>
      <c r="N1237" s="31">
        <v>0</v>
      </c>
      <c r="O1237" s="31">
        <v>6</v>
      </c>
      <c r="P1237" s="31">
        <v>1</v>
      </c>
      <c r="Q1237" s="31">
        <v>18</v>
      </c>
      <c r="R1237" s="31">
        <v>0</v>
      </c>
      <c r="S1237" s="28"/>
      <c r="Z1237" s="29"/>
      <c r="AA1237" s="23"/>
      <c r="AB1237" s="3" t="str">
        <f t="shared" si="9"/>
        <v>___</v>
      </c>
      <c r="AC1237" s="3" t="str">
        <f t="shared" si="8"/>
        <v>____</v>
      </c>
    </row>
    <row r="1238" spans="1:30" ht="14">
      <c r="A1238" s="28" t="s">
        <v>169</v>
      </c>
      <c r="B1238" s="5" t="s">
        <v>170</v>
      </c>
      <c r="C1238" s="28">
        <v>22</v>
      </c>
      <c r="D1238" s="26" t="s">
        <v>163</v>
      </c>
      <c r="E1238" s="26" t="s">
        <v>34</v>
      </c>
      <c r="F1238" s="26" t="s">
        <v>174</v>
      </c>
      <c r="G1238" s="26" t="s">
        <v>40</v>
      </c>
      <c r="H1238" s="28">
        <v>2</v>
      </c>
      <c r="I1238" s="28">
        <v>15.7</v>
      </c>
      <c r="J1238" s="28">
        <v>17.5</v>
      </c>
      <c r="K1238" s="28">
        <v>4</v>
      </c>
      <c r="L1238" s="26" t="s">
        <v>36</v>
      </c>
      <c r="M1238" s="28">
        <v>49.2</v>
      </c>
      <c r="N1238" s="28">
        <v>7</v>
      </c>
      <c r="O1238" s="28">
        <v>7</v>
      </c>
      <c r="P1238" s="28">
        <v>0</v>
      </c>
      <c r="Q1238" s="28">
        <v>0</v>
      </c>
      <c r="R1238" s="28">
        <v>0</v>
      </c>
      <c r="S1238" s="28"/>
      <c r="Z1238" s="26"/>
      <c r="AA1238" s="23"/>
      <c r="AB1238" s="3" t="str">
        <f t="shared" si="9"/>
        <v>ANO_178_22_T34-C2_vm</v>
      </c>
      <c r="AC1238" s="3" t="str">
        <f t="shared" si="8"/>
        <v>ANO_178_22_T34-C2_vm_2</v>
      </c>
      <c r="AD1238" s="3" t="s">
        <v>37</v>
      </c>
    </row>
    <row r="1239" spans="1:30" ht="14">
      <c r="A1239" s="26"/>
      <c r="B1239" s="5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 t="s">
        <v>38</v>
      </c>
      <c r="M1239" s="28">
        <v>57.4</v>
      </c>
      <c r="N1239" s="28">
        <v>0</v>
      </c>
      <c r="O1239" s="28">
        <v>5</v>
      </c>
      <c r="P1239" s="28">
        <v>1</v>
      </c>
      <c r="Q1239" s="28">
        <v>3</v>
      </c>
      <c r="R1239" s="28">
        <v>0</v>
      </c>
      <c r="S1239" s="28"/>
      <c r="Z1239" s="26"/>
      <c r="AA1239" s="23"/>
      <c r="AB1239" s="3" t="str">
        <f t="shared" si="9"/>
        <v>___</v>
      </c>
      <c r="AC1239" s="3" t="str">
        <f t="shared" si="8"/>
        <v>____</v>
      </c>
    </row>
    <row r="1240" spans="1:30" ht="14">
      <c r="A1240" s="29"/>
      <c r="B1240" s="30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 t="s">
        <v>39</v>
      </c>
      <c r="M1240" s="31">
        <v>22.3</v>
      </c>
      <c r="N1240" s="31">
        <v>0</v>
      </c>
      <c r="O1240" s="31">
        <v>2</v>
      </c>
      <c r="P1240" s="31">
        <v>1</v>
      </c>
      <c r="Q1240" s="31">
        <v>10</v>
      </c>
      <c r="R1240" s="31">
        <v>0</v>
      </c>
      <c r="S1240" s="28"/>
      <c r="Z1240" s="29"/>
      <c r="AA1240" s="23"/>
      <c r="AB1240" s="3" t="str">
        <f t="shared" si="9"/>
        <v>___</v>
      </c>
      <c r="AC1240" s="3" t="str">
        <f t="shared" si="8"/>
        <v>____</v>
      </c>
    </row>
    <row r="1241" spans="1:30" ht="14">
      <c r="A1241" s="28" t="s">
        <v>169</v>
      </c>
      <c r="B1241" s="5" t="s">
        <v>170</v>
      </c>
      <c r="C1241" s="28">
        <v>22</v>
      </c>
      <c r="D1241" s="26" t="s">
        <v>163</v>
      </c>
      <c r="E1241" s="26" t="s">
        <v>34</v>
      </c>
      <c r="F1241" s="26" t="s">
        <v>174</v>
      </c>
      <c r="G1241" s="26" t="s">
        <v>40</v>
      </c>
      <c r="H1241" s="28">
        <v>3</v>
      </c>
      <c r="I1241" s="28">
        <v>11.2</v>
      </c>
      <c r="J1241" s="28">
        <v>21.1</v>
      </c>
      <c r="K1241" s="28">
        <v>5</v>
      </c>
      <c r="L1241" s="26" t="s">
        <v>36</v>
      </c>
      <c r="M1241" s="28">
        <v>20.5</v>
      </c>
      <c r="N1241" s="28">
        <v>5</v>
      </c>
      <c r="O1241" s="28">
        <v>5</v>
      </c>
      <c r="P1241" s="28">
        <v>0</v>
      </c>
      <c r="Q1241" s="28">
        <v>0</v>
      </c>
      <c r="R1241" s="28">
        <v>0</v>
      </c>
      <c r="S1241" s="28"/>
      <c r="Z1241" s="26"/>
      <c r="AA1241" s="23"/>
      <c r="AB1241" s="3" t="str">
        <f t="shared" si="9"/>
        <v>ANO_178_22_T34-C2_vm</v>
      </c>
      <c r="AC1241" s="3" t="str">
        <f t="shared" si="8"/>
        <v>ANO_178_22_T34-C2_vm_3</v>
      </c>
      <c r="AD1241" s="3" t="s">
        <v>37</v>
      </c>
    </row>
    <row r="1242" spans="1:30" ht="14">
      <c r="A1242" s="26"/>
      <c r="B1242" s="5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 t="s">
        <v>38</v>
      </c>
      <c r="M1242" s="28">
        <v>70.5</v>
      </c>
      <c r="N1242" s="28">
        <v>0</v>
      </c>
      <c r="O1242" s="28">
        <v>10</v>
      </c>
      <c r="P1242" s="28">
        <v>4</v>
      </c>
      <c r="Q1242" s="28">
        <v>4</v>
      </c>
      <c r="R1242" s="28">
        <v>0</v>
      </c>
      <c r="S1242" s="28"/>
      <c r="Z1242" s="26"/>
      <c r="AA1242" s="23"/>
      <c r="AB1242" s="3" t="str">
        <f t="shared" si="9"/>
        <v>___</v>
      </c>
      <c r="AC1242" s="3" t="str">
        <f t="shared" si="8"/>
        <v>____</v>
      </c>
    </row>
    <row r="1243" spans="1:30" ht="14">
      <c r="A1243" s="29"/>
      <c r="B1243" s="30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 t="s">
        <v>39</v>
      </c>
      <c r="M1243" s="31">
        <v>46.1</v>
      </c>
      <c r="N1243" s="31">
        <v>0</v>
      </c>
      <c r="O1243" s="31">
        <v>2</v>
      </c>
      <c r="P1243" s="31">
        <v>3</v>
      </c>
      <c r="Q1243" s="31">
        <v>30</v>
      </c>
      <c r="R1243" s="31">
        <v>0</v>
      </c>
      <c r="S1243" s="28"/>
      <c r="Z1243" s="29"/>
      <c r="AA1243" s="23"/>
      <c r="AB1243" s="3" t="str">
        <f t="shared" si="9"/>
        <v>___</v>
      </c>
      <c r="AC1243" s="3" t="str">
        <f t="shared" si="8"/>
        <v>____</v>
      </c>
    </row>
    <row r="1244" spans="1:30" ht="14">
      <c r="A1244" s="28" t="s">
        <v>169</v>
      </c>
      <c r="B1244" s="5" t="s">
        <v>170</v>
      </c>
      <c r="C1244" s="28">
        <v>26</v>
      </c>
      <c r="D1244" s="26" t="s">
        <v>163</v>
      </c>
      <c r="E1244" s="26" t="s">
        <v>34</v>
      </c>
      <c r="F1244" s="26" t="s">
        <v>176</v>
      </c>
      <c r="G1244" s="26" t="s">
        <v>40</v>
      </c>
      <c r="H1244" s="28">
        <v>1</v>
      </c>
      <c r="I1244" s="28">
        <v>6.8</v>
      </c>
      <c r="J1244" s="28">
        <v>14.5</v>
      </c>
      <c r="K1244" s="28">
        <v>4</v>
      </c>
      <c r="L1244" s="26" t="s">
        <v>36</v>
      </c>
      <c r="M1244" s="28">
        <v>40.200000000000003</v>
      </c>
      <c r="N1244" s="28">
        <v>4</v>
      </c>
      <c r="O1244" s="28">
        <v>8</v>
      </c>
      <c r="P1244" s="28">
        <v>0</v>
      </c>
      <c r="Q1244" s="28">
        <v>0</v>
      </c>
      <c r="R1244" s="28">
        <v>0</v>
      </c>
      <c r="S1244" s="28"/>
      <c r="Z1244" s="26"/>
      <c r="AA1244" s="23"/>
      <c r="AB1244" s="3" t="str">
        <f t="shared" si="9"/>
        <v>ANO_178_26_T13-C1_vm</v>
      </c>
      <c r="AC1244" s="3" t="str">
        <f t="shared" si="8"/>
        <v>ANO_178_26_T13-C1_vm_1</v>
      </c>
      <c r="AD1244" s="3" t="s">
        <v>37</v>
      </c>
    </row>
    <row r="1245" spans="1:30" ht="14">
      <c r="A1245" s="28"/>
      <c r="B1245" s="5"/>
      <c r="C1245" s="28"/>
      <c r="D1245" s="26"/>
      <c r="E1245" s="26"/>
      <c r="F1245" s="26"/>
      <c r="G1245" s="26"/>
      <c r="H1245" s="28"/>
      <c r="I1245" s="28"/>
      <c r="J1245" s="28"/>
      <c r="K1245" s="28"/>
      <c r="L1245" s="26" t="s">
        <v>38</v>
      </c>
      <c r="M1245" s="28">
        <v>55.3</v>
      </c>
      <c r="N1245" s="28">
        <v>0</v>
      </c>
      <c r="O1245" s="28">
        <v>5</v>
      </c>
      <c r="P1245" s="28">
        <v>2</v>
      </c>
      <c r="Q1245" s="28">
        <v>7</v>
      </c>
      <c r="R1245" s="28">
        <v>0</v>
      </c>
      <c r="S1245" s="28"/>
      <c r="Z1245" s="26"/>
      <c r="AA1245" s="23"/>
      <c r="AB1245" s="3" t="str">
        <f t="shared" si="9"/>
        <v>___</v>
      </c>
      <c r="AC1245" s="3" t="str">
        <f t="shared" si="8"/>
        <v>____</v>
      </c>
    </row>
    <row r="1246" spans="1:30" ht="14">
      <c r="A1246" s="29"/>
      <c r="B1246" s="30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 t="s">
        <v>39</v>
      </c>
      <c r="M1246" s="31">
        <v>32.4</v>
      </c>
      <c r="N1246" s="31">
        <v>0</v>
      </c>
      <c r="O1246" s="31">
        <v>5</v>
      </c>
      <c r="P1246" s="31">
        <v>0</v>
      </c>
      <c r="Q1246" s="31">
        <v>0</v>
      </c>
      <c r="R1246" s="31">
        <v>0</v>
      </c>
      <c r="S1246" s="28"/>
      <c r="Z1246" s="29"/>
      <c r="AA1246" s="23"/>
      <c r="AB1246" s="3" t="str">
        <f t="shared" si="9"/>
        <v>___</v>
      </c>
      <c r="AC1246" s="3" t="str">
        <f t="shared" si="8"/>
        <v>____</v>
      </c>
    </row>
    <row r="1247" spans="1:30" ht="14">
      <c r="A1247" s="28" t="s">
        <v>169</v>
      </c>
      <c r="B1247" s="5" t="s">
        <v>170</v>
      </c>
      <c r="C1247" s="28">
        <v>26</v>
      </c>
      <c r="D1247" s="26" t="s">
        <v>163</v>
      </c>
      <c r="E1247" s="26" t="s">
        <v>34</v>
      </c>
      <c r="F1247" s="26" t="s">
        <v>176</v>
      </c>
      <c r="G1247" s="26" t="s">
        <v>40</v>
      </c>
      <c r="H1247" s="28">
        <v>2</v>
      </c>
      <c r="I1247" s="28">
        <v>4.5999999999999996</v>
      </c>
      <c r="J1247" s="28">
        <v>15.6</v>
      </c>
      <c r="K1247" s="28">
        <v>3</v>
      </c>
      <c r="L1247" s="26" t="s">
        <v>36</v>
      </c>
      <c r="M1247" s="28">
        <v>40.4</v>
      </c>
      <c r="N1247" s="28">
        <v>5</v>
      </c>
      <c r="O1247" s="28">
        <v>9</v>
      </c>
      <c r="P1247" s="28">
        <v>0</v>
      </c>
      <c r="Q1247" s="28">
        <v>0</v>
      </c>
      <c r="R1247" s="28">
        <v>1</v>
      </c>
      <c r="S1247" s="28"/>
      <c r="Z1247" s="26"/>
      <c r="AA1247" s="23"/>
      <c r="AB1247" s="3" t="str">
        <f t="shared" si="9"/>
        <v>ANO_178_26_T13-C1_vm</v>
      </c>
      <c r="AC1247" s="3" t="str">
        <f t="shared" si="8"/>
        <v>ANO_178_26_T13-C1_vm_2</v>
      </c>
      <c r="AD1247" s="3" t="s">
        <v>49</v>
      </c>
    </row>
    <row r="1248" spans="1:30" ht="14">
      <c r="A1248" s="28"/>
      <c r="B1248" s="5"/>
      <c r="C1248" s="28"/>
      <c r="D1248" s="26"/>
      <c r="E1248" s="26"/>
      <c r="F1248" s="26"/>
      <c r="G1248" s="26"/>
      <c r="H1248" s="28"/>
      <c r="I1248" s="28"/>
      <c r="J1248" s="28"/>
      <c r="K1248" s="28"/>
      <c r="L1248" s="26" t="s">
        <v>38</v>
      </c>
      <c r="M1248" s="28">
        <v>49.3</v>
      </c>
      <c r="N1248" s="28">
        <v>0</v>
      </c>
      <c r="O1248" s="28">
        <v>6</v>
      </c>
      <c r="P1248" s="28">
        <v>2</v>
      </c>
      <c r="Q1248" s="28">
        <v>2</v>
      </c>
      <c r="R1248" s="28">
        <v>0</v>
      </c>
      <c r="S1248" s="28"/>
      <c r="Z1248" s="26"/>
      <c r="AA1248" s="23"/>
      <c r="AB1248" s="3" t="str">
        <f t="shared" si="9"/>
        <v>___</v>
      </c>
      <c r="AC1248" s="3" t="str">
        <f t="shared" si="8"/>
        <v>____</v>
      </c>
    </row>
    <row r="1249" spans="1:30" ht="14">
      <c r="A1249" s="29"/>
      <c r="B1249" s="30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 t="s">
        <v>39</v>
      </c>
      <c r="M1249" s="31">
        <v>59.1</v>
      </c>
      <c r="N1249" s="31">
        <v>0</v>
      </c>
      <c r="O1249" s="31">
        <v>6</v>
      </c>
      <c r="P1249" s="31">
        <v>0</v>
      </c>
      <c r="Q1249" s="31">
        <v>0</v>
      </c>
      <c r="R1249" s="31">
        <v>0</v>
      </c>
      <c r="S1249" s="28"/>
      <c r="Z1249" s="29"/>
      <c r="AA1249" s="23"/>
      <c r="AB1249" s="3" t="str">
        <f t="shared" si="9"/>
        <v>___</v>
      </c>
      <c r="AC1249" s="3" t="str">
        <f t="shared" si="8"/>
        <v>____</v>
      </c>
    </row>
    <row r="1250" spans="1:30" ht="14">
      <c r="A1250" s="28" t="s">
        <v>169</v>
      </c>
      <c r="B1250" s="5" t="s">
        <v>170</v>
      </c>
      <c r="C1250" s="28">
        <v>26</v>
      </c>
      <c r="D1250" s="26" t="s">
        <v>163</v>
      </c>
      <c r="E1250" s="26" t="s">
        <v>34</v>
      </c>
      <c r="F1250" s="26" t="s">
        <v>176</v>
      </c>
      <c r="G1250" s="26" t="s">
        <v>40</v>
      </c>
      <c r="H1250" s="28">
        <v>3</v>
      </c>
      <c r="I1250" s="28">
        <v>5.7</v>
      </c>
      <c r="J1250" s="28">
        <v>16.399999999999999</v>
      </c>
      <c r="K1250" s="28">
        <v>4</v>
      </c>
      <c r="L1250" s="26" t="s">
        <v>36</v>
      </c>
      <c r="M1250" s="28">
        <v>61.1</v>
      </c>
      <c r="N1250" s="28">
        <v>8</v>
      </c>
      <c r="O1250" s="28">
        <v>8</v>
      </c>
      <c r="P1250" s="28">
        <v>0</v>
      </c>
      <c r="Q1250" s="28">
        <v>0</v>
      </c>
      <c r="R1250" s="28">
        <v>0</v>
      </c>
      <c r="S1250" s="28"/>
      <c r="Z1250" s="26"/>
      <c r="AA1250" s="23"/>
      <c r="AB1250" s="3" t="str">
        <f t="shared" si="9"/>
        <v>ANO_178_26_T13-C1_vm</v>
      </c>
      <c r="AC1250" s="3" t="str">
        <f t="shared" si="8"/>
        <v>ANO_178_26_T13-C1_vm_3</v>
      </c>
      <c r="AD1250" s="3" t="s">
        <v>37</v>
      </c>
    </row>
    <row r="1251" spans="1:30" ht="14">
      <c r="A1251" s="28"/>
      <c r="B1251" s="5"/>
      <c r="C1251" s="28"/>
      <c r="D1251" s="26"/>
      <c r="E1251" s="26"/>
      <c r="F1251" s="26"/>
      <c r="G1251" s="26"/>
      <c r="H1251" s="28"/>
      <c r="I1251" s="28"/>
      <c r="J1251" s="28"/>
      <c r="K1251" s="28"/>
      <c r="L1251" s="26" t="s">
        <v>38</v>
      </c>
      <c r="M1251" s="28">
        <v>43</v>
      </c>
      <c r="N1251" s="28">
        <v>0</v>
      </c>
      <c r="O1251" s="28">
        <v>5</v>
      </c>
      <c r="P1251" s="28">
        <v>2</v>
      </c>
      <c r="Q1251" s="28">
        <v>2</v>
      </c>
      <c r="R1251" s="28">
        <v>0</v>
      </c>
      <c r="S1251" s="28"/>
      <c r="Z1251" s="26"/>
      <c r="AA1251" s="23"/>
      <c r="AB1251" s="3" t="str">
        <f t="shared" si="9"/>
        <v>___</v>
      </c>
      <c r="AC1251" s="3" t="str">
        <f t="shared" si="8"/>
        <v>____</v>
      </c>
    </row>
    <row r="1252" spans="1:30" ht="14">
      <c r="A1252" s="29"/>
      <c r="B1252" s="30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 t="s">
        <v>39</v>
      </c>
      <c r="M1252" s="31">
        <v>54.5</v>
      </c>
      <c r="N1252" s="31">
        <v>0</v>
      </c>
      <c r="O1252" s="31">
        <v>6</v>
      </c>
      <c r="P1252" s="31">
        <v>0</v>
      </c>
      <c r="Q1252" s="31">
        <v>0</v>
      </c>
      <c r="R1252" s="31">
        <v>0</v>
      </c>
      <c r="S1252" s="28"/>
      <c r="Z1252" s="29"/>
      <c r="AA1252" s="23"/>
      <c r="AB1252" s="3" t="str">
        <f t="shared" si="9"/>
        <v>___</v>
      </c>
      <c r="AC1252" s="3" t="str">
        <f t="shared" si="8"/>
        <v>____</v>
      </c>
    </row>
    <row r="1253" spans="1:30" ht="14">
      <c r="A1253" s="28" t="s">
        <v>169</v>
      </c>
      <c r="B1253" s="5" t="s">
        <v>170</v>
      </c>
      <c r="C1253" s="28">
        <v>22</v>
      </c>
      <c r="D1253" s="26" t="s">
        <v>163</v>
      </c>
      <c r="E1253" s="26" t="s">
        <v>34</v>
      </c>
      <c r="F1253" s="26" t="s">
        <v>174</v>
      </c>
      <c r="G1253" s="26" t="s">
        <v>35</v>
      </c>
      <c r="H1253" s="28">
        <v>1</v>
      </c>
      <c r="I1253" s="28">
        <v>12.5</v>
      </c>
      <c r="J1253" s="28">
        <v>12.5</v>
      </c>
      <c r="K1253" s="28">
        <v>3</v>
      </c>
      <c r="L1253" s="26" t="s">
        <v>36</v>
      </c>
      <c r="M1253" s="28">
        <v>29.8</v>
      </c>
      <c r="N1253" s="28">
        <v>12</v>
      </c>
      <c r="O1253" s="28">
        <v>12</v>
      </c>
      <c r="P1253" s="28">
        <v>0</v>
      </c>
      <c r="Q1253" s="28">
        <v>0</v>
      </c>
      <c r="R1253" s="28">
        <v>0</v>
      </c>
      <c r="S1253" s="28"/>
      <c r="Z1253" s="26"/>
      <c r="AA1253" s="23"/>
      <c r="AB1253" s="3" t="str">
        <f t="shared" si="9"/>
        <v>ANO_178_22_T34-C2_vv</v>
      </c>
      <c r="AC1253" s="3" t="str">
        <f t="shared" si="8"/>
        <v>ANO_178_22_T34-C2_vv_1</v>
      </c>
      <c r="AD1253" s="3" t="s">
        <v>49</v>
      </c>
    </row>
    <row r="1254" spans="1:30" ht="14">
      <c r="A1254" s="26"/>
      <c r="B1254" s="5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 t="s">
        <v>38</v>
      </c>
      <c r="M1254" s="28">
        <v>56</v>
      </c>
      <c r="N1254" s="28">
        <v>8</v>
      </c>
      <c r="O1254" s="28">
        <v>10</v>
      </c>
      <c r="P1254" s="28">
        <v>0</v>
      </c>
      <c r="Q1254" s="28">
        <v>0</v>
      </c>
      <c r="R1254" s="28">
        <v>0</v>
      </c>
      <c r="S1254" s="28"/>
      <c r="Z1254" s="26"/>
      <c r="AA1254" s="23"/>
      <c r="AB1254" s="3" t="str">
        <f t="shared" si="9"/>
        <v>___</v>
      </c>
      <c r="AC1254" s="3" t="str">
        <f t="shared" si="8"/>
        <v>____</v>
      </c>
    </row>
    <row r="1255" spans="1:30" ht="14">
      <c r="A1255" s="29"/>
      <c r="B1255" s="30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 t="s">
        <v>39</v>
      </c>
      <c r="M1255" s="31">
        <v>40.200000000000003</v>
      </c>
      <c r="N1255" s="31">
        <v>0</v>
      </c>
      <c r="O1255" s="31">
        <v>6</v>
      </c>
      <c r="P1255" s="31">
        <v>0</v>
      </c>
      <c r="Q1255" s="31">
        <v>0</v>
      </c>
      <c r="R1255" s="31">
        <v>0</v>
      </c>
      <c r="S1255" s="28"/>
      <c r="Z1255" s="29"/>
      <c r="AA1255" s="23"/>
      <c r="AB1255" s="3" t="str">
        <f t="shared" si="9"/>
        <v>___</v>
      </c>
      <c r="AC1255" s="3" t="str">
        <f t="shared" si="8"/>
        <v>____</v>
      </c>
    </row>
    <row r="1256" spans="1:30" ht="14">
      <c r="A1256" s="28" t="s">
        <v>169</v>
      </c>
      <c r="B1256" s="5" t="s">
        <v>170</v>
      </c>
      <c r="C1256" s="28">
        <v>22</v>
      </c>
      <c r="D1256" s="26" t="s">
        <v>163</v>
      </c>
      <c r="E1256" s="26" t="s">
        <v>34</v>
      </c>
      <c r="F1256" s="26" t="s">
        <v>174</v>
      </c>
      <c r="G1256" s="26" t="s">
        <v>35</v>
      </c>
      <c r="H1256" s="28">
        <v>2</v>
      </c>
      <c r="I1256" s="28">
        <v>6.5</v>
      </c>
      <c r="J1256" s="28">
        <v>7.4</v>
      </c>
      <c r="K1256" s="28">
        <v>3</v>
      </c>
      <c r="L1256" s="26" t="s">
        <v>36</v>
      </c>
      <c r="M1256" s="28">
        <v>19.8</v>
      </c>
      <c r="N1256" s="28">
        <v>7</v>
      </c>
      <c r="O1256" s="28">
        <v>7</v>
      </c>
      <c r="P1256" s="28">
        <v>0</v>
      </c>
      <c r="Q1256" s="28">
        <v>0</v>
      </c>
      <c r="R1256" s="28">
        <v>0</v>
      </c>
      <c r="S1256" s="28"/>
      <c r="Z1256" s="26"/>
      <c r="AA1256" s="23"/>
      <c r="AB1256" s="3" t="str">
        <f t="shared" si="9"/>
        <v>ANO_178_22_T34-C2_vv</v>
      </c>
      <c r="AC1256" s="3" t="str">
        <f t="shared" si="8"/>
        <v>ANO_178_22_T34-C2_vv_2</v>
      </c>
      <c r="AD1256" s="3" t="s">
        <v>49</v>
      </c>
    </row>
    <row r="1257" spans="1:30" ht="14">
      <c r="A1257" s="26"/>
      <c r="B1257" s="5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 t="s">
        <v>38</v>
      </c>
      <c r="M1257" s="28">
        <v>32.299999999999997</v>
      </c>
      <c r="N1257" s="28">
        <v>8</v>
      </c>
      <c r="O1257" s="28">
        <v>8</v>
      </c>
      <c r="P1257" s="28">
        <v>0</v>
      </c>
      <c r="Q1257" s="28">
        <v>0</v>
      </c>
      <c r="R1257" s="28">
        <v>0</v>
      </c>
      <c r="S1257" s="28"/>
      <c r="Z1257" s="26"/>
      <c r="AA1257" s="23"/>
      <c r="AB1257" s="3" t="str">
        <f t="shared" si="9"/>
        <v>___</v>
      </c>
      <c r="AC1257" s="3" t="str">
        <f t="shared" si="8"/>
        <v>____</v>
      </c>
    </row>
    <row r="1258" spans="1:30" ht="14">
      <c r="A1258" s="29"/>
      <c r="B1258" s="30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 t="s">
        <v>39</v>
      </c>
      <c r="M1258" s="31">
        <v>24.9</v>
      </c>
      <c r="N1258" s="31">
        <v>0</v>
      </c>
      <c r="O1258" s="31">
        <v>5</v>
      </c>
      <c r="P1258" s="31">
        <v>0</v>
      </c>
      <c r="Q1258" s="31">
        <v>0</v>
      </c>
      <c r="R1258" s="31">
        <v>0</v>
      </c>
      <c r="S1258" s="28"/>
      <c r="Z1258" s="29"/>
      <c r="AA1258" s="23"/>
      <c r="AB1258" s="3" t="str">
        <f t="shared" si="9"/>
        <v>___</v>
      </c>
      <c r="AC1258" s="3" t="str">
        <f t="shared" si="8"/>
        <v>____</v>
      </c>
    </row>
    <row r="1259" spans="1:30" ht="14">
      <c r="A1259" s="28" t="s">
        <v>169</v>
      </c>
      <c r="B1259" s="5" t="s">
        <v>170</v>
      </c>
      <c r="C1259" s="28">
        <v>22</v>
      </c>
      <c r="D1259" s="26" t="s">
        <v>163</v>
      </c>
      <c r="E1259" s="26" t="s">
        <v>34</v>
      </c>
      <c r="F1259" s="26" t="s">
        <v>174</v>
      </c>
      <c r="G1259" s="26" t="s">
        <v>35</v>
      </c>
      <c r="H1259" s="28">
        <v>3</v>
      </c>
      <c r="I1259" s="28">
        <v>6.3</v>
      </c>
      <c r="J1259" s="28">
        <v>6.5</v>
      </c>
      <c r="K1259" s="28">
        <v>3</v>
      </c>
      <c r="L1259" s="26" t="s">
        <v>36</v>
      </c>
      <c r="M1259" s="28">
        <v>25.2</v>
      </c>
      <c r="N1259" s="28">
        <v>12</v>
      </c>
      <c r="O1259" s="28">
        <v>12</v>
      </c>
      <c r="P1259" s="28">
        <v>0</v>
      </c>
      <c r="Q1259" s="28">
        <v>0</v>
      </c>
      <c r="R1259" s="28">
        <v>0</v>
      </c>
      <c r="S1259" s="28"/>
      <c r="Z1259" s="26"/>
      <c r="AA1259" s="23"/>
      <c r="AB1259" s="3" t="str">
        <f t="shared" si="9"/>
        <v>ANO_178_22_T34-C2_vv</v>
      </c>
      <c r="AC1259" s="3" t="str">
        <f t="shared" si="8"/>
        <v>ANO_178_22_T34-C2_vv_3</v>
      </c>
      <c r="AD1259" s="3" t="s">
        <v>49</v>
      </c>
    </row>
    <row r="1260" spans="1:30" ht="14">
      <c r="A1260" s="28"/>
      <c r="B1260" s="5"/>
      <c r="C1260" s="28"/>
      <c r="D1260" s="26"/>
      <c r="E1260" s="26"/>
      <c r="F1260" s="26"/>
      <c r="G1260" s="26"/>
      <c r="H1260" s="28"/>
      <c r="I1260" s="28"/>
      <c r="J1260" s="28"/>
      <c r="K1260" s="28"/>
      <c r="L1260" s="26" t="s">
        <v>38</v>
      </c>
      <c r="M1260" s="28">
        <v>35.1</v>
      </c>
      <c r="N1260" s="28">
        <v>2</v>
      </c>
      <c r="O1260" s="28">
        <v>8</v>
      </c>
      <c r="P1260" s="28">
        <v>0</v>
      </c>
      <c r="Q1260" s="28">
        <v>0</v>
      </c>
      <c r="R1260" s="28">
        <v>0</v>
      </c>
      <c r="S1260" s="28"/>
      <c r="Z1260" s="26"/>
      <c r="AA1260" s="23"/>
      <c r="AB1260" s="3" t="str">
        <f t="shared" si="9"/>
        <v>___</v>
      </c>
      <c r="AC1260" s="3" t="str">
        <f t="shared" si="8"/>
        <v>____</v>
      </c>
    </row>
    <row r="1261" spans="1:30" ht="14">
      <c r="A1261" s="29"/>
      <c r="B1261" s="30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 t="s">
        <v>39</v>
      </c>
      <c r="M1261" s="31">
        <v>5.2</v>
      </c>
      <c r="N1261" s="31">
        <v>0</v>
      </c>
      <c r="O1261" s="31">
        <v>2</v>
      </c>
      <c r="P1261" s="31">
        <v>0</v>
      </c>
      <c r="Q1261" s="31">
        <v>0</v>
      </c>
      <c r="R1261" s="31">
        <v>0</v>
      </c>
      <c r="S1261" s="28"/>
      <c r="Z1261" s="29"/>
      <c r="AA1261" s="23"/>
      <c r="AB1261" s="3" t="str">
        <f t="shared" si="9"/>
        <v>___</v>
      </c>
      <c r="AC1261" s="3" t="str">
        <f t="shared" si="8"/>
        <v>____</v>
      </c>
    </row>
    <row r="1262" spans="1:30" ht="14">
      <c r="A1262" s="28" t="s">
        <v>169</v>
      </c>
      <c r="B1262" s="5" t="s">
        <v>170</v>
      </c>
      <c r="C1262" s="28">
        <v>26</v>
      </c>
      <c r="D1262" s="26" t="s">
        <v>163</v>
      </c>
      <c r="E1262" s="26" t="s">
        <v>34</v>
      </c>
      <c r="F1262" s="26" t="s">
        <v>176</v>
      </c>
      <c r="G1262" s="26" t="s">
        <v>35</v>
      </c>
      <c r="H1262" s="28">
        <v>1</v>
      </c>
      <c r="I1262" s="28">
        <v>6.9</v>
      </c>
      <c r="J1262" s="28">
        <v>7.1</v>
      </c>
      <c r="K1262" s="28">
        <v>3</v>
      </c>
      <c r="L1262" s="26" t="s">
        <v>36</v>
      </c>
      <c r="M1262" s="28">
        <v>25.1</v>
      </c>
      <c r="N1262" s="28">
        <v>11</v>
      </c>
      <c r="O1262" s="28">
        <v>12</v>
      </c>
      <c r="P1262" s="28">
        <v>0</v>
      </c>
      <c r="Q1262" s="28">
        <v>0</v>
      </c>
      <c r="R1262" s="28">
        <v>0</v>
      </c>
      <c r="S1262" s="28"/>
      <c r="Z1262" s="26"/>
      <c r="AA1262" s="23"/>
      <c r="AB1262" s="3" t="str">
        <f t="shared" si="9"/>
        <v>ANO_178_26_T13-C1_vv</v>
      </c>
      <c r="AC1262" s="3" t="str">
        <f t="shared" si="8"/>
        <v>ANO_178_26_T13-C1_vv_1</v>
      </c>
      <c r="AD1262" s="3" t="s">
        <v>49</v>
      </c>
    </row>
    <row r="1263" spans="1:30" ht="14">
      <c r="A1263" s="28"/>
      <c r="B1263" s="5"/>
      <c r="C1263" s="28"/>
      <c r="D1263" s="26"/>
      <c r="E1263" s="26"/>
      <c r="F1263" s="26"/>
      <c r="G1263" s="26"/>
      <c r="H1263" s="28"/>
      <c r="I1263" s="28"/>
      <c r="J1263" s="28"/>
      <c r="K1263" s="28"/>
      <c r="L1263" s="26" t="s">
        <v>38</v>
      </c>
      <c r="M1263" s="28">
        <v>19.8</v>
      </c>
      <c r="N1263" s="28">
        <v>7</v>
      </c>
      <c r="O1263" s="28">
        <v>7</v>
      </c>
      <c r="P1263" s="28">
        <v>0</v>
      </c>
      <c r="Q1263" s="28">
        <v>0</v>
      </c>
      <c r="R1263" s="28">
        <v>0</v>
      </c>
      <c r="S1263" s="28"/>
      <c r="Z1263" s="26"/>
      <c r="AA1263" s="23"/>
      <c r="AB1263" s="3" t="str">
        <f t="shared" si="9"/>
        <v>___</v>
      </c>
      <c r="AC1263" s="3" t="str">
        <f t="shared" si="8"/>
        <v>____</v>
      </c>
    </row>
    <row r="1264" spans="1:30" ht="14">
      <c r="A1264" s="29"/>
      <c r="B1264" s="30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 t="s">
        <v>39</v>
      </c>
      <c r="M1264" s="31">
        <v>9.9</v>
      </c>
      <c r="N1264" s="31">
        <v>0</v>
      </c>
      <c r="O1264" s="31">
        <v>2</v>
      </c>
      <c r="P1264" s="31">
        <v>0</v>
      </c>
      <c r="Q1264" s="31">
        <v>0</v>
      </c>
      <c r="R1264" s="31">
        <v>0</v>
      </c>
      <c r="S1264" s="28"/>
      <c r="Z1264" s="29"/>
      <c r="AA1264" s="23"/>
      <c r="AB1264" s="3" t="str">
        <f t="shared" si="9"/>
        <v>___</v>
      </c>
      <c r="AC1264" s="3" t="str">
        <f t="shared" si="8"/>
        <v>____</v>
      </c>
    </row>
    <row r="1265" spans="1:30" ht="14">
      <c r="A1265" s="28" t="s">
        <v>169</v>
      </c>
      <c r="B1265" s="5" t="s">
        <v>170</v>
      </c>
      <c r="C1265" s="28">
        <v>26</v>
      </c>
      <c r="D1265" s="26" t="s">
        <v>163</v>
      </c>
      <c r="E1265" s="26" t="s">
        <v>34</v>
      </c>
      <c r="F1265" s="26" t="s">
        <v>176</v>
      </c>
      <c r="G1265" s="26" t="s">
        <v>35</v>
      </c>
      <c r="H1265" s="28">
        <v>2</v>
      </c>
      <c r="I1265" s="28">
        <v>18.600000000000001</v>
      </c>
      <c r="J1265" s="28">
        <v>18.600000000000001</v>
      </c>
      <c r="K1265" s="28">
        <v>6</v>
      </c>
      <c r="L1265" s="26" t="s">
        <v>36</v>
      </c>
      <c r="M1265" s="28">
        <v>26.3</v>
      </c>
      <c r="N1265" s="28">
        <v>13</v>
      </c>
      <c r="O1265" s="28">
        <v>14</v>
      </c>
      <c r="P1265" s="28">
        <v>0</v>
      </c>
      <c r="Q1265" s="28">
        <v>0</v>
      </c>
      <c r="R1265" s="28">
        <v>0</v>
      </c>
      <c r="S1265" s="28"/>
      <c r="Z1265" s="26"/>
      <c r="AA1265" s="23"/>
      <c r="AB1265" s="3" t="str">
        <f t="shared" si="9"/>
        <v>ANO_178_26_T13-C1_vv</v>
      </c>
      <c r="AC1265" s="3" t="str">
        <f t="shared" si="8"/>
        <v>ANO_178_26_T13-C1_vv_2</v>
      </c>
      <c r="AD1265" s="3" t="s">
        <v>177</v>
      </c>
    </row>
    <row r="1266" spans="1:30" ht="14">
      <c r="A1266" s="28"/>
      <c r="B1266" s="5"/>
      <c r="C1266" s="28"/>
      <c r="D1266" s="26"/>
      <c r="E1266" s="26"/>
      <c r="F1266" s="26"/>
      <c r="G1266" s="26"/>
      <c r="H1266" s="28"/>
      <c r="I1266" s="28"/>
      <c r="J1266" s="28"/>
      <c r="K1266" s="28"/>
      <c r="L1266" s="26" t="s">
        <v>38</v>
      </c>
      <c r="M1266" s="28">
        <v>26.1</v>
      </c>
      <c r="N1266" s="28">
        <v>11</v>
      </c>
      <c r="O1266" s="28">
        <v>12</v>
      </c>
      <c r="P1266" s="28">
        <v>0</v>
      </c>
      <c r="Q1266" s="28">
        <v>0</v>
      </c>
      <c r="R1266" s="28">
        <v>0</v>
      </c>
      <c r="S1266" s="28"/>
      <c r="Z1266" s="26"/>
      <c r="AA1266" s="23"/>
      <c r="AB1266" s="3" t="str">
        <f t="shared" si="9"/>
        <v>___</v>
      </c>
      <c r="AC1266" s="3" t="str">
        <f t="shared" si="8"/>
        <v>____</v>
      </c>
    </row>
    <row r="1267" spans="1:30" ht="14">
      <c r="A1267" s="29"/>
      <c r="B1267" s="30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 t="s">
        <v>39</v>
      </c>
      <c r="M1267" s="31">
        <v>40.200000000000003</v>
      </c>
      <c r="N1267" s="31">
        <v>2</v>
      </c>
      <c r="O1267" s="31">
        <v>12</v>
      </c>
      <c r="P1267" s="31">
        <v>0</v>
      </c>
      <c r="Q1267" s="31">
        <v>0</v>
      </c>
      <c r="R1267" s="31">
        <v>0</v>
      </c>
      <c r="S1267" s="28"/>
      <c r="Z1267" s="29"/>
      <c r="AA1267" s="23"/>
      <c r="AB1267" s="3" t="str">
        <f t="shared" si="9"/>
        <v>___</v>
      </c>
      <c r="AC1267" s="3" t="str">
        <f t="shared" si="8"/>
        <v>____</v>
      </c>
    </row>
    <row r="1268" spans="1:30" ht="14">
      <c r="A1268" s="28" t="s">
        <v>169</v>
      </c>
      <c r="B1268" s="5" t="s">
        <v>170</v>
      </c>
      <c r="C1268" s="28">
        <v>26</v>
      </c>
      <c r="D1268" s="26" t="s">
        <v>163</v>
      </c>
      <c r="E1268" s="26" t="s">
        <v>34</v>
      </c>
      <c r="F1268" s="26" t="s">
        <v>176</v>
      </c>
      <c r="G1268" s="26" t="s">
        <v>35</v>
      </c>
      <c r="H1268" s="28">
        <v>3</v>
      </c>
      <c r="I1268" s="28">
        <v>5.9</v>
      </c>
      <c r="J1268" s="28">
        <v>6.5</v>
      </c>
      <c r="K1268" s="28">
        <v>3</v>
      </c>
      <c r="L1268" s="26" t="s">
        <v>36</v>
      </c>
      <c r="M1268" s="28">
        <v>24.2</v>
      </c>
      <c r="N1268" s="28">
        <v>11</v>
      </c>
      <c r="O1268" s="28">
        <v>12</v>
      </c>
      <c r="P1268" s="28">
        <v>0</v>
      </c>
      <c r="Q1268" s="28">
        <v>0</v>
      </c>
      <c r="R1268" s="28">
        <v>0</v>
      </c>
      <c r="S1268" s="28"/>
      <c r="Z1268" s="26"/>
      <c r="AA1268" s="23"/>
      <c r="AB1268" s="3" t="str">
        <f t="shared" si="9"/>
        <v>ANO_178_26_T13-C1_vv</v>
      </c>
      <c r="AC1268" s="3" t="str">
        <f t="shared" si="8"/>
        <v>ANO_178_26_T13-C1_vv_3</v>
      </c>
      <c r="AD1268" s="3" t="s">
        <v>49</v>
      </c>
    </row>
    <row r="1269" spans="1:30" ht="14">
      <c r="A1269" s="26"/>
      <c r="B1269" s="5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 t="s">
        <v>38</v>
      </c>
      <c r="M1269" s="28">
        <v>20</v>
      </c>
      <c r="N1269" s="28">
        <v>6</v>
      </c>
      <c r="O1269" s="28">
        <v>8</v>
      </c>
      <c r="P1269" s="28">
        <v>0</v>
      </c>
      <c r="Q1269" s="28">
        <v>0</v>
      </c>
      <c r="R1269" s="28">
        <v>0</v>
      </c>
      <c r="S1269" s="28"/>
      <c r="Z1269" s="26"/>
      <c r="AA1269" s="23"/>
      <c r="AB1269" s="3" t="str">
        <f t="shared" si="9"/>
        <v>___</v>
      </c>
      <c r="AC1269" s="3" t="str">
        <f t="shared" si="8"/>
        <v>____</v>
      </c>
    </row>
    <row r="1270" spans="1:30" ht="14">
      <c r="A1270" s="29"/>
      <c r="B1270" s="30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 t="s">
        <v>39</v>
      </c>
      <c r="M1270" s="31">
        <v>19.8</v>
      </c>
      <c r="N1270" s="31">
        <v>0</v>
      </c>
      <c r="O1270" s="31">
        <v>3</v>
      </c>
      <c r="P1270" s="31">
        <v>0</v>
      </c>
      <c r="Q1270" s="31">
        <v>0</v>
      </c>
      <c r="R1270" s="31">
        <v>0</v>
      </c>
      <c r="S1270" s="28"/>
      <c r="Z1270" s="29"/>
      <c r="AA1270" s="23"/>
      <c r="AB1270" s="3" t="str">
        <f t="shared" si="9"/>
        <v>___</v>
      </c>
      <c r="AC1270" s="3" t="str">
        <f t="shared" si="8"/>
        <v>____</v>
      </c>
    </row>
    <row r="1271" spans="1:30" ht="14">
      <c r="A1271" s="28" t="s">
        <v>169</v>
      </c>
      <c r="B1271" s="5" t="s">
        <v>170</v>
      </c>
      <c r="C1271" s="28">
        <v>13</v>
      </c>
      <c r="D1271" s="26" t="s">
        <v>163</v>
      </c>
      <c r="E1271" s="26" t="s">
        <v>34</v>
      </c>
      <c r="F1271" s="26" t="s">
        <v>171</v>
      </c>
      <c r="G1271" s="26" t="s">
        <v>35</v>
      </c>
      <c r="H1271" s="28">
        <v>1</v>
      </c>
      <c r="I1271" s="28">
        <v>12</v>
      </c>
      <c r="J1271" s="28">
        <v>12.5</v>
      </c>
      <c r="K1271" s="28">
        <v>4</v>
      </c>
      <c r="L1271" s="26" t="s">
        <v>36</v>
      </c>
      <c r="M1271" s="28">
        <v>35.200000000000003</v>
      </c>
      <c r="N1271" s="28">
        <v>17</v>
      </c>
      <c r="O1271" s="28">
        <v>17</v>
      </c>
      <c r="P1271" s="28">
        <v>0</v>
      </c>
      <c r="Q1271" s="28">
        <v>0</v>
      </c>
      <c r="R1271" s="28">
        <v>0</v>
      </c>
      <c r="S1271" s="28"/>
      <c r="Z1271" s="26"/>
      <c r="AA1271" s="23"/>
      <c r="AB1271" s="3" t="str">
        <f t="shared" si="9"/>
        <v>ANO_178_13_V1-C7_vv</v>
      </c>
      <c r="AC1271" s="3" t="str">
        <f t="shared" si="8"/>
        <v>ANO_178_13_V1-C7_vv_1</v>
      </c>
    </row>
    <row r="1272" spans="1:30" ht="14">
      <c r="A1272" s="26"/>
      <c r="B1272" s="5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 t="s">
        <v>38</v>
      </c>
      <c r="M1272" s="28">
        <v>34.9</v>
      </c>
      <c r="N1272" s="28">
        <v>10</v>
      </c>
      <c r="O1272" s="28">
        <v>12</v>
      </c>
      <c r="P1272" s="28">
        <v>0</v>
      </c>
      <c r="Q1272" s="28">
        <v>0</v>
      </c>
      <c r="R1272" s="28">
        <v>0</v>
      </c>
      <c r="S1272" s="28"/>
      <c r="Z1272" s="26"/>
      <c r="AA1272" s="23"/>
      <c r="AB1272" s="3" t="str">
        <f t="shared" si="9"/>
        <v>___</v>
      </c>
      <c r="AC1272" s="3" t="str">
        <f t="shared" si="8"/>
        <v>____</v>
      </c>
    </row>
    <row r="1273" spans="1:30" ht="14">
      <c r="A1273" s="29"/>
      <c r="B1273" s="30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 t="s">
        <v>39</v>
      </c>
      <c r="M1273" s="31">
        <v>15.3</v>
      </c>
      <c r="N1273" s="31">
        <v>5</v>
      </c>
      <c r="O1273" s="31">
        <v>7</v>
      </c>
      <c r="P1273" s="31">
        <v>0</v>
      </c>
      <c r="Q1273" s="31">
        <v>0</v>
      </c>
      <c r="R1273" s="31">
        <v>0</v>
      </c>
      <c r="S1273" s="28"/>
      <c r="Z1273" s="29"/>
      <c r="AA1273" s="23"/>
      <c r="AB1273" s="3" t="str">
        <f t="shared" si="9"/>
        <v>___</v>
      </c>
      <c r="AC1273" s="3" t="str">
        <f t="shared" si="8"/>
        <v>____</v>
      </c>
    </row>
    <row r="1274" spans="1:30" ht="14">
      <c r="A1274" s="28" t="s">
        <v>169</v>
      </c>
      <c r="B1274" s="5" t="s">
        <v>170</v>
      </c>
      <c r="C1274" s="28">
        <v>13</v>
      </c>
      <c r="D1274" s="26" t="s">
        <v>163</v>
      </c>
      <c r="E1274" s="26" t="s">
        <v>34</v>
      </c>
      <c r="F1274" s="26" t="s">
        <v>171</v>
      </c>
      <c r="G1274" s="26" t="s">
        <v>35</v>
      </c>
      <c r="H1274" s="28">
        <v>2</v>
      </c>
      <c r="I1274" s="28">
        <v>15</v>
      </c>
      <c r="J1274" s="28">
        <v>15.5</v>
      </c>
      <c r="K1274" s="28">
        <v>4</v>
      </c>
      <c r="L1274" s="26" t="s">
        <v>36</v>
      </c>
      <c r="M1274" s="28">
        <v>19.600000000000001</v>
      </c>
      <c r="N1274" s="28">
        <v>9</v>
      </c>
      <c r="O1274" s="28">
        <v>10</v>
      </c>
      <c r="P1274" s="28">
        <v>0</v>
      </c>
      <c r="Q1274" s="28">
        <v>0</v>
      </c>
      <c r="R1274" s="28">
        <v>0</v>
      </c>
      <c r="S1274" s="28"/>
      <c r="Z1274" s="26"/>
      <c r="AA1274" s="23"/>
      <c r="AB1274" s="3" t="str">
        <f t="shared" si="9"/>
        <v>ANO_178_13_V1-C7_vv</v>
      </c>
      <c r="AC1274" s="3" t="str">
        <f t="shared" si="8"/>
        <v>ANO_178_13_V1-C7_vv_2</v>
      </c>
    </row>
    <row r="1275" spans="1:30" ht="14">
      <c r="A1275" s="28"/>
      <c r="B1275" s="5"/>
      <c r="C1275" s="28"/>
      <c r="D1275" s="26"/>
      <c r="E1275" s="26"/>
      <c r="F1275" s="26"/>
      <c r="G1275" s="26"/>
      <c r="H1275" s="28"/>
      <c r="I1275" s="28"/>
      <c r="J1275" s="28"/>
      <c r="K1275" s="28"/>
      <c r="L1275" s="26" t="s">
        <v>38</v>
      </c>
      <c r="M1275" s="28">
        <v>30</v>
      </c>
      <c r="N1275" s="28">
        <v>7</v>
      </c>
      <c r="O1275" s="28">
        <v>9</v>
      </c>
      <c r="P1275" s="28">
        <v>0</v>
      </c>
      <c r="Q1275" s="28">
        <v>0</v>
      </c>
      <c r="R1275" s="28">
        <v>0</v>
      </c>
      <c r="S1275" s="28"/>
      <c r="Z1275" s="26"/>
      <c r="AA1275" s="23"/>
      <c r="AB1275" s="3" t="str">
        <f t="shared" si="9"/>
        <v>___</v>
      </c>
      <c r="AC1275" s="3" t="str">
        <f t="shared" si="8"/>
        <v>____</v>
      </c>
    </row>
    <row r="1276" spans="1:30" ht="14">
      <c r="A1276" s="29"/>
      <c r="B1276" s="30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 t="s">
        <v>39</v>
      </c>
      <c r="M1276" s="31">
        <v>23.4</v>
      </c>
      <c r="N1276" s="31">
        <v>3</v>
      </c>
      <c r="O1276" s="31">
        <v>9</v>
      </c>
      <c r="P1276" s="31">
        <v>0</v>
      </c>
      <c r="Q1276" s="31">
        <v>0</v>
      </c>
      <c r="R1276" s="31">
        <v>0</v>
      </c>
      <c r="S1276" s="28"/>
      <c r="Z1276" s="29"/>
      <c r="AA1276" s="23"/>
      <c r="AB1276" s="3" t="str">
        <f t="shared" si="9"/>
        <v>___</v>
      </c>
      <c r="AC1276" s="3" t="str">
        <f t="shared" si="8"/>
        <v>____</v>
      </c>
    </row>
    <row r="1277" spans="1:30" ht="14">
      <c r="A1277" s="28" t="s">
        <v>169</v>
      </c>
      <c r="B1277" s="5" t="s">
        <v>170</v>
      </c>
      <c r="C1277" s="28">
        <v>13</v>
      </c>
      <c r="D1277" s="26" t="s">
        <v>163</v>
      </c>
      <c r="E1277" s="26" t="s">
        <v>34</v>
      </c>
      <c r="F1277" s="26" t="s">
        <v>171</v>
      </c>
      <c r="G1277" s="26" t="s">
        <v>35</v>
      </c>
      <c r="H1277" s="28">
        <v>3</v>
      </c>
      <c r="I1277" s="28">
        <v>9.3000000000000007</v>
      </c>
      <c r="J1277" s="28">
        <v>10.4</v>
      </c>
      <c r="K1277" s="28">
        <v>4</v>
      </c>
      <c r="L1277" s="26" t="s">
        <v>36</v>
      </c>
      <c r="M1277" s="28">
        <v>23.7</v>
      </c>
      <c r="N1277" s="28">
        <v>12</v>
      </c>
      <c r="O1277" s="28">
        <v>12</v>
      </c>
      <c r="P1277" s="28">
        <v>0</v>
      </c>
      <c r="Q1277" s="28">
        <v>0</v>
      </c>
      <c r="R1277" s="28">
        <v>0</v>
      </c>
      <c r="S1277" s="28"/>
      <c r="Z1277" s="26"/>
      <c r="AA1277" s="23"/>
      <c r="AB1277" s="3" t="str">
        <f t="shared" si="9"/>
        <v>ANO_178_13_V1-C7_vv</v>
      </c>
      <c r="AC1277" s="3" t="str">
        <f t="shared" ref="AC1277:AC1531" si="10">CONCATENATE(B1277,"_",C1277,"_",F1277,"_",G1277,"_",H1277)</f>
        <v>ANO_178_13_V1-C7_vv_3</v>
      </c>
    </row>
    <row r="1278" spans="1:30" ht="14">
      <c r="A1278" s="28"/>
      <c r="B1278" s="5"/>
      <c r="C1278" s="28"/>
      <c r="D1278" s="26"/>
      <c r="E1278" s="26"/>
      <c r="F1278" s="26"/>
      <c r="G1278" s="26"/>
      <c r="H1278" s="28"/>
      <c r="I1278" s="28"/>
      <c r="J1278" s="28"/>
      <c r="K1278" s="28"/>
      <c r="L1278" s="26" t="s">
        <v>38</v>
      </c>
      <c r="M1278" s="28">
        <v>38.6</v>
      </c>
      <c r="N1278" s="28">
        <v>11</v>
      </c>
      <c r="O1278" s="28">
        <v>14</v>
      </c>
      <c r="P1278" s="28">
        <v>0</v>
      </c>
      <c r="Q1278" s="28">
        <v>0</v>
      </c>
      <c r="R1278" s="28">
        <v>0</v>
      </c>
      <c r="S1278" s="28"/>
      <c r="Z1278" s="26"/>
      <c r="AA1278" s="23"/>
      <c r="AB1278" s="3" t="str">
        <f t="shared" ref="AB1278:AB1532" si="11">CONCATENATE(B1278, "_",C1278,"_",F1278,"_",G1278)</f>
        <v>___</v>
      </c>
      <c r="AC1278" s="3" t="str">
        <f t="shared" si="10"/>
        <v>____</v>
      </c>
    </row>
    <row r="1279" spans="1:30" ht="14">
      <c r="A1279" s="29"/>
      <c r="B1279" s="30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 t="s">
        <v>39</v>
      </c>
      <c r="M1279" s="31">
        <v>19.8</v>
      </c>
      <c r="N1279" s="31">
        <v>0</v>
      </c>
      <c r="O1279" s="31">
        <v>3</v>
      </c>
      <c r="P1279" s="31">
        <v>1</v>
      </c>
      <c r="Q1279" s="31">
        <v>1</v>
      </c>
      <c r="R1279" s="31">
        <v>0</v>
      </c>
      <c r="S1279" s="28"/>
      <c r="Z1279" s="29"/>
      <c r="AA1279" s="23"/>
      <c r="AB1279" s="3" t="str">
        <f t="shared" si="11"/>
        <v>___</v>
      </c>
      <c r="AC1279" s="3" t="str">
        <f t="shared" si="10"/>
        <v>____</v>
      </c>
    </row>
    <row r="1280" spans="1:30" ht="14">
      <c r="A1280" s="28" t="s">
        <v>178</v>
      </c>
      <c r="B1280" s="5" t="s">
        <v>179</v>
      </c>
      <c r="C1280" s="28">
        <v>31</v>
      </c>
      <c r="D1280" s="26" t="s">
        <v>163</v>
      </c>
      <c r="E1280" s="26" t="s">
        <v>180</v>
      </c>
      <c r="F1280" s="26" t="s">
        <v>181</v>
      </c>
      <c r="G1280" s="26" t="s">
        <v>35</v>
      </c>
      <c r="H1280" s="28">
        <v>1</v>
      </c>
      <c r="I1280" s="28">
        <v>9.5</v>
      </c>
      <c r="J1280" s="28">
        <v>9.5</v>
      </c>
      <c r="K1280" s="28">
        <v>4</v>
      </c>
      <c r="L1280" s="26" t="s">
        <v>36</v>
      </c>
      <c r="M1280" s="28">
        <v>32.1</v>
      </c>
      <c r="N1280" s="28">
        <v>11</v>
      </c>
      <c r="O1280" s="28">
        <v>11</v>
      </c>
      <c r="P1280" s="28">
        <v>0</v>
      </c>
      <c r="Q1280" s="28">
        <v>0</v>
      </c>
      <c r="R1280" s="28">
        <v>0</v>
      </c>
      <c r="S1280" s="28"/>
      <c r="Z1280" s="26"/>
      <c r="AA1280" s="23"/>
      <c r="AB1280" s="3" t="str">
        <f t="shared" si="11"/>
        <v>ANO_818_31_T4-C2_vv</v>
      </c>
      <c r="AC1280" s="3" t="str">
        <f t="shared" si="10"/>
        <v>ANO_818_31_T4-C2_vv_1</v>
      </c>
    </row>
    <row r="1281" spans="1:29" ht="14">
      <c r="A1281" s="28"/>
      <c r="B1281" s="5"/>
      <c r="C1281" s="28"/>
      <c r="D1281" s="26"/>
      <c r="E1281" s="26"/>
      <c r="F1281" s="26"/>
      <c r="G1281" s="26"/>
      <c r="H1281" s="28"/>
      <c r="I1281" s="28"/>
      <c r="J1281" s="28"/>
      <c r="K1281" s="28"/>
      <c r="L1281" s="26" t="s">
        <v>38</v>
      </c>
      <c r="M1281" s="28">
        <v>22.2</v>
      </c>
      <c r="N1281" s="28">
        <v>5</v>
      </c>
      <c r="O1281" s="28">
        <v>6</v>
      </c>
      <c r="P1281" s="28">
        <v>0</v>
      </c>
      <c r="Q1281" s="28">
        <v>0</v>
      </c>
      <c r="R1281" s="28">
        <v>0</v>
      </c>
      <c r="S1281" s="28"/>
      <c r="Z1281" s="26"/>
      <c r="AA1281" s="23"/>
      <c r="AB1281" s="3" t="str">
        <f t="shared" si="11"/>
        <v>___</v>
      </c>
      <c r="AC1281" s="3" t="str">
        <f t="shared" si="10"/>
        <v>____</v>
      </c>
    </row>
    <row r="1282" spans="1:29" ht="14">
      <c r="A1282" s="29"/>
      <c r="B1282" s="30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 t="s">
        <v>39</v>
      </c>
      <c r="M1282" s="31">
        <v>30</v>
      </c>
      <c r="N1282" s="31">
        <v>2</v>
      </c>
      <c r="O1282" s="31">
        <v>3</v>
      </c>
      <c r="P1282" s="31">
        <v>0</v>
      </c>
      <c r="Q1282" s="31">
        <v>0</v>
      </c>
      <c r="R1282" s="31">
        <v>0</v>
      </c>
      <c r="S1282" s="28"/>
      <c r="Z1282" s="29"/>
      <c r="AA1282" s="23"/>
      <c r="AB1282" s="3" t="str">
        <f t="shared" si="11"/>
        <v>___</v>
      </c>
      <c r="AC1282" s="3" t="str">
        <f t="shared" si="10"/>
        <v>____</v>
      </c>
    </row>
    <row r="1283" spans="1:29" ht="14">
      <c r="A1283" s="28" t="s">
        <v>178</v>
      </c>
      <c r="B1283" s="5" t="s">
        <v>179</v>
      </c>
      <c r="C1283" s="28">
        <v>31</v>
      </c>
      <c r="D1283" s="26" t="s">
        <v>163</v>
      </c>
      <c r="E1283" s="26" t="s">
        <v>180</v>
      </c>
      <c r="F1283" s="26" t="s">
        <v>181</v>
      </c>
      <c r="G1283" s="26" t="s">
        <v>35</v>
      </c>
      <c r="H1283" s="28">
        <v>2</v>
      </c>
      <c r="I1283" s="28">
        <v>8.4</v>
      </c>
      <c r="J1283" s="28">
        <v>13.2</v>
      </c>
      <c r="K1283" s="28">
        <v>4</v>
      </c>
      <c r="L1283" s="26" t="s">
        <v>36</v>
      </c>
      <c r="M1283" s="28">
        <v>38.299999999999997</v>
      </c>
      <c r="N1283" s="28">
        <v>10</v>
      </c>
      <c r="O1283" s="28">
        <v>10</v>
      </c>
      <c r="P1283" s="28">
        <v>0</v>
      </c>
      <c r="Q1283" s="28">
        <v>0</v>
      </c>
      <c r="R1283" s="28">
        <v>0</v>
      </c>
      <c r="S1283" s="28"/>
      <c r="Z1283" s="26"/>
      <c r="AA1283" s="23"/>
      <c r="AB1283" s="3" t="str">
        <f t="shared" si="11"/>
        <v>ANO_818_31_T4-C2_vv</v>
      </c>
      <c r="AC1283" s="3" t="str">
        <f t="shared" si="10"/>
        <v>ANO_818_31_T4-C2_vv_2</v>
      </c>
    </row>
    <row r="1284" spans="1:29" ht="14">
      <c r="A1284" s="26"/>
      <c r="B1284" s="5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 t="s">
        <v>38</v>
      </c>
      <c r="M1284" s="28">
        <v>55.6</v>
      </c>
      <c r="N1284" s="28">
        <v>12</v>
      </c>
      <c r="O1284" s="28">
        <v>13</v>
      </c>
      <c r="P1284" s="28">
        <v>0</v>
      </c>
      <c r="Q1284" s="28">
        <v>0</v>
      </c>
      <c r="R1284" s="28">
        <v>0</v>
      </c>
      <c r="S1284" s="28"/>
      <c r="Z1284" s="26"/>
      <c r="AA1284" s="23"/>
      <c r="AB1284" s="3" t="str">
        <f t="shared" si="11"/>
        <v>___</v>
      </c>
      <c r="AC1284" s="3" t="str">
        <f t="shared" si="10"/>
        <v>____</v>
      </c>
    </row>
    <row r="1285" spans="1:29" ht="14">
      <c r="A1285" s="29"/>
      <c r="B1285" s="30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 t="s">
        <v>39</v>
      </c>
      <c r="M1285" s="31">
        <v>19.8</v>
      </c>
      <c r="N1285" s="31">
        <v>1</v>
      </c>
      <c r="O1285" s="31">
        <v>4</v>
      </c>
      <c r="P1285" s="31">
        <v>0</v>
      </c>
      <c r="Q1285" s="31">
        <v>0</v>
      </c>
      <c r="R1285" s="31">
        <v>0</v>
      </c>
      <c r="S1285" s="28"/>
      <c r="Z1285" s="29"/>
      <c r="AA1285" s="23"/>
      <c r="AB1285" s="3" t="str">
        <f t="shared" si="11"/>
        <v>___</v>
      </c>
      <c r="AC1285" s="3" t="str">
        <f t="shared" si="10"/>
        <v>____</v>
      </c>
    </row>
    <row r="1286" spans="1:29" ht="14">
      <c r="A1286" s="28" t="s">
        <v>178</v>
      </c>
      <c r="B1286" s="5" t="s">
        <v>179</v>
      </c>
      <c r="C1286" s="28">
        <v>31</v>
      </c>
      <c r="D1286" s="26" t="s">
        <v>163</v>
      </c>
      <c r="E1286" s="26" t="s">
        <v>180</v>
      </c>
      <c r="F1286" s="26" t="s">
        <v>181</v>
      </c>
      <c r="G1286" s="26" t="s">
        <v>35</v>
      </c>
      <c r="H1286" s="28">
        <v>3</v>
      </c>
      <c r="I1286" s="28">
        <v>5</v>
      </c>
      <c r="J1286" s="28">
        <v>8.1</v>
      </c>
      <c r="K1286" s="28">
        <v>4</v>
      </c>
      <c r="L1286" s="26" t="s">
        <v>36</v>
      </c>
      <c r="M1286" s="28">
        <v>30.1</v>
      </c>
      <c r="N1286" s="28">
        <v>11</v>
      </c>
      <c r="O1286" s="28">
        <v>12</v>
      </c>
      <c r="P1286" s="28">
        <v>0</v>
      </c>
      <c r="Q1286" s="28">
        <v>0</v>
      </c>
      <c r="R1286" s="28">
        <v>0</v>
      </c>
      <c r="S1286" s="28"/>
      <c r="Z1286" s="26"/>
      <c r="AA1286" s="23"/>
      <c r="AB1286" s="3" t="str">
        <f t="shared" si="11"/>
        <v>ANO_818_31_T4-C2_vv</v>
      </c>
      <c r="AC1286" s="3" t="str">
        <f t="shared" si="10"/>
        <v>ANO_818_31_T4-C2_vv_3</v>
      </c>
    </row>
    <row r="1287" spans="1:29" ht="14">
      <c r="A1287" s="26"/>
      <c r="B1287" s="5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 t="s">
        <v>38</v>
      </c>
      <c r="M1287" s="28">
        <v>21.2</v>
      </c>
      <c r="N1287" s="28">
        <v>6</v>
      </c>
      <c r="O1287" s="28">
        <v>6</v>
      </c>
      <c r="P1287" s="28">
        <v>0</v>
      </c>
      <c r="Q1287" s="28">
        <v>0</v>
      </c>
      <c r="R1287" s="28">
        <v>0</v>
      </c>
      <c r="S1287" s="28"/>
      <c r="Z1287" s="26"/>
      <c r="AA1287" s="23"/>
      <c r="AB1287" s="3" t="str">
        <f t="shared" si="11"/>
        <v>___</v>
      </c>
      <c r="AC1287" s="3" t="str">
        <f t="shared" si="10"/>
        <v>____</v>
      </c>
    </row>
    <row r="1288" spans="1:29" ht="14">
      <c r="A1288" s="29"/>
      <c r="B1288" s="30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 t="s">
        <v>39</v>
      </c>
      <c r="M1288" s="31">
        <v>20.3</v>
      </c>
      <c r="N1288" s="31">
        <v>0</v>
      </c>
      <c r="O1288" s="31">
        <v>6</v>
      </c>
      <c r="P1288" s="31">
        <v>2</v>
      </c>
      <c r="Q1288" s="31">
        <v>2</v>
      </c>
      <c r="R1288" s="31">
        <v>0</v>
      </c>
      <c r="S1288" s="28"/>
      <c r="Z1288" s="29"/>
      <c r="AA1288" s="23"/>
      <c r="AB1288" s="3" t="str">
        <f t="shared" si="11"/>
        <v>___</v>
      </c>
      <c r="AC1288" s="3" t="str">
        <f t="shared" si="10"/>
        <v>____</v>
      </c>
    </row>
    <row r="1289" spans="1:29" ht="14">
      <c r="A1289" s="28" t="s">
        <v>178</v>
      </c>
      <c r="B1289" s="5" t="s">
        <v>179</v>
      </c>
      <c r="C1289" s="28">
        <v>31</v>
      </c>
      <c r="D1289" s="26" t="s">
        <v>163</v>
      </c>
      <c r="E1289" s="26" t="s">
        <v>180</v>
      </c>
      <c r="F1289" s="26" t="s">
        <v>181</v>
      </c>
      <c r="G1289" s="26" t="s">
        <v>40</v>
      </c>
      <c r="H1289" s="28">
        <v>1</v>
      </c>
      <c r="I1289" s="28">
        <v>35</v>
      </c>
      <c r="J1289" s="28">
        <v>37.200000000000003</v>
      </c>
      <c r="K1289" s="28">
        <v>6</v>
      </c>
      <c r="L1289" s="26" t="s">
        <v>36</v>
      </c>
      <c r="M1289" s="28">
        <v>49.4</v>
      </c>
      <c r="N1289" s="28">
        <v>5</v>
      </c>
      <c r="O1289" s="28">
        <v>6</v>
      </c>
      <c r="P1289" s="28">
        <v>0</v>
      </c>
      <c r="Q1289" s="28">
        <v>0</v>
      </c>
      <c r="R1289" s="28">
        <v>0</v>
      </c>
      <c r="S1289" s="28"/>
      <c r="Z1289" s="26"/>
      <c r="AA1289" s="23"/>
      <c r="AB1289" s="3" t="str">
        <f t="shared" si="11"/>
        <v>ANO_818_31_T4-C2_vm</v>
      </c>
      <c r="AC1289" s="3" t="str">
        <f t="shared" si="10"/>
        <v>ANO_818_31_T4-C2_vm_1</v>
      </c>
    </row>
    <row r="1290" spans="1:29" ht="14">
      <c r="A1290" s="28"/>
      <c r="B1290" s="5"/>
      <c r="C1290" s="28"/>
      <c r="D1290" s="26"/>
      <c r="E1290" s="26"/>
      <c r="F1290" s="26"/>
      <c r="G1290" s="26"/>
      <c r="H1290" s="28"/>
      <c r="I1290" s="28"/>
      <c r="J1290" s="28"/>
      <c r="K1290" s="28"/>
      <c r="L1290" s="26" t="s">
        <v>38</v>
      </c>
      <c r="M1290" s="28">
        <v>85.7</v>
      </c>
      <c r="N1290" s="28">
        <v>0</v>
      </c>
      <c r="O1290" s="28">
        <v>7</v>
      </c>
      <c r="P1290" s="28">
        <v>2</v>
      </c>
      <c r="Q1290" s="28">
        <v>2</v>
      </c>
      <c r="R1290" s="28">
        <v>0</v>
      </c>
      <c r="S1290" s="28"/>
      <c r="Z1290" s="26"/>
      <c r="AA1290" s="23"/>
      <c r="AB1290" s="3" t="str">
        <f t="shared" si="11"/>
        <v>___</v>
      </c>
      <c r="AC1290" s="3" t="str">
        <f t="shared" si="10"/>
        <v>____</v>
      </c>
    </row>
    <row r="1291" spans="1:29" ht="14">
      <c r="A1291" s="29"/>
      <c r="B1291" s="30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 t="s">
        <v>39</v>
      </c>
      <c r="M1291" s="31">
        <v>71.599999999999994</v>
      </c>
      <c r="N1291" s="31">
        <v>0</v>
      </c>
      <c r="O1291" s="31">
        <v>1</v>
      </c>
      <c r="P1291" s="31">
        <v>3</v>
      </c>
      <c r="Q1291" s="31">
        <v>9</v>
      </c>
      <c r="R1291" s="31">
        <v>0</v>
      </c>
      <c r="S1291" s="28"/>
      <c r="Z1291" s="29"/>
      <c r="AA1291" s="23"/>
      <c r="AB1291" s="3" t="str">
        <f t="shared" si="11"/>
        <v>___</v>
      </c>
      <c r="AC1291" s="3" t="str">
        <f t="shared" si="10"/>
        <v>____</v>
      </c>
    </row>
    <row r="1292" spans="1:29" ht="14">
      <c r="A1292" s="28" t="s">
        <v>178</v>
      </c>
      <c r="B1292" s="5" t="s">
        <v>179</v>
      </c>
      <c r="C1292" s="28">
        <v>31</v>
      </c>
      <c r="D1292" s="26" t="s">
        <v>163</v>
      </c>
      <c r="E1292" s="26" t="s">
        <v>180</v>
      </c>
      <c r="F1292" s="26" t="s">
        <v>181</v>
      </c>
      <c r="G1292" s="26" t="s">
        <v>40</v>
      </c>
      <c r="H1292" s="28">
        <v>2</v>
      </c>
      <c r="I1292" s="28">
        <v>26.3</v>
      </c>
      <c r="J1292" s="28">
        <v>32</v>
      </c>
      <c r="K1292" s="28">
        <v>5</v>
      </c>
      <c r="L1292" s="26" t="s">
        <v>36</v>
      </c>
      <c r="M1292" s="28">
        <v>100.2</v>
      </c>
      <c r="N1292" s="28">
        <v>4</v>
      </c>
      <c r="O1292" s="28">
        <v>7</v>
      </c>
      <c r="P1292" s="28">
        <v>3</v>
      </c>
      <c r="Q1292" s="28">
        <v>3</v>
      </c>
      <c r="R1292" s="28">
        <v>0</v>
      </c>
      <c r="S1292" s="28"/>
      <c r="Z1292" s="26" t="s">
        <v>182</v>
      </c>
      <c r="AA1292" s="23"/>
      <c r="AB1292" s="3" t="str">
        <f t="shared" si="11"/>
        <v>ANO_818_31_T4-C2_vm</v>
      </c>
      <c r="AC1292" s="3" t="str">
        <f t="shared" si="10"/>
        <v>ANO_818_31_T4-C2_vm_2</v>
      </c>
    </row>
    <row r="1293" spans="1:29" ht="14">
      <c r="A1293" s="28"/>
      <c r="B1293" s="5"/>
      <c r="C1293" s="28"/>
      <c r="D1293" s="26"/>
      <c r="E1293" s="26"/>
      <c r="F1293" s="26"/>
      <c r="G1293" s="26"/>
      <c r="H1293" s="28"/>
      <c r="I1293" s="28"/>
      <c r="J1293" s="28"/>
      <c r="K1293" s="28"/>
      <c r="L1293" s="26" t="s">
        <v>38</v>
      </c>
      <c r="M1293" s="28">
        <v>50</v>
      </c>
      <c r="N1293" s="28">
        <v>0</v>
      </c>
      <c r="O1293" s="28">
        <v>3</v>
      </c>
      <c r="P1293" s="28">
        <v>3</v>
      </c>
      <c r="Q1293" s="28">
        <v>11</v>
      </c>
      <c r="R1293" s="28">
        <v>0</v>
      </c>
      <c r="S1293" s="28"/>
      <c r="Z1293" s="26"/>
      <c r="AA1293" s="23"/>
      <c r="AB1293" s="3" t="str">
        <f t="shared" si="11"/>
        <v>___</v>
      </c>
      <c r="AC1293" s="3" t="str">
        <f t="shared" si="10"/>
        <v>____</v>
      </c>
    </row>
    <row r="1294" spans="1:29" ht="14">
      <c r="A1294" s="29"/>
      <c r="B1294" s="30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 t="s">
        <v>39</v>
      </c>
      <c r="M1294" s="31">
        <v>41.8</v>
      </c>
      <c r="N1294" s="31">
        <v>0</v>
      </c>
      <c r="O1294" s="31">
        <v>4</v>
      </c>
      <c r="P1294" s="31">
        <v>1</v>
      </c>
      <c r="Q1294" s="31">
        <v>16</v>
      </c>
      <c r="R1294" s="31">
        <v>0</v>
      </c>
      <c r="S1294" s="28"/>
      <c r="Z1294" s="29"/>
      <c r="AA1294" s="23"/>
      <c r="AB1294" s="3" t="str">
        <f t="shared" si="11"/>
        <v>___</v>
      </c>
      <c r="AC1294" s="3" t="str">
        <f t="shared" si="10"/>
        <v>____</v>
      </c>
    </row>
    <row r="1295" spans="1:29" ht="14">
      <c r="A1295" s="28" t="s">
        <v>178</v>
      </c>
      <c r="B1295" s="5" t="s">
        <v>179</v>
      </c>
      <c r="C1295" s="28">
        <v>31</v>
      </c>
      <c r="D1295" s="26" t="s">
        <v>163</v>
      </c>
      <c r="E1295" s="26" t="s">
        <v>180</v>
      </c>
      <c r="F1295" s="26" t="s">
        <v>181</v>
      </c>
      <c r="G1295" s="26" t="s">
        <v>40</v>
      </c>
      <c r="H1295" s="28">
        <v>3</v>
      </c>
      <c r="I1295" s="28">
        <v>36.799999999999997</v>
      </c>
      <c r="J1295" s="28">
        <v>38</v>
      </c>
      <c r="K1295" s="28">
        <v>5</v>
      </c>
      <c r="L1295" s="26" t="s">
        <v>36</v>
      </c>
      <c r="M1295" s="28">
        <v>95.5</v>
      </c>
      <c r="N1295" s="28">
        <v>8</v>
      </c>
      <c r="O1295" s="28">
        <v>8</v>
      </c>
      <c r="P1295" s="28">
        <v>1</v>
      </c>
      <c r="Q1295" s="28">
        <v>1</v>
      </c>
      <c r="R1295" s="28">
        <v>0</v>
      </c>
      <c r="S1295" s="28"/>
      <c r="Z1295" s="26"/>
      <c r="AA1295" s="23"/>
      <c r="AB1295" s="3" t="str">
        <f t="shared" si="11"/>
        <v>ANO_818_31_T4-C2_vm</v>
      </c>
      <c r="AC1295" s="3" t="str">
        <f t="shared" si="10"/>
        <v>ANO_818_31_T4-C2_vm_3</v>
      </c>
    </row>
    <row r="1296" spans="1:29" ht="14">
      <c r="A1296" s="28"/>
      <c r="B1296" s="5"/>
      <c r="C1296" s="28"/>
      <c r="D1296" s="26"/>
      <c r="E1296" s="26"/>
      <c r="F1296" s="26"/>
      <c r="G1296" s="26"/>
      <c r="H1296" s="28"/>
      <c r="I1296" s="28"/>
      <c r="J1296" s="28"/>
      <c r="K1296" s="28"/>
      <c r="L1296" s="26" t="s">
        <v>38</v>
      </c>
      <c r="M1296" s="28">
        <v>65.3</v>
      </c>
      <c r="N1296" s="28">
        <v>0</v>
      </c>
      <c r="O1296" s="28">
        <v>5</v>
      </c>
      <c r="P1296" s="28">
        <v>2</v>
      </c>
      <c r="Q1296" s="28">
        <v>1</v>
      </c>
      <c r="R1296" s="28">
        <v>0</v>
      </c>
      <c r="S1296" s="28"/>
      <c r="Z1296" s="26"/>
      <c r="AA1296" s="23"/>
      <c r="AB1296" s="3" t="str">
        <f t="shared" si="11"/>
        <v>___</v>
      </c>
      <c r="AC1296" s="3" t="str">
        <f t="shared" si="10"/>
        <v>____</v>
      </c>
    </row>
    <row r="1297" spans="1:30" ht="14">
      <c r="A1297" s="29"/>
      <c r="B1297" s="30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 t="s">
        <v>39</v>
      </c>
      <c r="M1297" s="31">
        <v>60</v>
      </c>
      <c r="N1297" s="31">
        <v>0</v>
      </c>
      <c r="O1297" s="31">
        <v>2</v>
      </c>
      <c r="P1297" s="31">
        <v>1</v>
      </c>
      <c r="Q1297" s="31">
        <v>0</v>
      </c>
      <c r="R1297" s="31">
        <v>0</v>
      </c>
      <c r="S1297" s="28"/>
      <c r="Z1297" s="29"/>
      <c r="AA1297" s="23"/>
      <c r="AB1297" s="3" t="str">
        <f t="shared" si="11"/>
        <v>___</v>
      </c>
      <c r="AC1297" s="3" t="str">
        <f t="shared" si="10"/>
        <v>____</v>
      </c>
    </row>
    <row r="1298" spans="1:30" ht="14">
      <c r="A1298" s="28" t="s">
        <v>183</v>
      </c>
      <c r="B1298" s="5" t="s">
        <v>184</v>
      </c>
      <c r="C1298" s="28">
        <v>24</v>
      </c>
      <c r="D1298" s="26" t="s">
        <v>163</v>
      </c>
      <c r="E1298" s="26" t="s">
        <v>180</v>
      </c>
      <c r="F1298" s="26" t="s">
        <v>147</v>
      </c>
      <c r="G1298" s="26" t="s">
        <v>40</v>
      </c>
      <c r="H1298" s="28">
        <v>1</v>
      </c>
      <c r="I1298" s="28">
        <v>17.5</v>
      </c>
      <c r="J1298" s="28">
        <v>28.1</v>
      </c>
      <c r="K1298" s="28">
        <v>5</v>
      </c>
      <c r="L1298" s="26" t="s">
        <v>36</v>
      </c>
      <c r="M1298" s="28">
        <v>80.2</v>
      </c>
      <c r="N1298" s="28">
        <v>4</v>
      </c>
      <c r="O1298" s="28">
        <v>10</v>
      </c>
      <c r="P1298" s="28">
        <v>3</v>
      </c>
      <c r="Q1298" s="28">
        <v>5</v>
      </c>
      <c r="R1298" s="28">
        <v>0</v>
      </c>
      <c r="S1298" s="28"/>
      <c r="Z1298" s="26" t="s">
        <v>166</v>
      </c>
      <c r="AA1298" s="23"/>
      <c r="AB1298" s="3" t="str">
        <f t="shared" si="11"/>
        <v>ANO_016_24_T4-C5_vm</v>
      </c>
      <c r="AC1298" s="3" t="str">
        <f t="shared" si="10"/>
        <v>ANO_016_24_T4-C5_vm_1</v>
      </c>
      <c r="AD1298" s="3" t="s">
        <v>37</v>
      </c>
    </row>
    <row r="1299" spans="1:30" ht="14">
      <c r="A1299" s="26"/>
      <c r="B1299" s="5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 t="s">
        <v>38</v>
      </c>
      <c r="M1299" s="28">
        <v>60</v>
      </c>
      <c r="N1299" s="28">
        <v>0</v>
      </c>
      <c r="O1299" s="28">
        <v>4</v>
      </c>
      <c r="P1299" s="28">
        <v>3</v>
      </c>
      <c r="Q1299" s="28">
        <v>6</v>
      </c>
      <c r="R1299" s="28">
        <v>0</v>
      </c>
      <c r="S1299" s="28"/>
      <c r="Z1299" s="26"/>
      <c r="AA1299" s="23"/>
      <c r="AB1299" s="3" t="str">
        <f t="shared" si="11"/>
        <v>___</v>
      </c>
      <c r="AC1299" s="3" t="str">
        <f t="shared" si="10"/>
        <v>____</v>
      </c>
    </row>
    <row r="1300" spans="1:30" ht="14">
      <c r="A1300" s="29"/>
      <c r="B1300" s="30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 t="s">
        <v>39</v>
      </c>
      <c r="M1300" s="31">
        <v>60.8</v>
      </c>
      <c r="N1300" s="31">
        <v>0</v>
      </c>
      <c r="O1300" s="31">
        <v>4</v>
      </c>
      <c r="P1300" s="31">
        <v>2</v>
      </c>
      <c r="Q1300" s="31">
        <v>7</v>
      </c>
      <c r="R1300" s="31">
        <v>0</v>
      </c>
      <c r="S1300" s="28"/>
      <c r="Z1300" s="29"/>
      <c r="AA1300" s="23"/>
      <c r="AB1300" s="3" t="str">
        <f t="shared" si="11"/>
        <v>___</v>
      </c>
      <c r="AC1300" s="3" t="str">
        <f t="shared" si="10"/>
        <v>____</v>
      </c>
    </row>
    <row r="1301" spans="1:30" ht="14">
      <c r="A1301" s="28" t="s">
        <v>183</v>
      </c>
      <c r="B1301" s="5" t="s">
        <v>184</v>
      </c>
      <c r="C1301" s="28">
        <v>24</v>
      </c>
      <c r="D1301" s="26" t="s">
        <v>163</v>
      </c>
      <c r="E1301" s="26" t="s">
        <v>180</v>
      </c>
      <c r="F1301" s="26" t="s">
        <v>147</v>
      </c>
      <c r="G1301" s="26" t="s">
        <v>40</v>
      </c>
      <c r="H1301" s="28">
        <v>2</v>
      </c>
      <c r="I1301" s="28">
        <v>16.5</v>
      </c>
      <c r="J1301" s="28">
        <v>30.6</v>
      </c>
      <c r="K1301" s="28">
        <v>4</v>
      </c>
      <c r="L1301" s="26" t="s">
        <v>36</v>
      </c>
      <c r="M1301" s="28">
        <v>100.6</v>
      </c>
      <c r="N1301" s="28">
        <v>4</v>
      </c>
      <c r="O1301" s="28">
        <v>10</v>
      </c>
      <c r="P1301" s="28">
        <v>2</v>
      </c>
      <c r="Q1301" s="28">
        <v>2</v>
      </c>
      <c r="R1301" s="28">
        <v>0</v>
      </c>
      <c r="S1301" s="28"/>
      <c r="Z1301" s="26" t="s">
        <v>166</v>
      </c>
      <c r="AA1301" s="23"/>
      <c r="AB1301" s="3" t="str">
        <f t="shared" si="11"/>
        <v>ANO_016_24_T4-C5_vm</v>
      </c>
      <c r="AC1301" s="3" t="str">
        <f t="shared" si="10"/>
        <v>ANO_016_24_T4-C5_vm_2</v>
      </c>
      <c r="AD1301" s="3" t="s">
        <v>37</v>
      </c>
    </row>
    <row r="1302" spans="1:30" ht="14">
      <c r="A1302" s="26"/>
      <c r="B1302" s="5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 t="s">
        <v>38</v>
      </c>
      <c r="M1302" s="28">
        <v>85.2</v>
      </c>
      <c r="N1302" s="28">
        <v>0</v>
      </c>
      <c r="O1302" s="28">
        <v>8</v>
      </c>
      <c r="P1302" s="28">
        <v>3</v>
      </c>
      <c r="Q1302" s="28">
        <v>15</v>
      </c>
      <c r="R1302" s="28">
        <v>0</v>
      </c>
      <c r="S1302" s="28"/>
      <c r="Z1302" s="26"/>
      <c r="AA1302" s="23"/>
      <c r="AB1302" s="3" t="str">
        <f t="shared" si="11"/>
        <v>___</v>
      </c>
      <c r="AC1302" s="3" t="str">
        <f t="shared" si="10"/>
        <v>____</v>
      </c>
    </row>
    <row r="1303" spans="1:30" ht="14">
      <c r="A1303" s="29"/>
      <c r="B1303" s="30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 t="s">
        <v>39</v>
      </c>
      <c r="M1303" s="31">
        <v>60.7</v>
      </c>
      <c r="N1303" s="31">
        <v>0</v>
      </c>
      <c r="O1303" s="31">
        <v>4</v>
      </c>
      <c r="P1303" s="31">
        <v>2</v>
      </c>
      <c r="Q1303" s="31">
        <v>18</v>
      </c>
      <c r="R1303" s="31">
        <v>0</v>
      </c>
      <c r="S1303" s="28"/>
      <c r="Z1303" s="29"/>
      <c r="AA1303" s="23"/>
      <c r="AB1303" s="3" t="str">
        <f t="shared" si="11"/>
        <v>___</v>
      </c>
      <c r="AC1303" s="3" t="str">
        <f t="shared" si="10"/>
        <v>____</v>
      </c>
    </row>
    <row r="1304" spans="1:30" ht="14">
      <c r="A1304" s="28" t="s">
        <v>183</v>
      </c>
      <c r="B1304" s="5" t="s">
        <v>184</v>
      </c>
      <c r="C1304" s="28">
        <v>24</v>
      </c>
      <c r="D1304" s="26" t="s">
        <v>163</v>
      </c>
      <c r="E1304" s="26" t="s">
        <v>180</v>
      </c>
      <c r="F1304" s="26" t="s">
        <v>147</v>
      </c>
      <c r="G1304" s="26" t="s">
        <v>40</v>
      </c>
      <c r="H1304" s="28">
        <v>3</v>
      </c>
      <c r="I1304" s="28">
        <v>17</v>
      </c>
      <c r="J1304" s="28">
        <v>18.5</v>
      </c>
      <c r="K1304" s="28">
        <v>4</v>
      </c>
      <c r="L1304" s="26" t="s">
        <v>36</v>
      </c>
      <c r="M1304" s="28">
        <v>100.2</v>
      </c>
      <c r="N1304" s="28">
        <v>5</v>
      </c>
      <c r="O1304" s="28">
        <v>11</v>
      </c>
      <c r="P1304" s="28">
        <v>4</v>
      </c>
      <c r="Q1304" s="28">
        <v>4</v>
      </c>
      <c r="R1304" s="28">
        <v>0</v>
      </c>
      <c r="S1304" s="28"/>
      <c r="Z1304" s="26" t="s">
        <v>166</v>
      </c>
      <c r="AA1304" s="23"/>
      <c r="AB1304" s="3" t="str">
        <f t="shared" si="11"/>
        <v>ANO_016_24_T4-C5_vm</v>
      </c>
      <c r="AC1304" s="3" t="str">
        <f t="shared" si="10"/>
        <v>ANO_016_24_T4-C5_vm_3</v>
      </c>
      <c r="AD1304" s="3" t="s">
        <v>37</v>
      </c>
    </row>
    <row r="1305" spans="1:30" ht="14">
      <c r="A1305" s="28"/>
      <c r="B1305" s="5"/>
      <c r="C1305" s="28"/>
      <c r="D1305" s="26"/>
      <c r="E1305" s="26"/>
      <c r="F1305" s="26"/>
      <c r="G1305" s="26"/>
      <c r="H1305" s="28"/>
      <c r="I1305" s="28"/>
      <c r="J1305" s="28"/>
      <c r="K1305" s="28"/>
      <c r="L1305" s="26" t="s">
        <v>38</v>
      </c>
      <c r="M1305" s="28">
        <v>49.8</v>
      </c>
      <c r="N1305" s="28">
        <v>0</v>
      </c>
      <c r="O1305" s="28">
        <v>4</v>
      </c>
      <c r="P1305" s="28">
        <v>3</v>
      </c>
      <c r="Q1305" s="28">
        <v>10</v>
      </c>
      <c r="R1305" s="28">
        <v>0</v>
      </c>
      <c r="S1305" s="28"/>
      <c r="Z1305" s="26"/>
      <c r="AA1305" s="23"/>
      <c r="AB1305" s="3" t="str">
        <f t="shared" si="11"/>
        <v>___</v>
      </c>
      <c r="AC1305" s="3" t="str">
        <f t="shared" si="10"/>
        <v>____</v>
      </c>
    </row>
    <row r="1306" spans="1:30" ht="14">
      <c r="A1306" s="29"/>
      <c r="B1306" s="30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 t="s">
        <v>39</v>
      </c>
      <c r="M1306" s="31">
        <v>24.5</v>
      </c>
      <c r="N1306" s="31">
        <v>0</v>
      </c>
      <c r="O1306" s="31">
        <v>2</v>
      </c>
      <c r="P1306" s="31">
        <v>0</v>
      </c>
      <c r="Q1306" s="31">
        <v>0</v>
      </c>
      <c r="R1306" s="31">
        <v>0</v>
      </c>
      <c r="S1306" s="28"/>
      <c r="Z1306" s="29"/>
      <c r="AA1306" s="23"/>
      <c r="AB1306" s="3" t="str">
        <f t="shared" si="11"/>
        <v>___</v>
      </c>
      <c r="AC1306" s="3" t="str">
        <f t="shared" si="10"/>
        <v>____</v>
      </c>
    </row>
    <row r="1307" spans="1:30" ht="14">
      <c r="A1307" s="28" t="s">
        <v>183</v>
      </c>
      <c r="B1307" s="5" t="s">
        <v>184</v>
      </c>
      <c r="C1307" s="28">
        <v>44</v>
      </c>
      <c r="D1307" s="26" t="s">
        <v>163</v>
      </c>
      <c r="E1307" s="26" t="s">
        <v>180</v>
      </c>
      <c r="F1307" s="26" t="s">
        <v>136</v>
      </c>
      <c r="G1307" s="26" t="s">
        <v>40</v>
      </c>
      <c r="H1307" s="28">
        <v>1</v>
      </c>
      <c r="I1307" s="28">
        <v>26</v>
      </c>
      <c r="J1307" s="28">
        <v>33.299999999999997</v>
      </c>
      <c r="K1307" s="28">
        <v>5</v>
      </c>
      <c r="L1307" s="26" t="s">
        <v>36</v>
      </c>
      <c r="M1307" s="28">
        <v>95.4</v>
      </c>
      <c r="N1307" s="28">
        <v>4</v>
      </c>
      <c r="O1307" s="28">
        <v>6</v>
      </c>
      <c r="P1307" s="28">
        <v>5</v>
      </c>
      <c r="Q1307" s="28">
        <v>5</v>
      </c>
      <c r="R1307" s="28">
        <v>0</v>
      </c>
      <c r="S1307" s="28"/>
      <c r="Z1307" s="26" t="s">
        <v>166</v>
      </c>
      <c r="AA1307" s="23"/>
      <c r="AB1307" s="3" t="str">
        <f t="shared" si="11"/>
        <v>ANO_016_44_T4-C1_vm</v>
      </c>
      <c r="AC1307" s="3" t="str">
        <f t="shared" si="10"/>
        <v>ANO_016_44_T4-C1_vm_1</v>
      </c>
      <c r="AD1307" s="3" t="s">
        <v>37</v>
      </c>
    </row>
    <row r="1308" spans="1:30" ht="14">
      <c r="A1308" s="28"/>
      <c r="B1308" s="5"/>
      <c r="C1308" s="28"/>
      <c r="D1308" s="26"/>
      <c r="E1308" s="26"/>
      <c r="F1308" s="26"/>
      <c r="G1308" s="26"/>
      <c r="H1308" s="28"/>
      <c r="I1308" s="28"/>
      <c r="J1308" s="28"/>
      <c r="K1308" s="28"/>
      <c r="L1308" s="26" t="s">
        <v>38</v>
      </c>
      <c r="M1308" s="28">
        <v>45.2</v>
      </c>
      <c r="N1308" s="28">
        <v>0</v>
      </c>
      <c r="O1308" s="28">
        <v>4</v>
      </c>
      <c r="P1308" s="28">
        <v>0</v>
      </c>
      <c r="Q1308" s="28">
        <v>0</v>
      </c>
      <c r="R1308" s="28">
        <v>0</v>
      </c>
      <c r="S1308" s="28"/>
      <c r="Z1308" s="26"/>
      <c r="AA1308" s="23"/>
      <c r="AB1308" s="3" t="str">
        <f t="shared" si="11"/>
        <v>___</v>
      </c>
      <c r="AC1308" s="3" t="str">
        <f t="shared" si="10"/>
        <v>____</v>
      </c>
    </row>
    <row r="1309" spans="1:30" ht="14">
      <c r="A1309" s="29"/>
      <c r="B1309" s="30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 t="s">
        <v>39</v>
      </c>
      <c r="M1309" s="31">
        <v>60</v>
      </c>
      <c r="N1309" s="31">
        <v>0</v>
      </c>
      <c r="O1309" s="31">
        <v>2</v>
      </c>
      <c r="P1309" s="31">
        <v>5</v>
      </c>
      <c r="Q1309" s="31">
        <v>24</v>
      </c>
      <c r="R1309" s="31">
        <v>2</v>
      </c>
      <c r="S1309" s="28"/>
      <c r="Z1309" s="29"/>
      <c r="AA1309" s="23"/>
      <c r="AB1309" s="3" t="str">
        <f t="shared" si="11"/>
        <v>___</v>
      </c>
      <c r="AC1309" s="3" t="str">
        <f t="shared" si="10"/>
        <v>____</v>
      </c>
    </row>
    <row r="1310" spans="1:30" ht="14">
      <c r="A1310" s="28" t="s">
        <v>183</v>
      </c>
      <c r="B1310" s="5" t="s">
        <v>184</v>
      </c>
      <c r="C1310" s="28">
        <v>44</v>
      </c>
      <c r="D1310" s="26" t="s">
        <v>163</v>
      </c>
      <c r="E1310" s="26" t="s">
        <v>180</v>
      </c>
      <c r="F1310" s="26" t="s">
        <v>136</v>
      </c>
      <c r="G1310" s="26" t="s">
        <v>40</v>
      </c>
      <c r="H1310" s="28">
        <v>2</v>
      </c>
      <c r="I1310" s="28">
        <v>24.1</v>
      </c>
      <c r="J1310" s="28">
        <v>45.1</v>
      </c>
      <c r="K1310" s="28">
        <v>5</v>
      </c>
      <c r="L1310" s="26" t="s">
        <v>36</v>
      </c>
      <c r="M1310" s="28">
        <v>95.4</v>
      </c>
      <c r="N1310" s="28">
        <v>8</v>
      </c>
      <c r="O1310" s="28">
        <v>8</v>
      </c>
      <c r="P1310" s="28">
        <v>1</v>
      </c>
      <c r="Q1310" s="28">
        <v>1</v>
      </c>
      <c r="R1310" s="28">
        <v>0</v>
      </c>
      <c r="S1310" s="28"/>
      <c r="Z1310" s="26" t="s">
        <v>166</v>
      </c>
      <c r="AA1310" s="23"/>
      <c r="AB1310" s="3" t="str">
        <f t="shared" si="11"/>
        <v>ANO_016_44_T4-C1_vm</v>
      </c>
      <c r="AC1310" s="3" t="str">
        <f t="shared" si="10"/>
        <v>ANO_016_44_T4-C1_vm_2</v>
      </c>
      <c r="AD1310" s="3" t="s">
        <v>37</v>
      </c>
    </row>
    <row r="1311" spans="1:30" ht="14">
      <c r="A1311" s="28"/>
      <c r="B1311" s="5"/>
      <c r="C1311" s="28"/>
      <c r="D1311" s="26"/>
      <c r="E1311" s="26"/>
      <c r="F1311" s="26"/>
      <c r="G1311" s="26"/>
      <c r="H1311" s="28"/>
      <c r="I1311" s="28"/>
      <c r="J1311" s="28"/>
      <c r="K1311" s="28"/>
      <c r="L1311" s="26" t="s">
        <v>38</v>
      </c>
      <c r="M1311" s="28">
        <v>84.6</v>
      </c>
      <c r="N1311" s="28">
        <v>0</v>
      </c>
      <c r="O1311" s="28">
        <v>4</v>
      </c>
      <c r="P1311" s="28">
        <v>3</v>
      </c>
      <c r="Q1311" s="28">
        <v>3</v>
      </c>
      <c r="R1311" s="28">
        <v>0</v>
      </c>
      <c r="S1311" s="28"/>
      <c r="Z1311" s="26"/>
      <c r="AA1311" s="23"/>
      <c r="AB1311" s="3" t="str">
        <f t="shared" si="11"/>
        <v>___</v>
      </c>
      <c r="AC1311" s="3" t="str">
        <f t="shared" si="10"/>
        <v>____</v>
      </c>
    </row>
    <row r="1312" spans="1:30" ht="14">
      <c r="A1312" s="29"/>
      <c r="B1312" s="30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 t="s">
        <v>39</v>
      </c>
      <c r="M1312" s="31">
        <v>110.3</v>
      </c>
      <c r="N1312" s="31">
        <v>0</v>
      </c>
      <c r="O1312" s="31">
        <v>2</v>
      </c>
      <c r="P1312" s="31">
        <v>2</v>
      </c>
      <c r="Q1312" s="31">
        <v>9</v>
      </c>
      <c r="R1312" s="31">
        <v>0</v>
      </c>
      <c r="S1312" s="28"/>
      <c r="Z1312" s="29"/>
      <c r="AA1312" s="23"/>
      <c r="AB1312" s="3" t="str">
        <f t="shared" si="11"/>
        <v>___</v>
      </c>
      <c r="AC1312" s="3" t="str">
        <f t="shared" si="10"/>
        <v>____</v>
      </c>
    </row>
    <row r="1313" spans="1:30" ht="14">
      <c r="A1313" s="28" t="s">
        <v>183</v>
      </c>
      <c r="B1313" s="5" t="s">
        <v>184</v>
      </c>
      <c r="C1313" s="28">
        <v>44</v>
      </c>
      <c r="D1313" s="26" t="s">
        <v>163</v>
      </c>
      <c r="E1313" s="26" t="s">
        <v>180</v>
      </c>
      <c r="F1313" s="26" t="s">
        <v>136</v>
      </c>
      <c r="G1313" s="26" t="s">
        <v>40</v>
      </c>
      <c r="H1313" s="28">
        <v>3</v>
      </c>
      <c r="I1313" s="28">
        <v>25.5</v>
      </c>
      <c r="J1313" s="28">
        <v>29.8</v>
      </c>
      <c r="K1313" s="28">
        <v>4</v>
      </c>
      <c r="L1313" s="26" t="s">
        <v>36</v>
      </c>
      <c r="M1313" s="28">
        <v>100.2</v>
      </c>
      <c r="N1313" s="28">
        <v>8</v>
      </c>
      <c r="O1313" s="28">
        <v>8</v>
      </c>
      <c r="P1313" s="28">
        <v>1</v>
      </c>
      <c r="Q1313" s="28">
        <v>1</v>
      </c>
      <c r="R1313" s="28">
        <v>0</v>
      </c>
      <c r="S1313" s="28"/>
      <c r="Z1313" s="26" t="s">
        <v>166</v>
      </c>
      <c r="AA1313" s="23"/>
      <c r="AB1313" s="3" t="str">
        <f t="shared" si="11"/>
        <v>ANO_016_44_T4-C1_vm</v>
      </c>
      <c r="AC1313" s="3" t="str">
        <f t="shared" si="10"/>
        <v>ANO_016_44_T4-C1_vm_3</v>
      </c>
      <c r="AD1313" s="3" t="s">
        <v>37</v>
      </c>
    </row>
    <row r="1314" spans="1:30" ht="14">
      <c r="A1314" s="26"/>
      <c r="B1314" s="5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 t="s">
        <v>38</v>
      </c>
      <c r="M1314" s="28">
        <v>152.5</v>
      </c>
      <c r="N1314" s="28">
        <v>0</v>
      </c>
      <c r="O1314" s="28">
        <v>2</v>
      </c>
      <c r="P1314" s="28">
        <v>3</v>
      </c>
      <c r="Q1314" s="28">
        <v>3</v>
      </c>
      <c r="R1314" s="28">
        <v>0</v>
      </c>
      <c r="S1314" s="28"/>
      <c r="Z1314" s="26"/>
      <c r="AA1314" s="23"/>
      <c r="AB1314" s="3" t="str">
        <f t="shared" si="11"/>
        <v>___</v>
      </c>
      <c r="AC1314" s="3" t="str">
        <f t="shared" si="10"/>
        <v>____</v>
      </c>
    </row>
    <row r="1315" spans="1:30" ht="14">
      <c r="A1315" s="29"/>
      <c r="B1315" s="30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 t="s">
        <v>39</v>
      </c>
      <c r="M1315" s="31">
        <v>75.400000000000006</v>
      </c>
      <c r="N1315" s="31">
        <v>0</v>
      </c>
      <c r="O1315" s="31">
        <v>2</v>
      </c>
      <c r="P1315" s="31">
        <v>1</v>
      </c>
      <c r="Q1315" s="31">
        <v>0</v>
      </c>
      <c r="R1315" s="31">
        <v>0</v>
      </c>
      <c r="S1315" s="28"/>
      <c r="Z1315" s="29"/>
      <c r="AA1315" s="23"/>
      <c r="AB1315" s="3" t="str">
        <f t="shared" si="11"/>
        <v>___</v>
      </c>
      <c r="AC1315" s="3" t="str">
        <f t="shared" si="10"/>
        <v>____</v>
      </c>
    </row>
    <row r="1316" spans="1:30" ht="14">
      <c r="A1316" s="28" t="s">
        <v>183</v>
      </c>
      <c r="B1316" s="5" t="s">
        <v>184</v>
      </c>
      <c r="C1316" s="28">
        <v>55</v>
      </c>
      <c r="D1316" s="26" t="s">
        <v>163</v>
      </c>
      <c r="E1316" s="26" t="s">
        <v>34</v>
      </c>
      <c r="F1316" s="26" t="s">
        <v>146</v>
      </c>
      <c r="G1316" s="26" t="s">
        <v>40</v>
      </c>
      <c r="H1316" s="28">
        <v>1</v>
      </c>
      <c r="I1316" s="28">
        <v>21.2</v>
      </c>
      <c r="J1316" s="28">
        <v>38.6</v>
      </c>
      <c r="K1316" s="28">
        <v>4</v>
      </c>
      <c r="L1316" s="26" t="s">
        <v>36</v>
      </c>
      <c r="M1316" s="28">
        <v>45</v>
      </c>
      <c r="N1316" s="28">
        <v>0</v>
      </c>
      <c r="O1316" s="28">
        <v>3</v>
      </c>
      <c r="P1316" s="28">
        <v>4</v>
      </c>
      <c r="Q1316" s="28">
        <v>9</v>
      </c>
      <c r="R1316" s="28">
        <v>0</v>
      </c>
      <c r="S1316" s="28"/>
      <c r="Z1316" s="26" t="s">
        <v>166</v>
      </c>
      <c r="AA1316" s="23"/>
      <c r="AB1316" s="3" t="str">
        <f t="shared" si="11"/>
        <v>ANO_016_55_V2-C1_vm</v>
      </c>
      <c r="AC1316" s="3" t="str">
        <f t="shared" si="10"/>
        <v>ANO_016_55_V2-C1_vm_1</v>
      </c>
      <c r="AD1316" s="3" t="s">
        <v>37</v>
      </c>
    </row>
    <row r="1317" spans="1:30" ht="14">
      <c r="A1317" s="28"/>
      <c r="B1317" s="5"/>
      <c r="C1317" s="28"/>
      <c r="D1317" s="26"/>
      <c r="E1317" s="26"/>
      <c r="F1317" s="26"/>
      <c r="G1317" s="26"/>
      <c r="H1317" s="28"/>
      <c r="I1317" s="28"/>
      <c r="J1317" s="28"/>
      <c r="K1317" s="28"/>
      <c r="L1317" s="26" t="s">
        <v>38</v>
      </c>
      <c r="M1317" s="28">
        <v>72.2</v>
      </c>
      <c r="N1317" s="28">
        <v>0</v>
      </c>
      <c r="O1317" s="28">
        <v>2</v>
      </c>
      <c r="P1317" s="28">
        <v>2</v>
      </c>
      <c r="Q1317" s="28">
        <v>6</v>
      </c>
      <c r="R1317" s="28">
        <v>0</v>
      </c>
      <c r="S1317" s="28"/>
      <c r="Z1317" s="26"/>
      <c r="AA1317" s="23"/>
      <c r="AB1317" s="3" t="str">
        <f t="shared" si="11"/>
        <v>___</v>
      </c>
      <c r="AC1317" s="3" t="str">
        <f t="shared" si="10"/>
        <v>____</v>
      </c>
    </row>
    <row r="1318" spans="1:30" ht="14">
      <c r="A1318" s="29"/>
      <c r="B1318" s="30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 t="s">
        <v>39</v>
      </c>
      <c r="M1318" s="31">
        <v>60</v>
      </c>
      <c r="N1318" s="31">
        <v>0</v>
      </c>
      <c r="O1318" s="31">
        <v>2</v>
      </c>
      <c r="P1318" s="31">
        <v>3</v>
      </c>
      <c r="Q1318" s="31">
        <v>31</v>
      </c>
      <c r="R1318" s="31">
        <v>0</v>
      </c>
      <c r="S1318" s="28"/>
      <c r="Z1318" s="29"/>
      <c r="AA1318" s="23"/>
      <c r="AB1318" s="3" t="str">
        <f t="shared" si="11"/>
        <v>___</v>
      </c>
      <c r="AC1318" s="3" t="str">
        <f t="shared" si="10"/>
        <v>____</v>
      </c>
    </row>
    <row r="1319" spans="1:30" ht="14">
      <c r="A1319" s="28" t="s">
        <v>183</v>
      </c>
      <c r="B1319" s="5" t="s">
        <v>184</v>
      </c>
      <c r="C1319" s="28">
        <v>55</v>
      </c>
      <c r="D1319" s="26" t="s">
        <v>163</v>
      </c>
      <c r="E1319" s="26" t="s">
        <v>34</v>
      </c>
      <c r="F1319" s="26" t="s">
        <v>146</v>
      </c>
      <c r="G1319" s="26" t="s">
        <v>40</v>
      </c>
      <c r="H1319" s="28">
        <v>2</v>
      </c>
      <c r="I1319" s="28">
        <v>24.3</v>
      </c>
      <c r="J1319" s="28">
        <v>26.8</v>
      </c>
      <c r="K1319" s="28">
        <v>4</v>
      </c>
      <c r="L1319" s="26" t="s">
        <v>36</v>
      </c>
      <c r="M1319" s="28">
        <v>42.5</v>
      </c>
      <c r="N1319" s="28">
        <v>3</v>
      </c>
      <c r="O1319" s="28">
        <v>4</v>
      </c>
      <c r="P1319" s="28">
        <v>0</v>
      </c>
      <c r="Q1319" s="28">
        <v>0</v>
      </c>
      <c r="R1319" s="28">
        <v>0</v>
      </c>
      <c r="S1319" s="28"/>
      <c r="Z1319" s="26"/>
      <c r="AA1319" s="23"/>
      <c r="AB1319" s="3" t="str">
        <f t="shared" si="11"/>
        <v>ANO_016_55_V2-C1_vm</v>
      </c>
      <c r="AC1319" s="3" t="str">
        <f t="shared" si="10"/>
        <v>ANO_016_55_V2-C1_vm_2</v>
      </c>
      <c r="AD1319" s="3" t="s">
        <v>37</v>
      </c>
    </row>
    <row r="1320" spans="1:30" ht="14">
      <c r="A1320" s="28"/>
      <c r="B1320" s="5"/>
      <c r="C1320" s="28"/>
      <c r="D1320" s="26"/>
      <c r="E1320" s="26"/>
      <c r="F1320" s="26"/>
      <c r="G1320" s="26"/>
      <c r="H1320" s="28"/>
      <c r="I1320" s="28"/>
      <c r="J1320" s="28"/>
      <c r="K1320" s="28"/>
      <c r="L1320" s="26" t="s">
        <v>38</v>
      </c>
      <c r="M1320" s="28">
        <v>76.7</v>
      </c>
      <c r="N1320" s="28">
        <v>0</v>
      </c>
      <c r="O1320" s="28">
        <v>3</v>
      </c>
      <c r="P1320" s="28">
        <v>3</v>
      </c>
      <c r="Q1320" s="28">
        <v>12</v>
      </c>
      <c r="R1320" s="28">
        <v>0</v>
      </c>
      <c r="S1320" s="28"/>
      <c r="Z1320" s="26"/>
      <c r="AA1320" s="23"/>
      <c r="AB1320" s="3" t="str">
        <f t="shared" si="11"/>
        <v>___</v>
      </c>
      <c r="AC1320" s="3" t="str">
        <f t="shared" si="10"/>
        <v>____</v>
      </c>
    </row>
    <row r="1321" spans="1:30" ht="14">
      <c r="A1321" s="29"/>
      <c r="B1321" s="30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 t="s">
        <v>39</v>
      </c>
      <c r="M1321" s="31">
        <v>95.2</v>
      </c>
      <c r="N1321" s="31">
        <v>0</v>
      </c>
      <c r="O1321" s="31">
        <v>6</v>
      </c>
      <c r="P1321" s="31">
        <v>4</v>
      </c>
      <c r="Q1321" s="31">
        <v>4</v>
      </c>
      <c r="R1321" s="31">
        <v>0</v>
      </c>
      <c r="S1321" s="28"/>
      <c r="Z1321" s="29"/>
      <c r="AA1321" s="23"/>
      <c r="AB1321" s="3" t="str">
        <f t="shared" si="11"/>
        <v>___</v>
      </c>
      <c r="AC1321" s="3" t="str">
        <f t="shared" si="10"/>
        <v>____</v>
      </c>
    </row>
    <row r="1322" spans="1:30" ht="14">
      <c r="A1322" s="28" t="s">
        <v>183</v>
      </c>
      <c r="B1322" s="5" t="s">
        <v>184</v>
      </c>
      <c r="C1322" s="28">
        <v>55</v>
      </c>
      <c r="D1322" s="26" t="s">
        <v>163</v>
      </c>
      <c r="E1322" s="26" t="s">
        <v>34</v>
      </c>
      <c r="F1322" s="26" t="s">
        <v>146</v>
      </c>
      <c r="G1322" s="26" t="s">
        <v>40</v>
      </c>
      <c r="H1322" s="28">
        <v>3</v>
      </c>
      <c r="I1322" s="28">
        <v>29.1</v>
      </c>
      <c r="J1322" s="28">
        <v>35.700000000000003</v>
      </c>
      <c r="K1322" s="28">
        <v>5</v>
      </c>
      <c r="L1322" s="26" t="s">
        <v>36</v>
      </c>
      <c r="M1322" s="28">
        <v>56.6</v>
      </c>
      <c r="N1322" s="28">
        <v>6</v>
      </c>
      <c r="O1322" s="28">
        <v>6</v>
      </c>
      <c r="P1322" s="28">
        <v>0</v>
      </c>
      <c r="Q1322" s="28">
        <v>0</v>
      </c>
      <c r="R1322" s="28">
        <v>0</v>
      </c>
      <c r="S1322" s="28"/>
      <c r="Z1322" s="26"/>
      <c r="AA1322" s="23"/>
      <c r="AB1322" s="3" t="str">
        <f t="shared" si="11"/>
        <v>ANO_016_55_V2-C1_vm</v>
      </c>
      <c r="AC1322" s="3" t="str">
        <f t="shared" si="10"/>
        <v>ANO_016_55_V2-C1_vm_3</v>
      </c>
      <c r="AD1322" s="3" t="s">
        <v>37</v>
      </c>
    </row>
    <row r="1323" spans="1:30" ht="14">
      <c r="A1323" s="28"/>
      <c r="B1323" s="5"/>
      <c r="C1323" s="28"/>
      <c r="D1323" s="26"/>
      <c r="E1323" s="26"/>
      <c r="F1323" s="26"/>
      <c r="G1323" s="26"/>
      <c r="H1323" s="28"/>
      <c r="I1323" s="28"/>
      <c r="J1323" s="28"/>
      <c r="K1323" s="28"/>
      <c r="L1323" s="26" t="s">
        <v>38</v>
      </c>
      <c r="M1323" s="28">
        <v>97.4</v>
      </c>
      <c r="N1323" s="28">
        <v>0</v>
      </c>
      <c r="O1323" s="28">
        <v>4</v>
      </c>
      <c r="P1323" s="28">
        <v>2</v>
      </c>
      <c r="Q1323" s="28">
        <v>2</v>
      </c>
      <c r="R1323" s="28">
        <v>0</v>
      </c>
      <c r="S1323" s="28"/>
      <c r="Z1323" s="26"/>
      <c r="AA1323" s="23"/>
      <c r="AB1323" s="3" t="str">
        <f t="shared" si="11"/>
        <v>___</v>
      </c>
      <c r="AC1323" s="3" t="str">
        <f t="shared" si="10"/>
        <v>____</v>
      </c>
    </row>
    <row r="1324" spans="1:30" ht="14">
      <c r="A1324" s="29"/>
      <c r="B1324" s="30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 t="s">
        <v>39</v>
      </c>
      <c r="M1324" s="31">
        <v>115.3</v>
      </c>
      <c r="N1324" s="31">
        <v>0</v>
      </c>
      <c r="O1324" s="31">
        <v>6</v>
      </c>
      <c r="P1324" s="31">
        <v>3</v>
      </c>
      <c r="Q1324" s="31">
        <v>7</v>
      </c>
      <c r="R1324" s="31">
        <v>0</v>
      </c>
      <c r="S1324" s="28"/>
      <c r="Z1324" s="29"/>
      <c r="AA1324" s="23"/>
      <c r="AB1324" s="3" t="str">
        <f t="shared" si="11"/>
        <v>___</v>
      </c>
      <c r="AC1324" s="3" t="str">
        <f t="shared" si="10"/>
        <v>____</v>
      </c>
    </row>
    <row r="1325" spans="1:30" ht="14">
      <c r="A1325" s="28" t="s">
        <v>183</v>
      </c>
      <c r="B1325" s="5" t="s">
        <v>184</v>
      </c>
      <c r="C1325" s="28">
        <v>26</v>
      </c>
      <c r="D1325" s="26" t="s">
        <v>163</v>
      </c>
      <c r="E1325" s="26" t="s">
        <v>34</v>
      </c>
      <c r="F1325" s="26" t="s">
        <v>185</v>
      </c>
      <c r="G1325" s="26" t="s">
        <v>40</v>
      </c>
      <c r="H1325" s="28">
        <v>1</v>
      </c>
      <c r="I1325" s="28">
        <v>15.5</v>
      </c>
      <c r="J1325" s="28">
        <v>16.899999999999999</v>
      </c>
      <c r="K1325" s="28">
        <v>4</v>
      </c>
      <c r="L1325" s="26" t="s">
        <v>36</v>
      </c>
      <c r="M1325" s="28">
        <v>90</v>
      </c>
      <c r="N1325" s="28">
        <v>3</v>
      </c>
      <c r="O1325" s="28">
        <v>6</v>
      </c>
      <c r="P1325" s="28">
        <v>3</v>
      </c>
      <c r="Q1325" s="28">
        <v>3</v>
      </c>
      <c r="R1325" s="28">
        <v>0</v>
      </c>
      <c r="S1325" s="28"/>
      <c r="Z1325" s="26" t="s">
        <v>166</v>
      </c>
      <c r="AA1325" s="23"/>
      <c r="AB1325" s="3" t="str">
        <f t="shared" si="11"/>
        <v>ANO_016_26_V3-C2_vm</v>
      </c>
      <c r="AC1325" s="3" t="str">
        <f t="shared" si="10"/>
        <v>ANO_016_26_V3-C2_vm_1</v>
      </c>
      <c r="AD1325" s="3" t="s">
        <v>37</v>
      </c>
    </row>
    <row r="1326" spans="1:30" ht="14">
      <c r="A1326" s="28"/>
      <c r="B1326" s="5"/>
      <c r="C1326" s="28"/>
      <c r="D1326" s="26"/>
      <c r="E1326" s="26"/>
      <c r="F1326" s="26"/>
      <c r="G1326" s="26"/>
      <c r="H1326" s="28"/>
      <c r="I1326" s="28"/>
      <c r="J1326" s="28"/>
      <c r="K1326" s="28"/>
      <c r="L1326" s="26" t="s">
        <v>38</v>
      </c>
      <c r="M1326" s="28">
        <v>40.9</v>
      </c>
      <c r="N1326" s="28">
        <v>0</v>
      </c>
      <c r="O1326" s="28">
        <v>2</v>
      </c>
      <c r="P1326" s="28">
        <v>2</v>
      </c>
      <c r="Q1326" s="28">
        <v>5</v>
      </c>
      <c r="R1326" s="28">
        <v>0</v>
      </c>
      <c r="S1326" s="28"/>
      <c r="Z1326" s="26"/>
      <c r="AA1326" s="23"/>
      <c r="AB1326" s="3" t="str">
        <f t="shared" si="11"/>
        <v>___</v>
      </c>
      <c r="AC1326" s="3" t="str">
        <f t="shared" si="10"/>
        <v>____</v>
      </c>
    </row>
    <row r="1327" spans="1:30" ht="14">
      <c r="A1327" s="29"/>
      <c r="B1327" s="30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 t="s">
        <v>39</v>
      </c>
      <c r="M1327" s="31">
        <v>19.8</v>
      </c>
      <c r="N1327" s="31">
        <v>0</v>
      </c>
      <c r="O1327" s="31">
        <v>0</v>
      </c>
      <c r="P1327" s="31">
        <v>1</v>
      </c>
      <c r="Q1327" s="31">
        <v>0</v>
      </c>
      <c r="R1327" s="31">
        <v>0</v>
      </c>
      <c r="S1327" s="28"/>
      <c r="Z1327" s="29"/>
      <c r="AA1327" s="23"/>
      <c r="AB1327" s="3" t="str">
        <f t="shared" si="11"/>
        <v>___</v>
      </c>
      <c r="AC1327" s="3" t="str">
        <f t="shared" si="10"/>
        <v>____</v>
      </c>
    </row>
    <row r="1328" spans="1:30" ht="14">
      <c r="A1328" s="28" t="s">
        <v>183</v>
      </c>
      <c r="B1328" s="5" t="s">
        <v>184</v>
      </c>
      <c r="C1328" s="28">
        <v>26</v>
      </c>
      <c r="D1328" s="26" t="s">
        <v>163</v>
      </c>
      <c r="E1328" s="26" t="s">
        <v>34</v>
      </c>
      <c r="F1328" s="26" t="s">
        <v>185</v>
      </c>
      <c r="G1328" s="26" t="s">
        <v>40</v>
      </c>
      <c r="H1328" s="28">
        <v>2</v>
      </c>
      <c r="I1328" s="28">
        <v>22</v>
      </c>
      <c r="J1328" s="28">
        <v>22</v>
      </c>
      <c r="K1328" s="28">
        <v>6</v>
      </c>
      <c r="L1328" s="26" t="s">
        <v>36</v>
      </c>
      <c r="M1328" s="28">
        <v>80.2</v>
      </c>
      <c r="N1328" s="28">
        <v>0</v>
      </c>
      <c r="O1328" s="28">
        <v>2</v>
      </c>
      <c r="P1328" s="28">
        <v>4</v>
      </c>
      <c r="Q1328" s="28">
        <v>5</v>
      </c>
      <c r="R1328" s="28">
        <v>1</v>
      </c>
      <c r="S1328" s="28"/>
      <c r="Z1328" s="26" t="s">
        <v>166</v>
      </c>
      <c r="AA1328" s="23"/>
      <c r="AB1328" s="3" t="str">
        <f t="shared" si="11"/>
        <v>ANO_016_26_V3-C2_vm</v>
      </c>
      <c r="AC1328" s="3" t="str">
        <f t="shared" si="10"/>
        <v>ANO_016_26_V3-C2_vm_2</v>
      </c>
      <c r="AD1328" s="3" t="s">
        <v>37</v>
      </c>
    </row>
    <row r="1329" spans="1:30" ht="14">
      <c r="A1329" s="28"/>
      <c r="B1329" s="5"/>
      <c r="C1329" s="28"/>
      <c r="D1329" s="26"/>
      <c r="E1329" s="26"/>
      <c r="F1329" s="26"/>
      <c r="G1329" s="26"/>
      <c r="H1329" s="28"/>
      <c r="I1329" s="28"/>
      <c r="J1329" s="28"/>
      <c r="K1329" s="28"/>
      <c r="L1329" s="26" t="s">
        <v>38</v>
      </c>
      <c r="M1329" s="28">
        <v>52.5</v>
      </c>
      <c r="N1329" s="28">
        <v>0</v>
      </c>
      <c r="O1329" s="28">
        <v>4</v>
      </c>
      <c r="P1329" s="28">
        <v>1</v>
      </c>
      <c r="Q1329" s="28">
        <v>5</v>
      </c>
      <c r="R1329" s="28">
        <v>1</v>
      </c>
      <c r="S1329" s="28"/>
      <c r="Z1329" s="26"/>
      <c r="AA1329" s="23"/>
      <c r="AB1329" s="3" t="str">
        <f t="shared" si="11"/>
        <v>___</v>
      </c>
      <c r="AC1329" s="3" t="str">
        <f t="shared" si="10"/>
        <v>____</v>
      </c>
    </row>
    <row r="1330" spans="1:30" ht="14">
      <c r="A1330" s="29"/>
      <c r="B1330" s="30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 t="s">
        <v>39</v>
      </c>
      <c r="M1330" s="31">
        <v>45</v>
      </c>
      <c r="N1330" s="31">
        <v>0</v>
      </c>
      <c r="O1330" s="31">
        <v>3</v>
      </c>
      <c r="P1330" s="31">
        <v>0</v>
      </c>
      <c r="Q1330" s="31">
        <v>0</v>
      </c>
      <c r="R1330" s="31">
        <v>0</v>
      </c>
      <c r="S1330" s="28"/>
      <c r="Z1330" s="29"/>
      <c r="AA1330" s="23"/>
      <c r="AB1330" s="3" t="str">
        <f t="shared" si="11"/>
        <v>___</v>
      </c>
      <c r="AC1330" s="3" t="str">
        <f t="shared" si="10"/>
        <v>____</v>
      </c>
    </row>
    <row r="1331" spans="1:30" ht="14">
      <c r="A1331" s="28" t="s">
        <v>183</v>
      </c>
      <c r="B1331" s="5" t="s">
        <v>184</v>
      </c>
      <c r="C1331" s="28">
        <v>26</v>
      </c>
      <c r="D1331" s="26" t="s">
        <v>163</v>
      </c>
      <c r="E1331" s="26" t="s">
        <v>34</v>
      </c>
      <c r="F1331" s="26" t="s">
        <v>185</v>
      </c>
      <c r="G1331" s="26" t="s">
        <v>40</v>
      </c>
      <c r="H1331" s="28">
        <v>3</v>
      </c>
      <c r="I1331" s="28">
        <v>21</v>
      </c>
      <c r="J1331" s="28">
        <v>23.7</v>
      </c>
      <c r="K1331" s="28">
        <v>4</v>
      </c>
      <c r="L1331" s="26" t="s">
        <v>36</v>
      </c>
      <c r="M1331" s="28">
        <v>61.3</v>
      </c>
      <c r="N1331" s="28">
        <v>5</v>
      </c>
      <c r="O1331" s="28">
        <v>6</v>
      </c>
      <c r="P1331" s="28">
        <v>1</v>
      </c>
      <c r="Q1331" s="28">
        <v>1</v>
      </c>
      <c r="R1331" s="28">
        <v>0</v>
      </c>
      <c r="S1331" s="28"/>
      <c r="Z1331" s="26" t="s">
        <v>166</v>
      </c>
      <c r="AA1331" s="23"/>
      <c r="AB1331" s="3" t="str">
        <f t="shared" si="11"/>
        <v>ANO_016_26_V3-C2_vm</v>
      </c>
      <c r="AC1331" s="3" t="str">
        <f t="shared" si="10"/>
        <v>ANO_016_26_V3-C2_vm_3</v>
      </c>
      <c r="AD1331" s="3" t="s">
        <v>37</v>
      </c>
    </row>
    <row r="1332" spans="1:30" ht="14">
      <c r="A1332" s="28"/>
      <c r="B1332" s="5"/>
      <c r="C1332" s="28"/>
      <c r="D1332" s="26"/>
      <c r="E1332" s="26"/>
      <c r="F1332" s="26"/>
      <c r="G1332" s="26"/>
      <c r="H1332" s="28"/>
      <c r="I1332" s="28"/>
      <c r="J1332" s="28"/>
      <c r="K1332" s="28"/>
      <c r="L1332" s="26" t="s">
        <v>38</v>
      </c>
      <c r="M1332" s="28">
        <v>42.2</v>
      </c>
      <c r="N1332" s="28">
        <v>0</v>
      </c>
      <c r="O1332" s="28">
        <v>2</v>
      </c>
      <c r="P1332" s="28">
        <v>2</v>
      </c>
      <c r="Q1332" s="28">
        <v>3</v>
      </c>
      <c r="R1332" s="28">
        <v>0</v>
      </c>
      <c r="S1332" s="28"/>
      <c r="Z1332" s="26"/>
      <c r="AA1332" s="23"/>
      <c r="AB1332" s="3" t="str">
        <f t="shared" si="11"/>
        <v>___</v>
      </c>
      <c r="AC1332" s="3" t="str">
        <f t="shared" si="10"/>
        <v>____</v>
      </c>
    </row>
    <row r="1333" spans="1:30" ht="14">
      <c r="A1333" s="29"/>
      <c r="B1333" s="30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 t="s">
        <v>39</v>
      </c>
      <c r="M1333" s="31">
        <v>43.3</v>
      </c>
      <c r="N1333" s="31">
        <v>0</v>
      </c>
      <c r="O1333" s="31">
        <v>2</v>
      </c>
      <c r="P1333" s="31">
        <v>2</v>
      </c>
      <c r="Q1333" s="31">
        <v>4</v>
      </c>
      <c r="R1333" s="31">
        <v>0</v>
      </c>
      <c r="S1333" s="28"/>
      <c r="Z1333" s="29"/>
      <c r="AA1333" s="23"/>
      <c r="AB1333" s="3" t="str">
        <f t="shared" si="11"/>
        <v>___</v>
      </c>
      <c r="AC1333" s="3" t="str">
        <f t="shared" si="10"/>
        <v>____</v>
      </c>
    </row>
    <row r="1334" spans="1:30" ht="14">
      <c r="A1334" s="28" t="s">
        <v>183</v>
      </c>
      <c r="B1334" s="5" t="s">
        <v>184</v>
      </c>
      <c r="C1334" s="28">
        <v>53</v>
      </c>
      <c r="D1334" s="26" t="s">
        <v>163</v>
      </c>
      <c r="E1334" s="26" t="s">
        <v>34</v>
      </c>
      <c r="F1334" s="26" t="s">
        <v>185</v>
      </c>
      <c r="G1334" s="26" t="s">
        <v>40</v>
      </c>
      <c r="H1334" s="28">
        <v>1</v>
      </c>
      <c r="I1334" s="28">
        <v>17.399999999999999</v>
      </c>
      <c r="J1334" s="28">
        <v>23.8</v>
      </c>
      <c r="K1334" s="28">
        <v>4</v>
      </c>
      <c r="L1334" s="26" t="s">
        <v>36</v>
      </c>
      <c r="M1334" s="28">
        <v>100.2</v>
      </c>
      <c r="N1334" s="28">
        <v>4</v>
      </c>
      <c r="O1334" s="28">
        <v>8</v>
      </c>
      <c r="P1334" s="28">
        <v>4</v>
      </c>
      <c r="Q1334" s="28">
        <v>7</v>
      </c>
      <c r="R1334" s="28">
        <v>0</v>
      </c>
      <c r="S1334" s="28"/>
      <c r="Z1334" s="26"/>
      <c r="AA1334" s="23"/>
      <c r="AB1334" s="3" t="str">
        <f t="shared" si="11"/>
        <v>ANO_016_53_V3-C2_vm</v>
      </c>
      <c r="AC1334" s="3" t="str">
        <f t="shared" si="10"/>
        <v>ANO_016_53_V3-C2_vm_1</v>
      </c>
      <c r="AD1334" s="3" t="s">
        <v>37</v>
      </c>
    </row>
    <row r="1335" spans="1:30" ht="14">
      <c r="A1335" s="28"/>
      <c r="B1335" s="5"/>
      <c r="C1335" s="28"/>
      <c r="D1335" s="26"/>
      <c r="E1335" s="26"/>
      <c r="F1335" s="26"/>
      <c r="G1335" s="26"/>
      <c r="H1335" s="28"/>
      <c r="I1335" s="28"/>
      <c r="J1335" s="28"/>
      <c r="K1335" s="28"/>
      <c r="L1335" s="26" t="s">
        <v>38</v>
      </c>
      <c r="M1335" s="28">
        <v>35</v>
      </c>
      <c r="N1335" s="28">
        <v>0</v>
      </c>
      <c r="O1335" s="28">
        <v>2</v>
      </c>
      <c r="P1335" s="28">
        <v>3</v>
      </c>
      <c r="Q1335" s="28">
        <v>10</v>
      </c>
      <c r="R1335" s="28">
        <v>0</v>
      </c>
      <c r="S1335" s="28"/>
      <c r="Z1335" s="26"/>
      <c r="AA1335" s="23"/>
      <c r="AB1335" s="3" t="str">
        <f t="shared" si="11"/>
        <v>___</v>
      </c>
      <c r="AC1335" s="3" t="str">
        <f t="shared" si="10"/>
        <v>____</v>
      </c>
    </row>
    <row r="1336" spans="1:30" ht="14">
      <c r="A1336" s="29"/>
      <c r="B1336" s="30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 t="s">
        <v>39</v>
      </c>
      <c r="M1336" s="31">
        <v>20.9</v>
      </c>
      <c r="N1336" s="31">
        <v>0</v>
      </c>
      <c r="O1336" s="31">
        <v>2</v>
      </c>
      <c r="P1336" s="31">
        <v>1</v>
      </c>
      <c r="Q1336" s="31">
        <v>0</v>
      </c>
      <c r="R1336" s="31">
        <v>0</v>
      </c>
      <c r="S1336" s="28"/>
      <c r="Z1336" s="29"/>
      <c r="AA1336" s="23"/>
      <c r="AB1336" s="3" t="str">
        <f t="shared" si="11"/>
        <v>___</v>
      </c>
      <c r="AC1336" s="3" t="str">
        <f t="shared" si="10"/>
        <v>____</v>
      </c>
    </row>
    <row r="1337" spans="1:30" ht="14">
      <c r="A1337" s="28" t="s">
        <v>183</v>
      </c>
      <c r="B1337" s="5" t="s">
        <v>184</v>
      </c>
      <c r="C1337" s="28">
        <v>53</v>
      </c>
      <c r="D1337" s="26" t="s">
        <v>163</v>
      </c>
      <c r="E1337" s="26" t="s">
        <v>34</v>
      </c>
      <c r="F1337" s="26" t="s">
        <v>185</v>
      </c>
      <c r="G1337" s="26" t="s">
        <v>40</v>
      </c>
      <c r="H1337" s="28">
        <v>2</v>
      </c>
      <c r="I1337" s="28">
        <v>26.4</v>
      </c>
      <c r="J1337" s="28">
        <v>32.200000000000003</v>
      </c>
      <c r="K1337" s="28">
        <v>5</v>
      </c>
      <c r="L1337" s="26" t="s">
        <v>36</v>
      </c>
      <c r="M1337" s="28">
        <v>115.1</v>
      </c>
      <c r="N1337" s="28">
        <v>2</v>
      </c>
      <c r="O1337" s="28">
        <v>6</v>
      </c>
      <c r="P1337" s="28">
        <v>2</v>
      </c>
      <c r="Q1337" s="28">
        <v>2</v>
      </c>
      <c r="R1337" s="28">
        <v>1</v>
      </c>
      <c r="S1337" s="28"/>
      <c r="Z1337" s="26"/>
      <c r="AA1337" s="23"/>
      <c r="AB1337" s="3" t="str">
        <f t="shared" si="11"/>
        <v>ANO_016_53_V3-C2_vm</v>
      </c>
      <c r="AC1337" s="3" t="str">
        <f t="shared" si="10"/>
        <v>ANO_016_53_V3-C2_vm_2</v>
      </c>
      <c r="AD1337" s="3" t="s">
        <v>37</v>
      </c>
    </row>
    <row r="1338" spans="1:30" ht="14">
      <c r="A1338" s="28"/>
      <c r="B1338" s="5"/>
      <c r="C1338" s="28"/>
      <c r="D1338" s="26"/>
      <c r="E1338" s="26"/>
      <c r="F1338" s="26"/>
      <c r="G1338" s="26"/>
      <c r="H1338" s="28"/>
      <c r="I1338" s="28"/>
      <c r="J1338" s="28"/>
      <c r="K1338" s="28"/>
      <c r="L1338" s="26" t="s">
        <v>38</v>
      </c>
      <c r="M1338" s="28">
        <v>70.5</v>
      </c>
      <c r="N1338" s="28">
        <v>0</v>
      </c>
      <c r="O1338" s="28">
        <v>4</v>
      </c>
      <c r="P1338" s="28">
        <v>3</v>
      </c>
      <c r="Q1338" s="28">
        <v>11</v>
      </c>
      <c r="R1338" s="28">
        <v>0</v>
      </c>
      <c r="S1338" s="28"/>
      <c r="Z1338" s="26"/>
      <c r="AA1338" s="23"/>
      <c r="AB1338" s="3" t="str">
        <f t="shared" si="11"/>
        <v>___</v>
      </c>
      <c r="AC1338" s="3" t="str">
        <f t="shared" si="10"/>
        <v>____</v>
      </c>
    </row>
    <row r="1339" spans="1:30" ht="14">
      <c r="A1339" s="29"/>
      <c r="B1339" s="30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 t="s">
        <v>39</v>
      </c>
      <c r="M1339" s="31">
        <v>70.2</v>
      </c>
      <c r="N1339" s="31">
        <v>0</v>
      </c>
      <c r="O1339" s="31">
        <v>3</v>
      </c>
      <c r="P1339" s="31">
        <v>0</v>
      </c>
      <c r="Q1339" s="31">
        <v>0</v>
      </c>
      <c r="R1339" s="31">
        <v>0</v>
      </c>
      <c r="S1339" s="28"/>
      <c r="Z1339" s="29"/>
      <c r="AA1339" s="23"/>
      <c r="AB1339" s="3" t="str">
        <f t="shared" si="11"/>
        <v>___</v>
      </c>
      <c r="AC1339" s="3" t="str">
        <f t="shared" si="10"/>
        <v>____</v>
      </c>
    </row>
    <row r="1340" spans="1:30" ht="14">
      <c r="A1340" s="28" t="s">
        <v>183</v>
      </c>
      <c r="B1340" s="5" t="s">
        <v>184</v>
      </c>
      <c r="C1340" s="28">
        <v>53</v>
      </c>
      <c r="D1340" s="26" t="s">
        <v>163</v>
      </c>
      <c r="E1340" s="26" t="s">
        <v>34</v>
      </c>
      <c r="F1340" s="26" t="s">
        <v>185</v>
      </c>
      <c r="G1340" s="26" t="s">
        <v>40</v>
      </c>
      <c r="H1340" s="28">
        <v>3</v>
      </c>
      <c r="I1340" s="28">
        <v>22</v>
      </c>
      <c r="J1340" s="28">
        <v>37.4</v>
      </c>
      <c r="K1340" s="28">
        <v>5</v>
      </c>
      <c r="L1340" s="26" t="s">
        <v>36</v>
      </c>
      <c r="M1340" s="28">
        <v>150.30000000000001</v>
      </c>
      <c r="N1340" s="28">
        <v>5</v>
      </c>
      <c r="O1340" s="28">
        <v>12</v>
      </c>
      <c r="P1340" s="28">
        <v>3</v>
      </c>
      <c r="Q1340" s="28">
        <v>3</v>
      </c>
      <c r="R1340" s="28">
        <v>0</v>
      </c>
      <c r="S1340" s="28"/>
      <c r="Z1340" s="26"/>
      <c r="AA1340" s="23"/>
      <c r="AB1340" s="3" t="str">
        <f t="shared" si="11"/>
        <v>ANO_016_53_V3-C2_vm</v>
      </c>
      <c r="AC1340" s="3" t="str">
        <f t="shared" si="10"/>
        <v>ANO_016_53_V3-C2_vm_3</v>
      </c>
      <c r="AD1340" s="3" t="s">
        <v>37</v>
      </c>
    </row>
    <row r="1341" spans="1:30" ht="14">
      <c r="A1341" s="28"/>
      <c r="B1341" s="5"/>
      <c r="C1341" s="28"/>
      <c r="D1341" s="26"/>
      <c r="E1341" s="26"/>
      <c r="F1341" s="26"/>
      <c r="G1341" s="26"/>
      <c r="H1341" s="28"/>
      <c r="I1341" s="28"/>
      <c r="J1341" s="28"/>
      <c r="K1341" s="28"/>
      <c r="L1341" s="26" t="s">
        <v>38</v>
      </c>
      <c r="M1341" s="28">
        <v>65.400000000000006</v>
      </c>
      <c r="N1341" s="28">
        <v>0</v>
      </c>
      <c r="O1341" s="28">
        <v>2</v>
      </c>
      <c r="P1341" s="28">
        <v>2</v>
      </c>
      <c r="Q1341" s="28">
        <v>8</v>
      </c>
      <c r="R1341" s="28">
        <v>1</v>
      </c>
      <c r="S1341" s="28"/>
      <c r="Z1341" s="26"/>
      <c r="AA1341" s="23"/>
      <c r="AB1341" s="3" t="str">
        <f t="shared" si="11"/>
        <v>___</v>
      </c>
      <c r="AC1341" s="3" t="str">
        <f t="shared" si="10"/>
        <v>____</v>
      </c>
    </row>
    <row r="1342" spans="1:30" ht="14">
      <c r="A1342" s="29"/>
      <c r="B1342" s="30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 t="s">
        <v>39</v>
      </c>
      <c r="M1342" s="31">
        <v>55.6</v>
      </c>
      <c r="N1342" s="31">
        <v>0</v>
      </c>
      <c r="O1342" s="31">
        <v>4</v>
      </c>
      <c r="P1342" s="31">
        <v>2</v>
      </c>
      <c r="Q1342" s="31">
        <v>5</v>
      </c>
      <c r="R1342" s="31">
        <v>0</v>
      </c>
      <c r="S1342" s="28"/>
      <c r="Z1342" s="29"/>
      <c r="AA1342" s="23"/>
      <c r="AB1342" s="3" t="str">
        <f t="shared" si="11"/>
        <v>___</v>
      </c>
      <c r="AC1342" s="3" t="str">
        <f t="shared" si="10"/>
        <v>____</v>
      </c>
    </row>
    <row r="1343" spans="1:30" ht="14">
      <c r="A1343" s="28" t="s">
        <v>183</v>
      </c>
      <c r="B1343" s="5" t="s">
        <v>186</v>
      </c>
      <c r="C1343" s="28">
        <v>26</v>
      </c>
      <c r="D1343" s="26" t="s">
        <v>163</v>
      </c>
      <c r="E1343" s="26" t="s">
        <v>34</v>
      </c>
      <c r="F1343" s="26" t="s">
        <v>144</v>
      </c>
      <c r="G1343" s="26" t="s">
        <v>40</v>
      </c>
      <c r="H1343" s="28">
        <v>1</v>
      </c>
      <c r="I1343" s="28">
        <v>24.5</v>
      </c>
      <c r="J1343" s="28">
        <v>29.8</v>
      </c>
      <c r="K1343" s="28">
        <v>5</v>
      </c>
      <c r="L1343" s="26" t="s">
        <v>36</v>
      </c>
      <c r="M1343" s="28">
        <v>100.5</v>
      </c>
      <c r="N1343" s="28">
        <v>0</v>
      </c>
      <c r="O1343" s="28">
        <v>7</v>
      </c>
      <c r="P1343" s="28">
        <v>5</v>
      </c>
      <c r="Q1343" s="28">
        <v>5</v>
      </c>
      <c r="R1343" s="28">
        <v>1</v>
      </c>
      <c r="S1343" s="28"/>
      <c r="Z1343" s="26" t="s">
        <v>166</v>
      </c>
      <c r="AA1343" s="32"/>
      <c r="AB1343" s="3" t="str">
        <f t="shared" si="11"/>
        <v>ANO_1393_26_V1-C5_vm</v>
      </c>
      <c r="AC1343" s="3" t="str">
        <f t="shared" si="10"/>
        <v>ANO_1393_26_V1-C5_vm_1</v>
      </c>
      <c r="AD1343" s="3" t="s">
        <v>37</v>
      </c>
    </row>
    <row r="1344" spans="1:30" ht="14">
      <c r="A1344" s="28"/>
      <c r="B1344" s="5"/>
      <c r="C1344" s="28"/>
      <c r="D1344" s="26"/>
      <c r="E1344" s="26"/>
      <c r="F1344" s="26"/>
      <c r="G1344" s="26"/>
      <c r="H1344" s="28"/>
      <c r="I1344" s="28"/>
      <c r="J1344" s="28"/>
      <c r="K1344" s="28"/>
      <c r="L1344" s="26" t="s">
        <v>38</v>
      </c>
      <c r="M1344" s="28">
        <v>110.9</v>
      </c>
      <c r="N1344" s="28">
        <v>0</v>
      </c>
      <c r="O1344" s="28">
        <v>6</v>
      </c>
      <c r="P1344" s="28">
        <v>2</v>
      </c>
      <c r="Q1344" s="28">
        <v>11</v>
      </c>
      <c r="R1344" s="28">
        <v>0</v>
      </c>
      <c r="S1344" s="28"/>
      <c r="Z1344" s="26"/>
      <c r="AA1344" s="23"/>
      <c r="AB1344" s="3" t="str">
        <f t="shared" si="11"/>
        <v>___</v>
      </c>
      <c r="AC1344" s="3" t="str">
        <f t="shared" si="10"/>
        <v>____</v>
      </c>
    </row>
    <row r="1345" spans="1:30" ht="14">
      <c r="A1345" s="29"/>
      <c r="B1345" s="30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 t="s">
        <v>39</v>
      </c>
      <c r="M1345" s="31">
        <v>45.5</v>
      </c>
      <c r="N1345" s="31">
        <v>0</v>
      </c>
      <c r="O1345" s="31">
        <v>2</v>
      </c>
      <c r="P1345" s="31">
        <v>0</v>
      </c>
      <c r="Q1345" s="31">
        <v>0</v>
      </c>
      <c r="R1345" s="31">
        <v>0</v>
      </c>
      <c r="S1345" s="28"/>
      <c r="Z1345" s="29"/>
      <c r="AA1345" s="23"/>
      <c r="AB1345" s="3" t="str">
        <f t="shared" si="11"/>
        <v>___</v>
      </c>
      <c r="AC1345" s="3" t="str">
        <f t="shared" si="10"/>
        <v>____</v>
      </c>
    </row>
    <row r="1346" spans="1:30" ht="14">
      <c r="A1346" s="28" t="s">
        <v>183</v>
      </c>
      <c r="B1346" s="5" t="s">
        <v>186</v>
      </c>
      <c r="C1346" s="28">
        <v>26</v>
      </c>
      <c r="D1346" s="26" t="s">
        <v>163</v>
      </c>
      <c r="E1346" s="26" t="s">
        <v>34</v>
      </c>
      <c r="F1346" s="26" t="s">
        <v>144</v>
      </c>
      <c r="G1346" s="26" t="s">
        <v>40</v>
      </c>
      <c r="H1346" s="28">
        <v>2</v>
      </c>
      <c r="I1346" s="28">
        <v>16</v>
      </c>
      <c r="J1346" s="28">
        <v>25.8</v>
      </c>
      <c r="K1346" s="28">
        <v>4</v>
      </c>
      <c r="L1346" s="26" t="s">
        <v>36</v>
      </c>
      <c r="M1346" s="28">
        <v>70.8</v>
      </c>
      <c r="N1346" s="28">
        <v>0</v>
      </c>
      <c r="O1346" s="28">
        <v>2</v>
      </c>
      <c r="P1346" s="28">
        <v>4</v>
      </c>
      <c r="Q1346" s="28">
        <v>4</v>
      </c>
      <c r="R1346" s="28">
        <v>0</v>
      </c>
      <c r="S1346" s="28"/>
      <c r="Z1346" s="26" t="s">
        <v>187</v>
      </c>
      <c r="AA1346" s="23"/>
      <c r="AB1346" s="3" t="str">
        <f t="shared" si="11"/>
        <v>ANO_1393_26_V1-C5_vm</v>
      </c>
      <c r="AC1346" s="3" t="str">
        <f t="shared" si="10"/>
        <v>ANO_1393_26_V1-C5_vm_2</v>
      </c>
      <c r="AD1346" s="3" t="s">
        <v>37</v>
      </c>
    </row>
    <row r="1347" spans="1:30" ht="14">
      <c r="A1347" s="28"/>
      <c r="B1347" s="5"/>
      <c r="C1347" s="28"/>
      <c r="D1347" s="26"/>
      <c r="E1347" s="26"/>
      <c r="F1347" s="26"/>
      <c r="G1347" s="26"/>
      <c r="H1347" s="28"/>
      <c r="I1347" s="28"/>
      <c r="J1347" s="28"/>
      <c r="K1347" s="28"/>
      <c r="L1347" s="26" t="s">
        <v>38</v>
      </c>
      <c r="M1347" s="28">
        <v>104.5</v>
      </c>
      <c r="N1347" s="28">
        <v>0</v>
      </c>
      <c r="O1347" s="28">
        <v>2</v>
      </c>
      <c r="P1347" s="28">
        <v>7</v>
      </c>
      <c r="Q1347" s="28">
        <v>22</v>
      </c>
      <c r="R1347" s="28">
        <v>0</v>
      </c>
      <c r="S1347" s="28"/>
      <c r="Z1347" s="26"/>
      <c r="AA1347" s="23"/>
      <c r="AB1347" s="3" t="str">
        <f t="shared" si="11"/>
        <v>___</v>
      </c>
      <c r="AC1347" s="3" t="str">
        <f t="shared" si="10"/>
        <v>____</v>
      </c>
    </row>
    <row r="1348" spans="1:30" ht="14">
      <c r="A1348" s="29"/>
      <c r="B1348" s="30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 t="s">
        <v>39</v>
      </c>
      <c r="M1348" s="31">
        <v>25.1</v>
      </c>
      <c r="N1348" s="31">
        <v>0</v>
      </c>
      <c r="O1348" s="31">
        <v>1</v>
      </c>
      <c r="P1348" s="31">
        <v>0</v>
      </c>
      <c r="Q1348" s="31">
        <v>0</v>
      </c>
      <c r="R1348" s="31">
        <v>0</v>
      </c>
      <c r="S1348" s="28"/>
      <c r="Z1348" s="29"/>
      <c r="AA1348" s="23"/>
      <c r="AB1348" s="3" t="str">
        <f t="shared" si="11"/>
        <v>___</v>
      </c>
      <c r="AC1348" s="3" t="str">
        <f t="shared" si="10"/>
        <v>____</v>
      </c>
    </row>
    <row r="1349" spans="1:30" ht="14">
      <c r="A1349" s="28" t="s">
        <v>183</v>
      </c>
      <c r="B1349" s="5" t="s">
        <v>186</v>
      </c>
      <c r="C1349" s="28">
        <v>26</v>
      </c>
      <c r="D1349" s="26" t="s">
        <v>163</v>
      </c>
      <c r="E1349" s="26" t="s">
        <v>34</v>
      </c>
      <c r="F1349" s="26" t="s">
        <v>144</v>
      </c>
      <c r="G1349" s="26" t="s">
        <v>40</v>
      </c>
      <c r="H1349" s="28">
        <v>3</v>
      </c>
      <c r="I1349" s="28">
        <v>29.2</v>
      </c>
      <c r="J1349" s="28">
        <v>31.3</v>
      </c>
      <c r="K1349" s="28">
        <v>4</v>
      </c>
      <c r="L1349" s="26" t="s">
        <v>36</v>
      </c>
      <c r="M1349" s="28">
        <v>150.19999999999999</v>
      </c>
      <c r="N1349" s="28">
        <v>6</v>
      </c>
      <c r="O1349" s="28">
        <v>8</v>
      </c>
      <c r="P1349" s="28">
        <v>4</v>
      </c>
      <c r="Q1349" s="28">
        <v>4</v>
      </c>
      <c r="R1349" s="28">
        <v>0</v>
      </c>
      <c r="S1349" s="28"/>
      <c r="Z1349" s="26" t="s">
        <v>188</v>
      </c>
      <c r="AA1349" s="23"/>
      <c r="AB1349" s="3" t="str">
        <f t="shared" si="11"/>
        <v>ANO_1393_26_V1-C5_vm</v>
      </c>
      <c r="AC1349" s="3" t="str">
        <f t="shared" si="10"/>
        <v>ANO_1393_26_V1-C5_vm_3</v>
      </c>
      <c r="AD1349" s="3" t="s">
        <v>49</v>
      </c>
    </row>
    <row r="1350" spans="1:30" ht="14">
      <c r="A1350" s="28"/>
      <c r="B1350" s="5"/>
      <c r="C1350" s="28"/>
      <c r="D1350" s="26"/>
      <c r="E1350" s="26"/>
      <c r="F1350" s="26"/>
      <c r="G1350" s="26"/>
      <c r="H1350" s="28"/>
      <c r="I1350" s="28"/>
      <c r="J1350" s="28"/>
      <c r="K1350" s="28"/>
      <c r="L1350" s="26" t="s">
        <v>38</v>
      </c>
      <c r="M1350" s="28">
        <v>70.900000000000006</v>
      </c>
      <c r="N1350" s="28">
        <v>0</v>
      </c>
      <c r="O1350" s="28">
        <v>5</v>
      </c>
      <c r="P1350" s="28">
        <v>4</v>
      </c>
      <c r="Q1350" s="28">
        <v>12</v>
      </c>
      <c r="R1350" s="28">
        <v>0</v>
      </c>
      <c r="S1350" s="28"/>
      <c r="Z1350" s="26"/>
      <c r="AA1350" s="23"/>
      <c r="AB1350" s="3" t="str">
        <f t="shared" si="11"/>
        <v>___</v>
      </c>
      <c r="AC1350" s="3" t="str">
        <f t="shared" si="10"/>
        <v>____</v>
      </c>
    </row>
    <row r="1351" spans="1:30" ht="14">
      <c r="A1351" s="29"/>
      <c r="B1351" s="30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 t="s">
        <v>39</v>
      </c>
      <c r="M1351" s="31">
        <v>29.8</v>
      </c>
      <c r="N1351" s="31">
        <v>0</v>
      </c>
      <c r="O1351" s="31">
        <v>0</v>
      </c>
      <c r="P1351" s="31">
        <v>1</v>
      </c>
      <c r="Q1351" s="31">
        <v>0</v>
      </c>
      <c r="R1351" s="31">
        <v>0</v>
      </c>
      <c r="S1351" s="28"/>
      <c r="Z1351" s="29"/>
      <c r="AA1351" s="23"/>
      <c r="AB1351" s="3" t="str">
        <f t="shared" si="11"/>
        <v>___</v>
      </c>
      <c r="AC1351" s="3" t="str">
        <f t="shared" si="10"/>
        <v>____</v>
      </c>
    </row>
    <row r="1352" spans="1:30" ht="14">
      <c r="A1352" s="28" t="s">
        <v>183</v>
      </c>
      <c r="B1352" s="5" t="s">
        <v>186</v>
      </c>
      <c r="C1352" s="28">
        <v>15</v>
      </c>
      <c r="D1352" s="26" t="s">
        <v>163</v>
      </c>
      <c r="E1352" s="26" t="s">
        <v>180</v>
      </c>
      <c r="F1352" s="26" t="s">
        <v>136</v>
      </c>
      <c r="G1352" s="26" t="s">
        <v>40</v>
      </c>
      <c r="H1352" s="28">
        <v>1</v>
      </c>
      <c r="I1352" s="28">
        <v>22</v>
      </c>
      <c r="J1352" s="28">
        <v>23.5</v>
      </c>
      <c r="K1352" s="28">
        <v>4</v>
      </c>
      <c r="L1352" s="26" t="s">
        <v>36</v>
      </c>
      <c r="M1352" s="28">
        <v>55.5</v>
      </c>
      <c r="N1352" s="28">
        <v>0</v>
      </c>
      <c r="O1352" s="28">
        <v>1</v>
      </c>
      <c r="P1352" s="28">
        <v>4</v>
      </c>
      <c r="Q1352" s="28">
        <v>4</v>
      </c>
      <c r="R1352" s="28">
        <v>0</v>
      </c>
      <c r="S1352" s="28"/>
      <c r="Z1352" s="26" t="s">
        <v>166</v>
      </c>
      <c r="AA1352" s="23"/>
      <c r="AB1352" s="3" t="str">
        <f t="shared" si="11"/>
        <v>ANO_1393_15_T4-C1_vm</v>
      </c>
      <c r="AC1352" s="3" t="str">
        <f t="shared" si="10"/>
        <v>ANO_1393_15_T4-C1_vm_1</v>
      </c>
      <c r="AD1352" s="3" t="s">
        <v>37</v>
      </c>
    </row>
    <row r="1353" spans="1:30" ht="14">
      <c r="A1353" s="28"/>
      <c r="B1353" s="5"/>
      <c r="C1353" s="28"/>
      <c r="D1353" s="26"/>
      <c r="E1353" s="26"/>
      <c r="F1353" s="26"/>
      <c r="G1353" s="26"/>
      <c r="H1353" s="28"/>
      <c r="I1353" s="28"/>
      <c r="J1353" s="28"/>
      <c r="K1353" s="28"/>
      <c r="L1353" s="26" t="s">
        <v>38</v>
      </c>
      <c r="M1353" s="28">
        <v>55.2</v>
      </c>
      <c r="N1353" s="28">
        <v>0</v>
      </c>
      <c r="O1353" s="28">
        <v>2</v>
      </c>
      <c r="P1353" s="28">
        <v>2</v>
      </c>
      <c r="Q1353" s="28">
        <v>2</v>
      </c>
      <c r="R1353" s="28">
        <v>0</v>
      </c>
      <c r="S1353" s="28"/>
      <c r="Z1353" s="26"/>
      <c r="AA1353" s="23"/>
      <c r="AB1353" s="3" t="str">
        <f t="shared" si="11"/>
        <v>___</v>
      </c>
      <c r="AC1353" s="3" t="str">
        <f t="shared" si="10"/>
        <v>____</v>
      </c>
    </row>
    <row r="1354" spans="1:30" ht="14">
      <c r="A1354" s="29"/>
      <c r="B1354" s="30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 t="s">
        <v>39</v>
      </c>
      <c r="M1354" s="31">
        <v>59.8</v>
      </c>
      <c r="N1354" s="31">
        <v>0</v>
      </c>
      <c r="O1354" s="31">
        <v>5</v>
      </c>
      <c r="P1354" s="31">
        <v>5</v>
      </c>
      <c r="Q1354" s="31">
        <v>17</v>
      </c>
      <c r="R1354" s="31">
        <v>0</v>
      </c>
      <c r="S1354" s="28"/>
      <c r="Z1354" s="29"/>
      <c r="AA1354" s="23"/>
      <c r="AB1354" s="3" t="str">
        <f t="shared" si="11"/>
        <v>___</v>
      </c>
      <c r="AC1354" s="3" t="str">
        <f t="shared" si="10"/>
        <v>____</v>
      </c>
    </row>
    <row r="1355" spans="1:30" ht="14">
      <c r="A1355" s="28" t="s">
        <v>183</v>
      </c>
      <c r="B1355" s="5" t="s">
        <v>186</v>
      </c>
      <c r="C1355" s="28">
        <v>15</v>
      </c>
      <c r="D1355" s="26" t="s">
        <v>163</v>
      </c>
      <c r="E1355" s="26" t="s">
        <v>180</v>
      </c>
      <c r="F1355" s="26" t="s">
        <v>136</v>
      </c>
      <c r="G1355" s="26" t="s">
        <v>40</v>
      </c>
      <c r="H1355" s="28">
        <v>2</v>
      </c>
      <c r="I1355" s="28">
        <v>29.4</v>
      </c>
      <c r="J1355" s="28">
        <v>33.799999999999997</v>
      </c>
      <c r="K1355" s="28">
        <v>4</v>
      </c>
      <c r="L1355" s="26" t="s">
        <v>36</v>
      </c>
      <c r="M1355" s="28">
        <v>62.3</v>
      </c>
      <c r="N1355" s="28">
        <v>0</v>
      </c>
      <c r="O1355" s="28">
        <v>2</v>
      </c>
      <c r="P1355" s="28">
        <v>3</v>
      </c>
      <c r="Q1355" s="28">
        <v>3</v>
      </c>
      <c r="R1355" s="28">
        <v>0</v>
      </c>
      <c r="S1355" s="28"/>
      <c r="Z1355" s="26" t="s">
        <v>166</v>
      </c>
      <c r="AA1355" s="23"/>
      <c r="AB1355" s="3" t="str">
        <f t="shared" si="11"/>
        <v>ANO_1393_15_T4-C1_vm</v>
      </c>
      <c r="AC1355" s="3" t="str">
        <f t="shared" si="10"/>
        <v>ANO_1393_15_T4-C1_vm_2</v>
      </c>
      <c r="AD1355" s="3" t="s">
        <v>37</v>
      </c>
    </row>
    <row r="1356" spans="1:30" ht="14">
      <c r="A1356" s="28"/>
      <c r="B1356" s="5"/>
      <c r="C1356" s="28"/>
      <c r="D1356" s="26"/>
      <c r="E1356" s="26"/>
      <c r="F1356" s="26"/>
      <c r="G1356" s="26"/>
      <c r="H1356" s="28"/>
      <c r="I1356" s="28"/>
      <c r="J1356" s="28"/>
      <c r="K1356" s="28"/>
      <c r="L1356" s="26" t="s">
        <v>38</v>
      </c>
      <c r="M1356" s="28">
        <v>84.2</v>
      </c>
      <c r="N1356" s="28">
        <v>0</v>
      </c>
      <c r="O1356" s="28">
        <v>4</v>
      </c>
      <c r="P1356" s="28">
        <v>5</v>
      </c>
      <c r="Q1356" s="28">
        <v>30</v>
      </c>
      <c r="R1356" s="28">
        <v>0</v>
      </c>
      <c r="S1356" s="28"/>
      <c r="Z1356" s="26"/>
      <c r="AA1356" s="23"/>
      <c r="AB1356" s="3" t="str">
        <f t="shared" si="11"/>
        <v>___</v>
      </c>
      <c r="AC1356" s="3" t="str">
        <f t="shared" si="10"/>
        <v>____</v>
      </c>
    </row>
    <row r="1357" spans="1:30" ht="14">
      <c r="A1357" s="29"/>
      <c r="B1357" s="30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 t="s">
        <v>39</v>
      </c>
      <c r="M1357" s="31">
        <v>92.4</v>
      </c>
      <c r="N1357" s="31">
        <v>0</v>
      </c>
      <c r="O1357" s="31">
        <v>2</v>
      </c>
      <c r="P1357" s="31">
        <v>3</v>
      </c>
      <c r="Q1357" s="31">
        <v>19</v>
      </c>
      <c r="R1357" s="31">
        <v>0</v>
      </c>
      <c r="S1357" s="28"/>
      <c r="Z1357" s="29"/>
      <c r="AA1357" s="23"/>
      <c r="AB1357" s="3" t="str">
        <f t="shared" si="11"/>
        <v>___</v>
      </c>
      <c r="AC1357" s="3" t="str">
        <f t="shared" si="10"/>
        <v>____</v>
      </c>
    </row>
    <row r="1358" spans="1:30" ht="14">
      <c r="A1358" s="28" t="s">
        <v>183</v>
      </c>
      <c r="B1358" s="5" t="s">
        <v>186</v>
      </c>
      <c r="C1358" s="28">
        <v>15</v>
      </c>
      <c r="D1358" s="26" t="s">
        <v>163</v>
      </c>
      <c r="E1358" s="26" t="s">
        <v>180</v>
      </c>
      <c r="F1358" s="26" t="s">
        <v>136</v>
      </c>
      <c r="G1358" s="26" t="s">
        <v>40</v>
      </c>
      <c r="H1358" s="28">
        <v>3</v>
      </c>
      <c r="I1358" s="28">
        <v>26.3</v>
      </c>
      <c r="J1358" s="28">
        <v>30</v>
      </c>
      <c r="K1358" s="28">
        <v>4</v>
      </c>
      <c r="L1358" s="26" t="s">
        <v>36</v>
      </c>
      <c r="M1358" s="28">
        <v>140.5</v>
      </c>
      <c r="N1358" s="28">
        <v>7</v>
      </c>
      <c r="O1358" s="28">
        <v>11</v>
      </c>
      <c r="P1358" s="28">
        <v>4</v>
      </c>
      <c r="Q1358" s="28">
        <v>4</v>
      </c>
      <c r="R1358" s="28">
        <v>0</v>
      </c>
      <c r="S1358" s="28"/>
      <c r="Z1358" s="26" t="s">
        <v>166</v>
      </c>
      <c r="AA1358" s="23"/>
      <c r="AB1358" s="3" t="str">
        <f t="shared" si="11"/>
        <v>ANO_1393_15_T4-C1_vm</v>
      </c>
      <c r="AC1358" s="3" t="str">
        <f t="shared" si="10"/>
        <v>ANO_1393_15_T4-C1_vm_3</v>
      </c>
      <c r="AD1358" s="3" t="s">
        <v>37</v>
      </c>
    </row>
    <row r="1359" spans="1:30" ht="14">
      <c r="A1359" s="28"/>
      <c r="B1359" s="5"/>
      <c r="C1359" s="28"/>
      <c r="D1359" s="26"/>
      <c r="E1359" s="26"/>
      <c r="F1359" s="26"/>
      <c r="G1359" s="26"/>
      <c r="H1359" s="28"/>
      <c r="I1359" s="28"/>
      <c r="J1359" s="28"/>
      <c r="K1359" s="28"/>
      <c r="L1359" s="26" t="s">
        <v>38</v>
      </c>
      <c r="M1359" s="28">
        <v>80.900000000000006</v>
      </c>
      <c r="N1359" s="28">
        <v>0</v>
      </c>
      <c r="O1359" s="28">
        <v>2</v>
      </c>
      <c r="P1359" s="28">
        <v>3</v>
      </c>
      <c r="Q1359" s="28">
        <v>17</v>
      </c>
      <c r="R1359" s="28">
        <v>0</v>
      </c>
      <c r="S1359" s="28"/>
      <c r="Z1359" s="26"/>
      <c r="AA1359" s="23"/>
      <c r="AB1359" s="3" t="str">
        <f t="shared" si="11"/>
        <v>___</v>
      </c>
      <c r="AC1359" s="3" t="str">
        <f t="shared" si="10"/>
        <v>____</v>
      </c>
    </row>
    <row r="1360" spans="1:30" ht="14">
      <c r="A1360" s="29"/>
      <c r="B1360" s="30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 t="s">
        <v>39</v>
      </c>
      <c r="M1360" s="31">
        <v>24.5</v>
      </c>
      <c r="N1360" s="31">
        <v>0</v>
      </c>
      <c r="O1360" s="31">
        <v>0</v>
      </c>
      <c r="P1360" s="31">
        <v>0</v>
      </c>
      <c r="Q1360" s="31">
        <v>0</v>
      </c>
      <c r="R1360" s="31">
        <v>0</v>
      </c>
      <c r="S1360" s="28"/>
      <c r="Z1360" s="29"/>
      <c r="AA1360" s="23"/>
      <c r="AB1360" s="3" t="str">
        <f t="shared" si="11"/>
        <v>___</v>
      </c>
      <c r="AC1360" s="3" t="str">
        <f t="shared" si="10"/>
        <v>____</v>
      </c>
    </row>
    <row r="1361" spans="1:30" ht="14">
      <c r="A1361" s="28" t="s">
        <v>183</v>
      </c>
      <c r="B1361" s="5" t="s">
        <v>186</v>
      </c>
      <c r="C1361" s="28">
        <v>26</v>
      </c>
      <c r="D1361" s="26" t="s">
        <v>163</v>
      </c>
      <c r="E1361" s="26" t="s">
        <v>34</v>
      </c>
      <c r="F1361" s="26" t="s">
        <v>144</v>
      </c>
      <c r="G1361" s="26" t="s">
        <v>35</v>
      </c>
      <c r="H1361" s="28">
        <v>1</v>
      </c>
      <c r="I1361" s="28">
        <v>6.5</v>
      </c>
      <c r="J1361" s="28">
        <v>13.5</v>
      </c>
      <c r="K1361" s="28">
        <v>4</v>
      </c>
      <c r="L1361" s="26" t="s">
        <v>36</v>
      </c>
      <c r="M1361" s="28">
        <v>35.4</v>
      </c>
      <c r="N1361" s="28">
        <v>16</v>
      </c>
      <c r="O1361" s="28">
        <v>16</v>
      </c>
      <c r="P1361" s="28">
        <v>0</v>
      </c>
      <c r="Q1361" s="28">
        <v>0</v>
      </c>
      <c r="R1361" s="28">
        <v>0</v>
      </c>
      <c r="S1361" s="28"/>
      <c r="Z1361" s="26"/>
      <c r="AA1361" s="23"/>
      <c r="AB1361" s="3" t="str">
        <f t="shared" si="11"/>
        <v>ANO_1393_26_V1-C5_vv</v>
      </c>
      <c r="AC1361" s="3" t="str">
        <f t="shared" si="10"/>
        <v>ANO_1393_26_V1-C5_vv_1</v>
      </c>
      <c r="AD1361" s="3" t="s">
        <v>37</v>
      </c>
    </row>
    <row r="1362" spans="1:30" ht="14">
      <c r="A1362" s="28"/>
      <c r="B1362" s="5"/>
      <c r="C1362" s="28"/>
      <c r="D1362" s="26"/>
      <c r="E1362" s="26"/>
      <c r="F1362" s="26"/>
      <c r="G1362" s="26"/>
      <c r="H1362" s="28"/>
      <c r="I1362" s="28"/>
      <c r="J1362" s="28"/>
      <c r="K1362" s="28"/>
      <c r="L1362" s="26" t="s">
        <v>38</v>
      </c>
      <c r="M1362" s="28">
        <v>45.7</v>
      </c>
      <c r="N1362" s="28">
        <v>9</v>
      </c>
      <c r="O1362" s="28">
        <v>10</v>
      </c>
      <c r="P1362" s="28">
        <v>0</v>
      </c>
      <c r="Q1362" s="28">
        <v>0</v>
      </c>
      <c r="R1362" s="28">
        <v>0</v>
      </c>
      <c r="S1362" s="28"/>
      <c r="Z1362" s="26"/>
      <c r="AA1362" s="23"/>
      <c r="AB1362" s="3" t="str">
        <f t="shared" si="11"/>
        <v>___</v>
      </c>
      <c r="AC1362" s="3" t="str">
        <f t="shared" si="10"/>
        <v>____</v>
      </c>
    </row>
    <row r="1363" spans="1:30" ht="14">
      <c r="A1363" s="29"/>
      <c r="B1363" s="30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 t="s">
        <v>39</v>
      </c>
      <c r="M1363" s="31">
        <v>29.9</v>
      </c>
      <c r="N1363" s="31">
        <v>2</v>
      </c>
      <c r="O1363" s="31">
        <v>4</v>
      </c>
      <c r="P1363" s="31">
        <v>0</v>
      </c>
      <c r="Q1363" s="31">
        <v>0</v>
      </c>
      <c r="R1363" s="31">
        <v>0</v>
      </c>
      <c r="S1363" s="28"/>
      <c r="Z1363" s="29"/>
      <c r="AA1363" s="23"/>
      <c r="AB1363" s="3" t="str">
        <f t="shared" si="11"/>
        <v>___</v>
      </c>
      <c r="AC1363" s="3" t="str">
        <f t="shared" si="10"/>
        <v>____</v>
      </c>
    </row>
    <row r="1364" spans="1:30" ht="14">
      <c r="A1364" s="28" t="s">
        <v>183</v>
      </c>
      <c r="B1364" s="5" t="s">
        <v>186</v>
      </c>
      <c r="C1364" s="28">
        <v>26</v>
      </c>
      <c r="D1364" s="26" t="s">
        <v>163</v>
      </c>
      <c r="E1364" s="26" t="s">
        <v>34</v>
      </c>
      <c r="F1364" s="26" t="s">
        <v>144</v>
      </c>
      <c r="G1364" s="26" t="s">
        <v>35</v>
      </c>
      <c r="H1364" s="28">
        <v>2</v>
      </c>
      <c r="I1364" s="28">
        <v>19.2</v>
      </c>
      <c r="J1364" s="28">
        <v>21.3</v>
      </c>
      <c r="K1364" s="28">
        <v>5</v>
      </c>
      <c r="L1364" s="26" t="s">
        <v>36</v>
      </c>
      <c r="M1364" s="28">
        <v>40.299999999999997</v>
      </c>
      <c r="N1364" s="28">
        <v>15</v>
      </c>
      <c r="O1364" s="28">
        <v>16</v>
      </c>
      <c r="P1364" s="28">
        <v>0</v>
      </c>
      <c r="Q1364" s="28">
        <v>0</v>
      </c>
      <c r="R1364" s="28">
        <v>1</v>
      </c>
      <c r="S1364" s="28"/>
      <c r="Z1364" s="26"/>
      <c r="AA1364" s="23"/>
      <c r="AB1364" s="3" t="str">
        <f t="shared" si="11"/>
        <v>ANO_1393_26_V1-C5_vv</v>
      </c>
      <c r="AC1364" s="3" t="str">
        <f t="shared" si="10"/>
        <v>ANO_1393_26_V1-C5_vv_2</v>
      </c>
      <c r="AD1364" s="3" t="s">
        <v>37</v>
      </c>
    </row>
    <row r="1365" spans="1:30" ht="14">
      <c r="A1365" s="28"/>
      <c r="B1365" s="5"/>
      <c r="C1365" s="28"/>
      <c r="D1365" s="26"/>
      <c r="E1365" s="26"/>
      <c r="F1365" s="26"/>
      <c r="G1365" s="26"/>
      <c r="H1365" s="28"/>
      <c r="I1365" s="28"/>
      <c r="J1365" s="28"/>
      <c r="K1365" s="28"/>
      <c r="L1365" s="26" t="s">
        <v>38</v>
      </c>
      <c r="M1365" s="28">
        <v>60.9</v>
      </c>
      <c r="N1365" s="28">
        <v>12</v>
      </c>
      <c r="O1365" s="28">
        <v>13</v>
      </c>
      <c r="P1365" s="28">
        <v>1</v>
      </c>
      <c r="Q1365" s="28">
        <v>1</v>
      </c>
      <c r="R1365" s="28">
        <v>0</v>
      </c>
      <c r="S1365" s="28"/>
      <c r="Z1365" s="26"/>
      <c r="AA1365" s="23"/>
      <c r="AB1365" s="3" t="str">
        <f t="shared" si="11"/>
        <v>___</v>
      </c>
      <c r="AC1365" s="3" t="str">
        <f t="shared" si="10"/>
        <v>____</v>
      </c>
    </row>
    <row r="1366" spans="1:30" ht="14">
      <c r="A1366" s="29"/>
      <c r="B1366" s="30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 t="s">
        <v>39</v>
      </c>
      <c r="M1366" s="31">
        <v>15.1</v>
      </c>
      <c r="N1366" s="31">
        <v>0</v>
      </c>
      <c r="O1366" s="31">
        <v>2</v>
      </c>
      <c r="P1366" s="31">
        <v>0</v>
      </c>
      <c r="Q1366" s="31">
        <v>0</v>
      </c>
      <c r="R1366" s="31">
        <v>0</v>
      </c>
      <c r="S1366" s="28"/>
      <c r="Z1366" s="29"/>
      <c r="AA1366" s="23"/>
      <c r="AB1366" s="3" t="str">
        <f t="shared" si="11"/>
        <v>___</v>
      </c>
      <c r="AC1366" s="3" t="str">
        <f t="shared" si="10"/>
        <v>____</v>
      </c>
    </row>
    <row r="1367" spans="1:30" ht="14">
      <c r="A1367" s="28" t="s">
        <v>183</v>
      </c>
      <c r="B1367" s="5" t="s">
        <v>186</v>
      </c>
      <c r="C1367" s="28">
        <v>26</v>
      </c>
      <c r="D1367" s="26" t="s">
        <v>163</v>
      </c>
      <c r="E1367" s="26" t="s">
        <v>34</v>
      </c>
      <c r="F1367" s="26" t="s">
        <v>144</v>
      </c>
      <c r="G1367" s="26" t="s">
        <v>35</v>
      </c>
      <c r="H1367" s="28">
        <v>3</v>
      </c>
      <c r="I1367" s="28">
        <v>6</v>
      </c>
      <c r="J1367" s="28">
        <v>11.4</v>
      </c>
      <c r="K1367" s="28">
        <v>4</v>
      </c>
      <c r="L1367" s="26" t="s">
        <v>36</v>
      </c>
      <c r="M1367" s="28">
        <v>35.200000000000003</v>
      </c>
      <c r="N1367" s="28">
        <v>11</v>
      </c>
      <c r="O1367" s="28">
        <v>12</v>
      </c>
      <c r="P1367" s="28">
        <v>0</v>
      </c>
      <c r="Q1367" s="28">
        <v>0</v>
      </c>
      <c r="R1367" s="28">
        <v>1</v>
      </c>
      <c r="S1367" s="28"/>
      <c r="Z1367" s="26"/>
      <c r="AA1367" s="23"/>
      <c r="AB1367" s="3" t="str">
        <f t="shared" si="11"/>
        <v>ANO_1393_26_V1-C5_vv</v>
      </c>
      <c r="AC1367" s="3" t="str">
        <f t="shared" si="10"/>
        <v>ANO_1393_26_V1-C5_vv_3</v>
      </c>
      <c r="AD1367" s="3" t="s">
        <v>37</v>
      </c>
    </row>
    <row r="1368" spans="1:30" ht="14">
      <c r="A1368" s="28"/>
      <c r="B1368" s="5"/>
      <c r="C1368" s="28"/>
      <c r="D1368" s="26"/>
      <c r="E1368" s="26"/>
      <c r="F1368" s="26"/>
      <c r="G1368" s="26"/>
      <c r="H1368" s="28"/>
      <c r="I1368" s="28"/>
      <c r="J1368" s="28"/>
      <c r="K1368" s="28"/>
      <c r="L1368" s="26" t="s">
        <v>38</v>
      </c>
      <c r="M1368" s="28">
        <v>27.3</v>
      </c>
      <c r="N1368" s="28">
        <v>6</v>
      </c>
      <c r="O1368" s="28">
        <v>6</v>
      </c>
      <c r="P1368" s="28">
        <v>2</v>
      </c>
      <c r="Q1368" s="28">
        <v>2</v>
      </c>
      <c r="R1368" s="28">
        <v>0</v>
      </c>
      <c r="S1368" s="28"/>
      <c r="Z1368" s="26"/>
      <c r="AA1368" s="23"/>
      <c r="AB1368" s="3" t="str">
        <f t="shared" si="11"/>
        <v>___</v>
      </c>
      <c r="AC1368" s="3" t="str">
        <f t="shared" si="10"/>
        <v>____</v>
      </c>
    </row>
    <row r="1369" spans="1:30" ht="14">
      <c r="A1369" s="29"/>
      <c r="B1369" s="30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 t="s">
        <v>39</v>
      </c>
      <c r="M1369" s="31">
        <v>28.6</v>
      </c>
      <c r="N1369" s="31">
        <v>2</v>
      </c>
      <c r="O1369" s="31">
        <v>4</v>
      </c>
      <c r="P1369" s="31">
        <v>1</v>
      </c>
      <c r="Q1369" s="31">
        <v>1</v>
      </c>
      <c r="R1369" s="31">
        <v>0</v>
      </c>
      <c r="S1369" s="28"/>
      <c r="Z1369" s="29"/>
      <c r="AA1369" s="23"/>
      <c r="AB1369" s="3" t="str">
        <f t="shared" si="11"/>
        <v>___</v>
      </c>
      <c r="AC1369" s="3" t="str">
        <f t="shared" si="10"/>
        <v>____</v>
      </c>
    </row>
    <row r="1370" spans="1:30" ht="14">
      <c r="A1370" s="28" t="s">
        <v>183</v>
      </c>
      <c r="B1370" s="5" t="s">
        <v>186</v>
      </c>
      <c r="C1370" s="28">
        <v>15</v>
      </c>
      <c r="D1370" s="26" t="s">
        <v>163</v>
      </c>
      <c r="E1370" s="26" t="s">
        <v>180</v>
      </c>
      <c r="F1370" s="26" t="s">
        <v>136</v>
      </c>
      <c r="G1370" s="26" t="s">
        <v>35</v>
      </c>
      <c r="H1370" s="28">
        <v>1</v>
      </c>
      <c r="I1370" s="28">
        <v>14.7</v>
      </c>
      <c r="J1370" s="28">
        <v>17.899999999999999</v>
      </c>
      <c r="K1370" s="28">
        <v>4</v>
      </c>
      <c r="L1370" s="26" t="s">
        <v>36</v>
      </c>
      <c r="M1370" s="28">
        <v>80.2</v>
      </c>
      <c r="N1370" s="28">
        <v>14</v>
      </c>
      <c r="O1370" s="28">
        <v>15</v>
      </c>
      <c r="P1370" s="28">
        <v>0</v>
      </c>
      <c r="Q1370" s="28">
        <v>0</v>
      </c>
      <c r="R1370" s="28">
        <v>0</v>
      </c>
      <c r="S1370" s="28"/>
      <c r="Z1370" s="26"/>
      <c r="AA1370" s="23"/>
      <c r="AB1370" s="3" t="str">
        <f t="shared" si="11"/>
        <v>ANO_1393_15_T4-C1_vv</v>
      </c>
      <c r="AC1370" s="3" t="str">
        <f t="shared" si="10"/>
        <v>ANO_1393_15_T4-C1_vv_1</v>
      </c>
      <c r="AD1370" s="3" t="s">
        <v>37</v>
      </c>
    </row>
    <row r="1371" spans="1:30" ht="14">
      <c r="A1371" s="28"/>
      <c r="B1371" s="5"/>
      <c r="C1371" s="28"/>
      <c r="D1371" s="26"/>
      <c r="E1371" s="26"/>
      <c r="F1371" s="26"/>
      <c r="G1371" s="26"/>
      <c r="H1371" s="28"/>
      <c r="I1371" s="28"/>
      <c r="J1371" s="28"/>
      <c r="K1371" s="28"/>
      <c r="L1371" s="26" t="s">
        <v>38</v>
      </c>
      <c r="M1371" s="28">
        <v>35.799999999999997</v>
      </c>
      <c r="N1371" s="28">
        <v>2</v>
      </c>
      <c r="O1371" s="28">
        <v>4</v>
      </c>
      <c r="P1371" s="28">
        <v>0</v>
      </c>
      <c r="Q1371" s="28">
        <v>0</v>
      </c>
      <c r="R1371" s="28">
        <v>0</v>
      </c>
      <c r="S1371" s="28"/>
      <c r="Z1371" s="26"/>
      <c r="AA1371" s="23"/>
      <c r="AB1371" s="3" t="str">
        <f t="shared" si="11"/>
        <v>___</v>
      </c>
      <c r="AC1371" s="3" t="str">
        <f t="shared" si="10"/>
        <v>____</v>
      </c>
    </row>
    <row r="1372" spans="1:30" ht="14">
      <c r="A1372" s="31"/>
      <c r="B1372" s="30"/>
      <c r="C1372" s="31"/>
      <c r="D1372" s="29"/>
      <c r="E1372" s="29"/>
      <c r="F1372" s="29"/>
      <c r="G1372" s="29"/>
      <c r="H1372" s="29"/>
      <c r="I1372" s="31"/>
      <c r="J1372" s="31"/>
      <c r="K1372" s="31"/>
      <c r="L1372" s="29" t="s">
        <v>39</v>
      </c>
      <c r="M1372" s="31">
        <v>21.6</v>
      </c>
      <c r="N1372" s="31">
        <v>0</v>
      </c>
      <c r="O1372" s="31">
        <v>2</v>
      </c>
      <c r="P1372" s="31">
        <v>0</v>
      </c>
      <c r="Q1372" s="31">
        <v>0</v>
      </c>
      <c r="R1372" s="31">
        <v>0</v>
      </c>
      <c r="S1372" s="28"/>
      <c r="Z1372" s="29"/>
      <c r="AA1372" s="23"/>
      <c r="AB1372" s="3" t="str">
        <f t="shared" si="11"/>
        <v>___</v>
      </c>
      <c r="AC1372" s="3" t="str">
        <f t="shared" si="10"/>
        <v>____</v>
      </c>
    </row>
    <row r="1373" spans="1:30" ht="14">
      <c r="A1373" s="28" t="s">
        <v>183</v>
      </c>
      <c r="B1373" s="5" t="s">
        <v>186</v>
      </c>
      <c r="C1373" s="28">
        <v>15</v>
      </c>
      <c r="D1373" s="26" t="s">
        <v>163</v>
      </c>
      <c r="E1373" s="26" t="s">
        <v>180</v>
      </c>
      <c r="F1373" s="26" t="s">
        <v>136</v>
      </c>
      <c r="G1373" s="26" t="s">
        <v>35</v>
      </c>
      <c r="H1373" s="28">
        <v>2</v>
      </c>
      <c r="I1373" s="28">
        <v>8.4</v>
      </c>
      <c r="J1373" s="28">
        <v>19.7</v>
      </c>
      <c r="K1373" s="28">
        <v>5</v>
      </c>
      <c r="L1373" s="26" t="s">
        <v>36</v>
      </c>
      <c r="M1373" s="28">
        <v>72.2</v>
      </c>
      <c r="N1373" s="28">
        <v>12</v>
      </c>
      <c r="O1373" s="28">
        <v>14</v>
      </c>
      <c r="P1373" s="28">
        <v>0</v>
      </c>
      <c r="Q1373" s="28">
        <v>0</v>
      </c>
      <c r="R1373" s="28">
        <v>0</v>
      </c>
      <c r="S1373" s="28"/>
      <c r="Z1373" s="26"/>
      <c r="AA1373" s="23"/>
      <c r="AB1373" s="3" t="str">
        <f t="shared" si="11"/>
        <v>ANO_1393_15_T4-C1_vv</v>
      </c>
      <c r="AC1373" s="3" t="str">
        <f t="shared" si="10"/>
        <v>ANO_1393_15_T4-C1_vv_2</v>
      </c>
      <c r="AD1373" s="3" t="s">
        <v>37</v>
      </c>
    </row>
    <row r="1374" spans="1:30" ht="14">
      <c r="A1374" s="28"/>
      <c r="B1374" s="5"/>
      <c r="C1374" s="28"/>
      <c r="D1374" s="26"/>
      <c r="E1374" s="26"/>
      <c r="F1374" s="26"/>
      <c r="G1374" s="26"/>
      <c r="H1374" s="28"/>
      <c r="I1374" s="28"/>
      <c r="J1374" s="28"/>
      <c r="K1374" s="28"/>
      <c r="L1374" s="26" t="s">
        <v>38</v>
      </c>
      <c r="M1374" s="28">
        <v>15</v>
      </c>
      <c r="N1374" s="28">
        <v>1</v>
      </c>
      <c r="O1374" s="28">
        <v>2</v>
      </c>
      <c r="P1374" s="28">
        <v>0</v>
      </c>
      <c r="Q1374" s="28">
        <v>0</v>
      </c>
      <c r="R1374" s="28">
        <v>0</v>
      </c>
      <c r="S1374" s="28"/>
      <c r="Z1374" s="26"/>
      <c r="AA1374" s="23"/>
      <c r="AB1374" s="3" t="str">
        <f t="shared" si="11"/>
        <v>___</v>
      </c>
      <c r="AC1374" s="3" t="str">
        <f t="shared" si="10"/>
        <v>____</v>
      </c>
    </row>
    <row r="1375" spans="1:30" ht="14">
      <c r="A1375" s="31"/>
      <c r="B1375" s="30"/>
      <c r="C1375" s="31"/>
      <c r="D1375" s="29"/>
      <c r="E1375" s="29"/>
      <c r="F1375" s="29"/>
      <c r="G1375" s="29"/>
      <c r="H1375" s="29"/>
      <c r="I1375" s="31"/>
      <c r="J1375" s="31"/>
      <c r="K1375" s="31"/>
      <c r="L1375" s="29" t="s">
        <v>39</v>
      </c>
      <c r="M1375" s="31">
        <v>35.200000000000003</v>
      </c>
      <c r="N1375" s="31">
        <v>5</v>
      </c>
      <c r="O1375" s="31">
        <v>6</v>
      </c>
      <c r="P1375" s="31">
        <v>1</v>
      </c>
      <c r="Q1375" s="31">
        <v>0</v>
      </c>
      <c r="R1375" s="31">
        <v>0</v>
      </c>
      <c r="S1375" s="28"/>
      <c r="Z1375" s="29"/>
      <c r="AA1375" s="23"/>
      <c r="AB1375" s="3" t="str">
        <f t="shared" si="11"/>
        <v>___</v>
      </c>
      <c r="AC1375" s="3" t="str">
        <f t="shared" si="10"/>
        <v>____</v>
      </c>
    </row>
    <row r="1376" spans="1:30" ht="14">
      <c r="A1376" s="28" t="s">
        <v>183</v>
      </c>
      <c r="B1376" s="5" t="s">
        <v>186</v>
      </c>
      <c r="C1376" s="28">
        <v>15</v>
      </c>
      <c r="D1376" s="26" t="s">
        <v>163</v>
      </c>
      <c r="E1376" s="26" t="s">
        <v>180</v>
      </c>
      <c r="F1376" s="26" t="s">
        <v>136</v>
      </c>
      <c r="G1376" s="26" t="s">
        <v>35</v>
      </c>
      <c r="H1376" s="28">
        <v>3</v>
      </c>
      <c r="I1376" s="28">
        <v>6.8</v>
      </c>
      <c r="J1376" s="28">
        <v>16.5</v>
      </c>
      <c r="K1376" s="28">
        <v>6</v>
      </c>
      <c r="L1376" s="26" t="s">
        <v>36</v>
      </c>
      <c r="M1376" s="28">
        <v>41.2</v>
      </c>
      <c r="N1376" s="28">
        <v>12</v>
      </c>
      <c r="O1376" s="28">
        <v>14</v>
      </c>
      <c r="P1376" s="28">
        <v>0</v>
      </c>
      <c r="Q1376" s="28">
        <v>0</v>
      </c>
      <c r="R1376" s="28">
        <v>0</v>
      </c>
      <c r="S1376" s="28"/>
      <c r="Z1376" s="26"/>
      <c r="AA1376" s="23"/>
      <c r="AB1376" s="3" t="str">
        <f t="shared" si="11"/>
        <v>ANO_1393_15_T4-C1_vv</v>
      </c>
      <c r="AC1376" s="3" t="str">
        <f t="shared" si="10"/>
        <v>ANO_1393_15_T4-C1_vv_3</v>
      </c>
      <c r="AD1376" s="3" t="s">
        <v>37</v>
      </c>
    </row>
    <row r="1377" spans="1:30" ht="14">
      <c r="A1377" s="28"/>
      <c r="B1377" s="5"/>
      <c r="C1377" s="28"/>
      <c r="D1377" s="26"/>
      <c r="E1377" s="26"/>
      <c r="F1377" s="26"/>
      <c r="G1377" s="26"/>
      <c r="H1377" s="28"/>
      <c r="I1377" s="28"/>
      <c r="J1377" s="28"/>
      <c r="K1377" s="28"/>
      <c r="L1377" s="26" t="s">
        <v>38</v>
      </c>
      <c r="M1377" s="28">
        <v>63.7</v>
      </c>
      <c r="N1377" s="28">
        <v>9</v>
      </c>
      <c r="O1377" s="28">
        <v>10</v>
      </c>
      <c r="P1377" s="28">
        <v>0</v>
      </c>
      <c r="Q1377" s="28">
        <v>0</v>
      </c>
      <c r="R1377" s="28">
        <v>0</v>
      </c>
      <c r="S1377" s="28"/>
      <c r="Z1377" s="26"/>
      <c r="AA1377" s="23"/>
      <c r="AB1377" s="3" t="str">
        <f t="shared" si="11"/>
        <v>___</v>
      </c>
      <c r="AC1377" s="3" t="str">
        <f t="shared" si="10"/>
        <v>____</v>
      </c>
    </row>
    <row r="1378" spans="1:30" ht="14">
      <c r="A1378" s="31"/>
      <c r="B1378" s="30"/>
      <c r="C1378" s="31"/>
      <c r="D1378" s="29"/>
      <c r="E1378" s="29"/>
      <c r="F1378" s="29"/>
      <c r="G1378" s="29"/>
      <c r="H1378" s="31"/>
      <c r="I1378" s="31"/>
      <c r="J1378" s="31"/>
      <c r="K1378" s="31"/>
      <c r="L1378" s="29" t="s">
        <v>39</v>
      </c>
      <c r="M1378" s="31">
        <v>31.3</v>
      </c>
      <c r="N1378" s="31">
        <v>0</v>
      </c>
      <c r="O1378" s="31">
        <v>4</v>
      </c>
      <c r="P1378" s="31">
        <v>0</v>
      </c>
      <c r="Q1378" s="31">
        <v>0</v>
      </c>
      <c r="R1378" s="31">
        <v>0</v>
      </c>
      <c r="S1378" s="28"/>
      <c r="Z1378" s="29"/>
      <c r="AA1378" s="23"/>
      <c r="AB1378" s="3" t="str">
        <f t="shared" si="11"/>
        <v>___</v>
      </c>
      <c r="AC1378" s="3" t="str">
        <f t="shared" si="10"/>
        <v>____</v>
      </c>
    </row>
    <row r="1379" spans="1:30" ht="14">
      <c r="A1379" s="28" t="s">
        <v>183</v>
      </c>
      <c r="B1379" s="5" t="s">
        <v>184</v>
      </c>
      <c r="C1379" s="28">
        <v>26</v>
      </c>
      <c r="D1379" s="26" t="s">
        <v>163</v>
      </c>
      <c r="E1379" s="26" t="s">
        <v>34</v>
      </c>
      <c r="F1379" s="26" t="s">
        <v>185</v>
      </c>
      <c r="G1379" s="26" t="s">
        <v>35</v>
      </c>
      <c r="H1379" s="28">
        <v>1</v>
      </c>
      <c r="I1379" s="28">
        <v>6.4</v>
      </c>
      <c r="J1379" s="28">
        <v>8</v>
      </c>
      <c r="K1379" s="28">
        <v>4</v>
      </c>
      <c r="L1379" s="26" t="s">
        <v>36</v>
      </c>
      <c r="M1379" s="28">
        <v>16.2</v>
      </c>
      <c r="N1379" s="28">
        <v>7</v>
      </c>
      <c r="O1379" s="28">
        <v>8</v>
      </c>
      <c r="P1379" s="28">
        <v>0</v>
      </c>
      <c r="Q1379" s="28">
        <v>0</v>
      </c>
      <c r="R1379" s="28">
        <v>0</v>
      </c>
      <c r="S1379" s="28"/>
      <c r="Z1379" s="26"/>
      <c r="AA1379" s="23"/>
      <c r="AB1379" s="3" t="str">
        <f t="shared" si="11"/>
        <v>ANO_016_26_V3-C2_vv</v>
      </c>
      <c r="AC1379" s="3" t="str">
        <f t="shared" si="10"/>
        <v>ANO_016_26_V3-C2_vv_1</v>
      </c>
      <c r="AD1379" s="3" t="s">
        <v>37</v>
      </c>
    </row>
    <row r="1380" spans="1:30" ht="14">
      <c r="A1380" s="28"/>
      <c r="B1380" s="5"/>
      <c r="C1380" s="28"/>
      <c r="D1380" s="26"/>
      <c r="E1380" s="26"/>
      <c r="F1380" s="26"/>
      <c r="G1380" s="26"/>
      <c r="H1380" s="28"/>
      <c r="I1380" s="28"/>
      <c r="J1380" s="28"/>
      <c r="K1380" s="28"/>
      <c r="L1380" s="26" t="s">
        <v>38</v>
      </c>
      <c r="M1380" s="28">
        <v>16</v>
      </c>
      <c r="N1380" s="28">
        <v>7</v>
      </c>
      <c r="O1380" s="28">
        <v>8</v>
      </c>
      <c r="P1380" s="28">
        <v>0</v>
      </c>
      <c r="Q1380" s="28">
        <v>0</v>
      </c>
      <c r="R1380" s="28">
        <v>0</v>
      </c>
      <c r="S1380" s="28"/>
      <c r="Z1380" s="26"/>
      <c r="AA1380" s="23"/>
      <c r="AB1380" s="3" t="str">
        <f t="shared" si="11"/>
        <v>___</v>
      </c>
      <c r="AC1380" s="3" t="str">
        <f t="shared" si="10"/>
        <v>____</v>
      </c>
    </row>
    <row r="1381" spans="1:30" ht="14">
      <c r="A1381" s="31"/>
      <c r="B1381" s="30"/>
      <c r="C1381" s="31"/>
      <c r="D1381" s="29"/>
      <c r="E1381" s="29"/>
      <c r="F1381" s="29"/>
      <c r="G1381" s="29"/>
      <c r="H1381" s="29"/>
      <c r="I1381" s="31"/>
      <c r="J1381" s="31"/>
      <c r="K1381" s="31"/>
      <c r="L1381" s="29" t="s">
        <v>39</v>
      </c>
      <c r="M1381" s="31">
        <v>20.100000000000001</v>
      </c>
      <c r="N1381" s="31">
        <v>4</v>
      </c>
      <c r="O1381" s="31">
        <v>6</v>
      </c>
      <c r="P1381" s="31">
        <v>0</v>
      </c>
      <c r="Q1381" s="31">
        <v>0</v>
      </c>
      <c r="R1381" s="31">
        <v>0</v>
      </c>
      <c r="S1381" s="28"/>
      <c r="Z1381" s="29"/>
      <c r="AA1381" s="23"/>
      <c r="AB1381" s="3" t="str">
        <f t="shared" si="11"/>
        <v>___</v>
      </c>
      <c r="AC1381" s="3" t="str">
        <f t="shared" si="10"/>
        <v>____</v>
      </c>
    </row>
    <row r="1382" spans="1:30" ht="14">
      <c r="A1382" s="28" t="s">
        <v>183</v>
      </c>
      <c r="B1382" s="5" t="s">
        <v>184</v>
      </c>
      <c r="C1382" s="28">
        <v>26</v>
      </c>
      <c r="D1382" s="26" t="s">
        <v>163</v>
      </c>
      <c r="E1382" s="26" t="s">
        <v>34</v>
      </c>
      <c r="F1382" s="26" t="s">
        <v>185</v>
      </c>
      <c r="G1382" s="26" t="s">
        <v>35</v>
      </c>
      <c r="H1382" s="28">
        <v>2</v>
      </c>
      <c r="I1382" s="28">
        <v>13</v>
      </c>
      <c r="J1382" s="28">
        <v>13.3</v>
      </c>
      <c r="K1382" s="28">
        <v>4</v>
      </c>
      <c r="L1382" s="26" t="s">
        <v>36</v>
      </c>
      <c r="M1382" s="28">
        <v>30.3</v>
      </c>
      <c r="N1382" s="28">
        <v>8</v>
      </c>
      <c r="O1382" s="28">
        <v>9</v>
      </c>
      <c r="P1382" s="28">
        <v>0</v>
      </c>
      <c r="Q1382" s="28">
        <v>0</v>
      </c>
      <c r="R1382" s="28">
        <v>0</v>
      </c>
      <c r="S1382" s="28"/>
      <c r="Z1382" s="26"/>
      <c r="AA1382" s="23"/>
      <c r="AB1382" s="3" t="str">
        <f t="shared" si="11"/>
        <v>ANO_016_26_V3-C2_vv</v>
      </c>
      <c r="AC1382" s="3" t="str">
        <f t="shared" si="10"/>
        <v>ANO_016_26_V3-C2_vv_2</v>
      </c>
      <c r="AD1382" s="3" t="s">
        <v>37</v>
      </c>
    </row>
    <row r="1383" spans="1:30" ht="14">
      <c r="A1383" s="28"/>
      <c r="B1383" s="5"/>
      <c r="C1383" s="28"/>
      <c r="D1383" s="26"/>
      <c r="E1383" s="26"/>
      <c r="F1383" s="26"/>
      <c r="G1383" s="26"/>
      <c r="H1383" s="28"/>
      <c r="I1383" s="28"/>
      <c r="J1383" s="28"/>
      <c r="K1383" s="28"/>
      <c r="L1383" s="26" t="s">
        <v>38</v>
      </c>
      <c r="M1383" s="28">
        <v>46.1</v>
      </c>
      <c r="N1383" s="28">
        <v>12</v>
      </c>
      <c r="O1383" s="28">
        <v>13</v>
      </c>
      <c r="P1383" s="28">
        <v>0</v>
      </c>
      <c r="Q1383" s="28">
        <v>0</v>
      </c>
      <c r="R1383" s="28">
        <v>0</v>
      </c>
      <c r="S1383" s="28"/>
      <c r="Z1383" s="26"/>
      <c r="AA1383" s="23"/>
      <c r="AB1383" s="3" t="str">
        <f t="shared" si="11"/>
        <v>___</v>
      </c>
      <c r="AC1383" s="3" t="str">
        <f t="shared" si="10"/>
        <v>____</v>
      </c>
    </row>
    <row r="1384" spans="1:30" ht="14">
      <c r="A1384" s="31"/>
      <c r="B1384" s="30"/>
      <c r="C1384" s="31"/>
      <c r="D1384" s="29"/>
      <c r="E1384" s="29"/>
      <c r="F1384" s="29"/>
      <c r="G1384" s="29"/>
      <c r="H1384" s="29"/>
      <c r="I1384" s="31"/>
      <c r="J1384" s="31"/>
      <c r="K1384" s="31"/>
      <c r="L1384" s="29" t="s">
        <v>39</v>
      </c>
      <c r="M1384" s="31">
        <v>31.2</v>
      </c>
      <c r="N1384" s="31">
        <v>0</v>
      </c>
      <c r="O1384" s="31">
        <v>6</v>
      </c>
      <c r="P1384" s="31">
        <v>0</v>
      </c>
      <c r="Q1384" s="31">
        <v>0</v>
      </c>
      <c r="R1384" s="31">
        <v>0</v>
      </c>
      <c r="S1384" s="28"/>
      <c r="Z1384" s="29"/>
      <c r="AA1384" s="23"/>
      <c r="AB1384" s="3" t="str">
        <f t="shared" si="11"/>
        <v>___</v>
      </c>
      <c r="AC1384" s="3" t="str">
        <f t="shared" si="10"/>
        <v>____</v>
      </c>
    </row>
    <row r="1385" spans="1:30" ht="14">
      <c r="A1385" s="28" t="s">
        <v>183</v>
      </c>
      <c r="B1385" s="5" t="s">
        <v>184</v>
      </c>
      <c r="C1385" s="28">
        <v>26</v>
      </c>
      <c r="D1385" s="26" t="s">
        <v>163</v>
      </c>
      <c r="E1385" s="26" t="s">
        <v>34</v>
      </c>
      <c r="F1385" s="26" t="s">
        <v>185</v>
      </c>
      <c r="G1385" s="26" t="s">
        <v>35</v>
      </c>
      <c r="H1385" s="28">
        <v>3</v>
      </c>
      <c r="I1385" s="28">
        <v>10.199999999999999</v>
      </c>
      <c r="J1385" s="28">
        <v>10.5</v>
      </c>
      <c r="K1385" s="28">
        <v>4</v>
      </c>
      <c r="L1385" s="26" t="s">
        <v>36</v>
      </c>
      <c r="M1385" s="28">
        <v>49.8</v>
      </c>
      <c r="N1385" s="28">
        <v>10</v>
      </c>
      <c r="O1385" s="28">
        <v>12</v>
      </c>
      <c r="P1385" s="28">
        <v>0</v>
      </c>
      <c r="Q1385" s="28">
        <v>0</v>
      </c>
      <c r="R1385" s="28">
        <v>0</v>
      </c>
      <c r="S1385" s="28"/>
      <c r="Z1385" s="26"/>
      <c r="AA1385" s="23"/>
      <c r="AB1385" s="3" t="str">
        <f t="shared" si="11"/>
        <v>ANO_016_26_V3-C2_vv</v>
      </c>
      <c r="AC1385" s="3" t="str">
        <f t="shared" si="10"/>
        <v>ANO_016_26_V3-C2_vv_3</v>
      </c>
      <c r="AD1385" s="3" t="s">
        <v>37</v>
      </c>
    </row>
    <row r="1386" spans="1:30" ht="14">
      <c r="A1386" s="28"/>
      <c r="B1386" s="5"/>
      <c r="C1386" s="28"/>
      <c r="D1386" s="26"/>
      <c r="E1386" s="26"/>
      <c r="F1386" s="26"/>
      <c r="G1386" s="26"/>
      <c r="H1386" s="28"/>
      <c r="I1386" s="28"/>
      <c r="J1386" s="28"/>
      <c r="K1386" s="28"/>
      <c r="L1386" s="26" t="s">
        <v>38</v>
      </c>
      <c r="M1386" s="28">
        <v>20</v>
      </c>
      <c r="N1386" s="28">
        <v>0</v>
      </c>
      <c r="O1386" s="28">
        <v>5</v>
      </c>
      <c r="P1386" s="28">
        <v>0</v>
      </c>
      <c r="Q1386" s="28">
        <v>0</v>
      </c>
      <c r="R1386" s="28">
        <v>0</v>
      </c>
      <c r="S1386" s="28"/>
      <c r="Z1386" s="26"/>
      <c r="AA1386" s="23"/>
      <c r="AB1386" s="3" t="str">
        <f t="shared" si="11"/>
        <v>___</v>
      </c>
      <c r="AC1386" s="3" t="str">
        <f t="shared" si="10"/>
        <v>____</v>
      </c>
    </row>
    <row r="1387" spans="1:30" ht="14">
      <c r="A1387" s="31"/>
      <c r="B1387" s="30"/>
      <c r="C1387" s="31"/>
      <c r="D1387" s="29"/>
      <c r="E1387" s="29"/>
      <c r="F1387" s="29"/>
      <c r="G1387" s="29"/>
      <c r="H1387" s="31"/>
      <c r="I1387" s="31"/>
      <c r="J1387" s="31"/>
      <c r="K1387" s="31"/>
      <c r="L1387" s="29" t="s">
        <v>39</v>
      </c>
      <c r="M1387" s="31">
        <v>29.7</v>
      </c>
      <c r="N1387" s="31">
        <v>0</v>
      </c>
      <c r="O1387" s="31">
        <v>6</v>
      </c>
      <c r="P1387" s="31">
        <v>0</v>
      </c>
      <c r="Q1387" s="31">
        <v>0</v>
      </c>
      <c r="R1387" s="31">
        <v>0</v>
      </c>
      <c r="S1387" s="28"/>
      <c r="Z1387" s="29"/>
      <c r="AA1387" s="23"/>
      <c r="AB1387" s="3" t="str">
        <f t="shared" si="11"/>
        <v>___</v>
      </c>
      <c r="AC1387" s="3" t="str">
        <f t="shared" si="10"/>
        <v>____</v>
      </c>
    </row>
    <row r="1388" spans="1:30" ht="14">
      <c r="A1388" s="28" t="s">
        <v>183</v>
      </c>
      <c r="B1388" s="5" t="s">
        <v>184</v>
      </c>
      <c r="C1388" s="28">
        <v>44</v>
      </c>
      <c r="D1388" s="26" t="s">
        <v>163</v>
      </c>
      <c r="E1388" s="26" t="s">
        <v>180</v>
      </c>
      <c r="F1388" s="26" t="s">
        <v>136</v>
      </c>
      <c r="G1388" s="26" t="s">
        <v>35</v>
      </c>
      <c r="H1388" s="28">
        <v>1</v>
      </c>
      <c r="I1388" s="28">
        <v>11.5</v>
      </c>
      <c r="J1388" s="28">
        <v>13.3</v>
      </c>
      <c r="K1388" s="28">
        <v>4</v>
      </c>
      <c r="L1388" s="26" t="s">
        <v>36</v>
      </c>
      <c r="M1388" s="28">
        <v>56.3</v>
      </c>
      <c r="N1388" s="28">
        <v>11</v>
      </c>
      <c r="O1388" s="28">
        <v>11</v>
      </c>
      <c r="P1388" s="28">
        <v>0</v>
      </c>
      <c r="Q1388" s="28">
        <v>0</v>
      </c>
      <c r="R1388" s="28">
        <v>0</v>
      </c>
      <c r="S1388" s="28"/>
      <c r="Z1388" s="26"/>
      <c r="AA1388" s="23"/>
      <c r="AB1388" s="3" t="str">
        <f t="shared" si="11"/>
        <v>ANO_016_44_T4-C1_vv</v>
      </c>
      <c r="AC1388" s="3" t="str">
        <f t="shared" si="10"/>
        <v>ANO_016_44_T4-C1_vv_1</v>
      </c>
      <c r="AD1388" s="3" t="s">
        <v>37</v>
      </c>
    </row>
    <row r="1389" spans="1:30" ht="14">
      <c r="A1389" s="28"/>
      <c r="B1389" s="5"/>
      <c r="C1389" s="28"/>
      <c r="D1389" s="26"/>
      <c r="E1389" s="26"/>
      <c r="F1389" s="26"/>
      <c r="G1389" s="26"/>
      <c r="H1389" s="28"/>
      <c r="I1389" s="28"/>
      <c r="J1389" s="28"/>
      <c r="K1389" s="28"/>
      <c r="L1389" s="26" t="s">
        <v>38</v>
      </c>
      <c r="M1389" s="28">
        <v>29.4</v>
      </c>
      <c r="N1389" s="28">
        <v>5</v>
      </c>
      <c r="O1389" s="28">
        <v>6</v>
      </c>
      <c r="P1389" s="28">
        <v>0</v>
      </c>
      <c r="Q1389" s="28">
        <v>0</v>
      </c>
      <c r="R1389" s="28">
        <v>0</v>
      </c>
      <c r="S1389" s="28"/>
      <c r="Z1389" s="26"/>
      <c r="AA1389" s="23"/>
      <c r="AB1389" s="3" t="str">
        <f t="shared" si="11"/>
        <v>___</v>
      </c>
      <c r="AC1389" s="3" t="str">
        <f t="shared" si="10"/>
        <v>____</v>
      </c>
    </row>
    <row r="1390" spans="1:30" ht="14">
      <c r="A1390" s="31"/>
      <c r="B1390" s="30"/>
      <c r="C1390" s="31"/>
      <c r="D1390" s="29"/>
      <c r="E1390" s="29"/>
      <c r="F1390" s="29"/>
      <c r="G1390" s="29"/>
      <c r="H1390" s="29"/>
      <c r="I1390" s="31"/>
      <c r="J1390" s="31"/>
      <c r="K1390" s="31"/>
      <c r="L1390" s="29" t="s">
        <v>39</v>
      </c>
      <c r="M1390" s="31">
        <v>28</v>
      </c>
      <c r="N1390" s="31">
        <v>2</v>
      </c>
      <c r="O1390" s="31">
        <v>3</v>
      </c>
      <c r="P1390" s="31">
        <v>0</v>
      </c>
      <c r="Q1390" s="31">
        <v>0</v>
      </c>
      <c r="R1390" s="31">
        <v>0</v>
      </c>
      <c r="S1390" s="28"/>
      <c r="Z1390" s="29"/>
      <c r="AA1390" s="23"/>
      <c r="AB1390" s="3" t="str">
        <f t="shared" si="11"/>
        <v>___</v>
      </c>
      <c r="AC1390" s="3" t="str">
        <f t="shared" si="10"/>
        <v>____</v>
      </c>
    </row>
    <row r="1391" spans="1:30" ht="14">
      <c r="A1391" s="28" t="s">
        <v>183</v>
      </c>
      <c r="B1391" s="5" t="s">
        <v>184</v>
      </c>
      <c r="C1391" s="28">
        <v>44</v>
      </c>
      <c r="D1391" s="26" t="s">
        <v>163</v>
      </c>
      <c r="E1391" s="26" t="s">
        <v>180</v>
      </c>
      <c r="F1391" s="26" t="s">
        <v>136</v>
      </c>
      <c r="G1391" s="26" t="s">
        <v>35</v>
      </c>
      <c r="H1391" s="28">
        <v>2</v>
      </c>
      <c r="I1391" s="28">
        <v>5.8</v>
      </c>
      <c r="J1391" s="28">
        <v>13.1</v>
      </c>
      <c r="K1391" s="28">
        <v>4</v>
      </c>
      <c r="L1391" s="26" t="s">
        <v>36</v>
      </c>
      <c r="M1391" s="28">
        <v>55.5</v>
      </c>
      <c r="N1391" s="28">
        <v>17</v>
      </c>
      <c r="O1391" s="28">
        <v>19</v>
      </c>
      <c r="P1391" s="28">
        <v>0</v>
      </c>
      <c r="Q1391" s="28">
        <v>0</v>
      </c>
      <c r="R1391" s="28">
        <v>0</v>
      </c>
      <c r="S1391" s="28"/>
      <c r="Z1391" s="26"/>
      <c r="AA1391" s="23"/>
      <c r="AB1391" s="3" t="str">
        <f t="shared" si="11"/>
        <v>ANO_016_44_T4-C1_vv</v>
      </c>
      <c r="AC1391" s="3" t="str">
        <f t="shared" si="10"/>
        <v>ANO_016_44_T4-C1_vv_2</v>
      </c>
      <c r="AD1391" s="3" t="s">
        <v>37</v>
      </c>
    </row>
    <row r="1392" spans="1:30" ht="14">
      <c r="A1392" s="28"/>
      <c r="B1392" s="5"/>
      <c r="C1392" s="28"/>
      <c r="D1392" s="26"/>
      <c r="E1392" s="26"/>
      <c r="F1392" s="26"/>
      <c r="G1392" s="26"/>
      <c r="H1392" s="28"/>
      <c r="I1392" s="28"/>
      <c r="J1392" s="28"/>
      <c r="K1392" s="28"/>
      <c r="L1392" s="26" t="s">
        <v>38</v>
      </c>
      <c r="M1392" s="28">
        <v>22.1</v>
      </c>
      <c r="N1392" s="28">
        <v>2</v>
      </c>
      <c r="O1392" s="28">
        <v>4</v>
      </c>
      <c r="P1392" s="28">
        <v>0</v>
      </c>
      <c r="Q1392" s="28">
        <v>0</v>
      </c>
      <c r="R1392" s="28">
        <v>0</v>
      </c>
      <c r="S1392" s="28"/>
      <c r="Z1392" s="26"/>
      <c r="AA1392" s="23"/>
      <c r="AB1392" s="3" t="str">
        <f t="shared" si="11"/>
        <v>___</v>
      </c>
      <c r="AC1392" s="3" t="str">
        <f t="shared" si="10"/>
        <v>____</v>
      </c>
    </row>
    <row r="1393" spans="1:30" ht="14">
      <c r="A1393" s="31"/>
      <c r="B1393" s="30"/>
      <c r="C1393" s="31"/>
      <c r="D1393" s="29"/>
      <c r="E1393" s="29"/>
      <c r="F1393" s="29"/>
      <c r="G1393" s="29"/>
      <c r="H1393" s="29"/>
      <c r="I1393" s="31"/>
      <c r="J1393" s="31"/>
      <c r="K1393" s="31"/>
      <c r="L1393" s="29" t="s">
        <v>39</v>
      </c>
      <c r="M1393" s="31">
        <v>9.9</v>
      </c>
      <c r="N1393" s="31">
        <v>0</v>
      </c>
      <c r="O1393" s="31">
        <v>2</v>
      </c>
      <c r="P1393" s="31">
        <v>0</v>
      </c>
      <c r="Q1393" s="31">
        <v>0</v>
      </c>
      <c r="R1393" s="31">
        <v>0</v>
      </c>
      <c r="S1393" s="28"/>
      <c r="Z1393" s="29"/>
      <c r="AA1393" s="23"/>
      <c r="AB1393" s="3" t="str">
        <f t="shared" si="11"/>
        <v>___</v>
      </c>
      <c r="AC1393" s="3" t="str">
        <f t="shared" si="10"/>
        <v>____</v>
      </c>
    </row>
    <row r="1394" spans="1:30" ht="14">
      <c r="A1394" s="28" t="s">
        <v>183</v>
      </c>
      <c r="B1394" s="5" t="s">
        <v>184</v>
      </c>
      <c r="C1394" s="28">
        <v>44</v>
      </c>
      <c r="D1394" s="26" t="s">
        <v>163</v>
      </c>
      <c r="E1394" s="26" t="s">
        <v>180</v>
      </c>
      <c r="F1394" s="26" t="s">
        <v>136</v>
      </c>
      <c r="G1394" s="26" t="s">
        <v>35</v>
      </c>
      <c r="H1394" s="28">
        <v>3</v>
      </c>
      <c r="I1394" s="28">
        <v>12</v>
      </c>
      <c r="J1394" s="28">
        <v>12.2</v>
      </c>
      <c r="K1394" s="28">
        <v>4</v>
      </c>
      <c r="L1394" s="26" t="s">
        <v>36</v>
      </c>
      <c r="M1394" s="28">
        <v>41.3</v>
      </c>
      <c r="N1394" s="28">
        <v>11</v>
      </c>
      <c r="O1394" s="28">
        <v>12</v>
      </c>
      <c r="P1394" s="28">
        <v>0</v>
      </c>
      <c r="Q1394" s="28">
        <v>0</v>
      </c>
      <c r="R1394" s="28">
        <v>0</v>
      </c>
      <c r="S1394" s="28"/>
      <c r="Z1394" s="26"/>
      <c r="AA1394" s="23"/>
      <c r="AB1394" s="3" t="str">
        <f t="shared" si="11"/>
        <v>ANO_016_44_T4-C1_vv</v>
      </c>
      <c r="AC1394" s="3" t="str">
        <f t="shared" si="10"/>
        <v>ANO_016_44_T4-C1_vv_3</v>
      </c>
      <c r="AD1394" s="3" t="s">
        <v>37</v>
      </c>
    </row>
    <row r="1395" spans="1:30" ht="14">
      <c r="A1395" s="28"/>
      <c r="B1395" s="5"/>
      <c r="C1395" s="28"/>
      <c r="D1395" s="26"/>
      <c r="E1395" s="26"/>
      <c r="F1395" s="26"/>
      <c r="G1395" s="26"/>
      <c r="H1395" s="28"/>
      <c r="I1395" s="28"/>
      <c r="J1395" s="28"/>
      <c r="K1395" s="28"/>
      <c r="L1395" s="26" t="s">
        <v>38</v>
      </c>
      <c r="M1395" s="28">
        <v>26</v>
      </c>
      <c r="N1395" s="28">
        <v>3</v>
      </c>
      <c r="O1395" s="28">
        <v>6</v>
      </c>
      <c r="P1395" s="28">
        <v>0</v>
      </c>
      <c r="Q1395" s="28">
        <v>0</v>
      </c>
      <c r="R1395" s="28">
        <v>0</v>
      </c>
      <c r="S1395" s="28"/>
      <c r="Z1395" s="26"/>
      <c r="AA1395" s="23"/>
      <c r="AB1395" s="3" t="str">
        <f t="shared" si="11"/>
        <v>___</v>
      </c>
      <c r="AC1395" s="3" t="str">
        <f t="shared" si="10"/>
        <v>____</v>
      </c>
    </row>
    <row r="1396" spans="1:30" ht="14">
      <c r="A1396" s="31"/>
      <c r="B1396" s="30"/>
      <c r="C1396" s="31"/>
      <c r="D1396" s="29"/>
      <c r="E1396" s="29"/>
      <c r="F1396" s="29"/>
      <c r="G1396" s="29"/>
      <c r="H1396" s="31"/>
      <c r="I1396" s="31"/>
      <c r="J1396" s="31"/>
      <c r="K1396" s="31"/>
      <c r="L1396" s="29" t="s">
        <v>39</v>
      </c>
      <c r="M1396" s="31">
        <v>19.899999999999999</v>
      </c>
      <c r="N1396" s="31">
        <v>0</v>
      </c>
      <c r="O1396" s="31">
        <v>4</v>
      </c>
      <c r="P1396" s="31">
        <v>0</v>
      </c>
      <c r="Q1396" s="31">
        <v>0</v>
      </c>
      <c r="R1396" s="31">
        <v>0</v>
      </c>
      <c r="S1396" s="28"/>
      <c r="Z1396" s="29"/>
      <c r="AA1396" s="23"/>
      <c r="AB1396" s="3" t="str">
        <f t="shared" si="11"/>
        <v>___</v>
      </c>
      <c r="AC1396" s="3" t="str">
        <f t="shared" si="10"/>
        <v>____</v>
      </c>
    </row>
    <row r="1397" spans="1:30" ht="14">
      <c r="A1397" s="28" t="s">
        <v>183</v>
      </c>
      <c r="B1397" s="5" t="s">
        <v>184</v>
      </c>
      <c r="C1397" s="28">
        <v>55</v>
      </c>
      <c r="D1397" s="26" t="s">
        <v>163</v>
      </c>
      <c r="E1397" s="26" t="s">
        <v>34</v>
      </c>
      <c r="F1397" s="26" t="s">
        <v>146</v>
      </c>
      <c r="G1397" s="26" t="s">
        <v>35</v>
      </c>
      <c r="H1397" s="28">
        <v>1</v>
      </c>
      <c r="I1397" s="28">
        <v>12.5</v>
      </c>
      <c r="J1397" s="28">
        <v>17.5</v>
      </c>
      <c r="K1397" s="28">
        <v>6</v>
      </c>
      <c r="L1397" s="26" t="s">
        <v>36</v>
      </c>
      <c r="M1397" s="28">
        <v>29.2</v>
      </c>
      <c r="N1397" s="28">
        <v>10</v>
      </c>
      <c r="O1397" s="28">
        <v>11</v>
      </c>
      <c r="P1397" s="28">
        <v>0</v>
      </c>
      <c r="Q1397" s="28">
        <v>0</v>
      </c>
      <c r="R1397" s="28">
        <v>0</v>
      </c>
      <c r="S1397" s="28"/>
      <c r="Z1397" s="26"/>
      <c r="AA1397" s="23"/>
      <c r="AB1397" s="3" t="str">
        <f t="shared" si="11"/>
        <v>ANO_016_55_V2-C1_vv</v>
      </c>
      <c r="AC1397" s="3" t="str">
        <f t="shared" si="10"/>
        <v>ANO_016_55_V2-C1_vv_1</v>
      </c>
      <c r="AD1397" s="3" t="s">
        <v>49</v>
      </c>
    </row>
    <row r="1398" spans="1:30" ht="14">
      <c r="A1398" s="28"/>
      <c r="B1398" s="5"/>
      <c r="C1398" s="28"/>
      <c r="D1398" s="26"/>
      <c r="E1398" s="26"/>
      <c r="F1398" s="26"/>
      <c r="G1398" s="26"/>
      <c r="H1398" s="28"/>
      <c r="I1398" s="28"/>
      <c r="J1398" s="28"/>
      <c r="K1398" s="28"/>
      <c r="L1398" s="26" t="s">
        <v>38</v>
      </c>
      <c r="M1398" s="28">
        <v>32.299999999999997</v>
      </c>
      <c r="N1398" s="28">
        <v>7</v>
      </c>
      <c r="O1398" s="28">
        <v>8</v>
      </c>
      <c r="P1398" s="28">
        <v>0</v>
      </c>
      <c r="Q1398" s="28">
        <v>0</v>
      </c>
      <c r="R1398" s="28">
        <v>0</v>
      </c>
      <c r="S1398" s="28"/>
      <c r="Z1398" s="26"/>
      <c r="AA1398" s="23"/>
      <c r="AB1398" s="3" t="str">
        <f t="shared" si="11"/>
        <v>___</v>
      </c>
      <c r="AC1398" s="3" t="str">
        <f t="shared" si="10"/>
        <v>____</v>
      </c>
    </row>
    <row r="1399" spans="1:30" ht="14">
      <c r="A1399" s="31"/>
      <c r="B1399" s="30"/>
      <c r="C1399" s="31"/>
      <c r="D1399" s="29"/>
      <c r="E1399" s="29"/>
      <c r="F1399" s="29"/>
      <c r="G1399" s="29"/>
      <c r="H1399" s="31"/>
      <c r="I1399" s="31"/>
      <c r="J1399" s="31"/>
      <c r="K1399" s="31"/>
      <c r="L1399" s="29" t="s">
        <v>39</v>
      </c>
      <c r="M1399" s="31">
        <v>33.9</v>
      </c>
      <c r="N1399" s="31">
        <v>4</v>
      </c>
      <c r="O1399" s="31">
        <v>6</v>
      </c>
      <c r="P1399" s="31">
        <v>0</v>
      </c>
      <c r="Q1399" s="31">
        <v>0</v>
      </c>
      <c r="R1399" s="31">
        <v>0</v>
      </c>
      <c r="S1399" s="28"/>
      <c r="Z1399" s="29"/>
      <c r="AA1399" s="23"/>
      <c r="AB1399" s="3" t="str">
        <f t="shared" si="11"/>
        <v>___</v>
      </c>
      <c r="AC1399" s="3" t="str">
        <f t="shared" si="10"/>
        <v>____</v>
      </c>
    </row>
    <row r="1400" spans="1:30" ht="14">
      <c r="A1400" s="28" t="s">
        <v>183</v>
      </c>
      <c r="B1400" s="5" t="s">
        <v>184</v>
      </c>
      <c r="C1400" s="28">
        <v>55</v>
      </c>
      <c r="D1400" s="26" t="s">
        <v>163</v>
      </c>
      <c r="E1400" s="26" t="s">
        <v>34</v>
      </c>
      <c r="F1400" s="26" t="s">
        <v>146</v>
      </c>
      <c r="G1400" s="26" t="s">
        <v>35</v>
      </c>
      <c r="H1400" s="28">
        <v>2</v>
      </c>
      <c r="I1400" s="28">
        <v>21</v>
      </c>
      <c r="J1400" s="28">
        <v>21.5</v>
      </c>
      <c r="K1400" s="28">
        <v>5</v>
      </c>
      <c r="L1400" s="26" t="s">
        <v>36</v>
      </c>
      <c r="M1400" s="28">
        <v>41.5</v>
      </c>
      <c r="N1400" s="28">
        <v>13</v>
      </c>
      <c r="O1400" s="28">
        <v>14</v>
      </c>
      <c r="P1400" s="28">
        <v>1</v>
      </c>
      <c r="Q1400" s="28">
        <v>1</v>
      </c>
      <c r="R1400" s="28">
        <v>0</v>
      </c>
      <c r="S1400" s="28"/>
      <c r="Z1400" s="32" t="s">
        <v>189</v>
      </c>
      <c r="AB1400" s="3" t="str">
        <f t="shared" si="11"/>
        <v>ANO_016_55_V2-C1_vv</v>
      </c>
      <c r="AC1400" s="3" t="str">
        <f t="shared" si="10"/>
        <v>ANO_016_55_V2-C1_vv_2</v>
      </c>
      <c r="AD1400" s="3" t="s">
        <v>49</v>
      </c>
    </row>
    <row r="1401" spans="1:30" ht="14">
      <c r="A1401" s="28"/>
      <c r="B1401" s="5"/>
      <c r="C1401" s="28"/>
      <c r="D1401" s="26"/>
      <c r="E1401" s="26"/>
      <c r="F1401" s="26"/>
      <c r="G1401" s="26"/>
      <c r="H1401" s="28"/>
      <c r="I1401" s="28"/>
      <c r="J1401" s="28"/>
      <c r="K1401" s="28"/>
      <c r="L1401" s="26" t="s">
        <v>38</v>
      </c>
      <c r="M1401" s="28">
        <v>40.9</v>
      </c>
      <c r="N1401" s="28">
        <v>4</v>
      </c>
      <c r="O1401" s="28">
        <v>5</v>
      </c>
      <c r="P1401" s="28">
        <v>0</v>
      </c>
      <c r="Q1401" s="28">
        <v>0</v>
      </c>
      <c r="R1401" s="28">
        <v>0</v>
      </c>
      <c r="S1401" s="28"/>
      <c r="Z1401" s="23"/>
      <c r="AB1401" s="3" t="str">
        <f t="shared" si="11"/>
        <v>___</v>
      </c>
      <c r="AC1401" s="3" t="str">
        <f t="shared" si="10"/>
        <v>____</v>
      </c>
    </row>
    <row r="1402" spans="1:30" ht="14">
      <c r="A1402" s="31"/>
      <c r="B1402" s="30"/>
      <c r="C1402" s="31"/>
      <c r="D1402" s="29"/>
      <c r="E1402" s="29"/>
      <c r="F1402" s="29"/>
      <c r="G1402" s="29"/>
      <c r="H1402" s="31"/>
      <c r="I1402" s="31"/>
      <c r="J1402" s="31"/>
      <c r="K1402" s="31"/>
      <c r="L1402" s="29" t="s">
        <v>39</v>
      </c>
      <c r="M1402" s="31">
        <v>25</v>
      </c>
      <c r="N1402" s="31">
        <v>3</v>
      </c>
      <c r="O1402" s="31">
        <v>4</v>
      </c>
      <c r="P1402" s="31">
        <v>0</v>
      </c>
      <c r="Q1402" s="31">
        <v>0</v>
      </c>
      <c r="R1402" s="31">
        <v>0</v>
      </c>
      <c r="S1402" s="28"/>
      <c r="Z1402" s="23"/>
      <c r="AB1402" s="3" t="str">
        <f t="shared" si="11"/>
        <v>___</v>
      </c>
      <c r="AC1402" s="3" t="str">
        <f t="shared" si="10"/>
        <v>____</v>
      </c>
    </row>
    <row r="1403" spans="1:30" ht="14">
      <c r="A1403" s="28" t="s">
        <v>183</v>
      </c>
      <c r="B1403" s="5" t="s">
        <v>184</v>
      </c>
      <c r="C1403" s="28">
        <v>55</v>
      </c>
      <c r="D1403" s="26" t="s">
        <v>163</v>
      </c>
      <c r="E1403" s="26" t="s">
        <v>34</v>
      </c>
      <c r="F1403" s="26" t="s">
        <v>146</v>
      </c>
      <c r="G1403" s="26" t="s">
        <v>35</v>
      </c>
      <c r="H1403" s="28">
        <v>3</v>
      </c>
      <c r="I1403" s="28">
        <v>15.1</v>
      </c>
      <c r="J1403" s="28">
        <v>16.3</v>
      </c>
      <c r="K1403" s="28">
        <v>4</v>
      </c>
      <c r="L1403" s="26" t="s">
        <v>36</v>
      </c>
      <c r="M1403" s="28">
        <v>45.1</v>
      </c>
      <c r="N1403" s="28">
        <v>11</v>
      </c>
      <c r="O1403" s="28">
        <v>12</v>
      </c>
      <c r="P1403" s="28">
        <v>1</v>
      </c>
      <c r="Q1403" s="28">
        <v>1</v>
      </c>
      <c r="R1403" s="28">
        <v>0</v>
      </c>
      <c r="S1403" s="28"/>
      <c r="Z1403" s="32" t="s">
        <v>166</v>
      </c>
      <c r="AB1403" s="3" t="str">
        <f t="shared" si="11"/>
        <v>ANO_016_55_V2-C1_vv</v>
      </c>
      <c r="AC1403" s="3" t="str">
        <f t="shared" si="10"/>
        <v>ANO_016_55_V2-C1_vv_3</v>
      </c>
      <c r="AD1403" s="3" t="s">
        <v>49</v>
      </c>
    </row>
    <row r="1404" spans="1:30" ht="14">
      <c r="A1404" s="28"/>
      <c r="B1404" s="5"/>
      <c r="C1404" s="28"/>
      <c r="D1404" s="26"/>
      <c r="E1404" s="26"/>
      <c r="F1404" s="26"/>
      <c r="G1404" s="26"/>
      <c r="H1404" s="28"/>
      <c r="I1404" s="28"/>
      <c r="J1404" s="28"/>
      <c r="K1404" s="28"/>
      <c r="L1404" s="26" t="s">
        <v>38</v>
      </c>
      <c r="M1404" s="28">
        <v>44.2</v>
      </c>
      <c r="N1404" s="28">
        <v>2</v>
      </c>
      <c r="O1404" s="28">
        <v>4</v>
      </c>
      <c r="P1404" s="28">
        <v>0</v>
      </c>
      <c r="Q1404" s="28">
        <v>0</v>
      </c>
      <c r="R1404" s="28">
        <v>0</v>
      </c>
      <c r="S1404" s="28"/>
      <c r="Z1404" s="23"/>
      <c r="AB1404" s="3" t="str">
        <f t="shared" si="11"/>
        <v>___</v>
      </c>
      <c r="AC1404" s="3" t="str">
        <f t="shared" si="10"/>
        <v>____</v>
      </c>
    </row>
    <row r="1405" spans="1:30" ht="14">
      <c r="A1405" s="31"/>
      <c r="B1405" s="30"/>
      <c r="C1405" s="31"/>
      <c r="D1405" s="29"/>
      <c r="E1405" s="29"/>
      <c r="F1405" s="29"/>
      <c r="G1405" s="29"/>
      <c r="H1405" s="31"/>
      <c r="I1405" s="31"/>
      <c r="J1405" s="31"/>
      <c r="K1405" s="31"/>
      <c r="L1405" s="29" t="s">
        <v>39</v>
      </c>
      <c r="M1405" s="31">
        <v>35</v>
      </c>
      <c r="N1405" s="31">
        <v>0</v>
      </c>
      <c r="O1405" s="31">
        <v>5</v>
      </c>
      <c r="P1405" s="31">
        <v>0</v>
      </c>
      <c r="Q1405" s="31">
        <v>0</v>
      </c>
      <c r="R1405" s="31">
        <v>0</v>
      </c>
      <c r="S1405" s="28"/>
      <c r="Z1405" s="23"/>
      <c r="AB1405" s="3" t="str">
        <f t="shared" si="11"/>
        <v>___</v>
      </c>
      <c r="AC1405" s="3" t="str">
        <f t="shared" si="10"/>
        <v>____</v>
      </c>
    </row>
    <row r="1406" spans="1:30" ht="14">
      <c r="A1406" s="28" t="s">
        <v>183</v>
      </c>
      <c r="B1406" s="5" t="s">
        <v>184</v>
      </c>
      <c r="C1406" s="28">
        <v>53</v>
      </c>
      <c r="D1406" s="26" t="s">
        <v>163</v>
      </c>
      <c r="E1406" s="26" t="s">
        <v>34</v>
      </c>
      <c r="F1406" s="26" t="s">
        <v>144</v>
      </c>
      <c r="G1406" s="26" t="s">
        <v>35</v>
      </c>
      <c r="H1406" s="28">
        <v>1</v>
      </c>
      <c r="I1406" s="28">
        <v>14</v>
      </c>
      <c r="J1406" s="28">
        <v>15.1</v>
      </c>
      <c r="K1406" s="28">
        <v>4</v>
      </c>
      <c r="L1406" s="26" t="s">
        <v>36</v>
      </c>
      <c r="M1406" s="28">
        <v>69</v>
      </c>
      <c r="N1406" s="28">
        <v>14</v>
      </c>
      <c r="O1406" s="28">
        <v>16</v>
      </c>
      <c r="P1406" s="28">
        <v>0</v>
      </c>
      <c r="Q1406" s="28">
        <v>0</v>
      </c>
      <c r="R1406" s="28">
        <v>0</v>
      </c>
      <c r="S1406" s="28"/>
      <c r="Z1406" s="32"/>
      <c r="AB1406" s="3" t="str">
        <f t="shared" si="11"/>
        <v>ANO_016_53_V1-C5_vv</v>
      </c>
      <c r="AC1406" s="3" t="str">
        <f t="shared" si="10"/>
        <v>ANO_016_53_V1-C5_vv_1</v>
      </c>
    </row>
    <row r="1407" spans="1:30" ht="14">
      <c r="A1407" s="28"/>
      <c r="B1407" s="5"/>
      <c r="C1407" s="28"/>
      <c r="D1407" s="26"/>
      <c r="E1407" s="26"/>
      <c r="F1407" s="26"/>
      <c r="G1407" s="26"/>
      <c r="H1407" s="28"/>
      <c r="I1407" s="28"/>
      <c r="J1407" s="28"/>
      <c r="K1407" s="28"/>
      <c r="L1407" s="26" t="s">
        <v>38</v>
      </c>
      <c r="M1407" s="28">
        <v>31.3</v>
      </c>
      <c r="N1407" s="28">
        <v>2</v>
      </c>
      <c r="O1407" s="28">
        <v>6</v>
      </c>
      <c r="P1407" s="28">
        <v>0</v>
      </c>
      <c r="Q1407" s="28">
        <v>0</v>
      </c>
      <c r="R1407" s="28">
        <v>0</v>
      </c>
      <c r="S1407" s="28"/>
      <c r="Z1407" s="26"/>
      <c r="AA1407" s="23"/>
      <c r="AB1407" s="3" t="str">
        <f t="shared" si="11"/>
        <v>___</v>
      </c>
      <c r="AC1407" s="3" t="str">
        <f t="shared" si="10"/>
        <v>____</v>
      </c>
    </row>
    <row r="1408" spans="1:30" ht="14">
      <c r="A1408" s="31"/>
      <c r="B1408" s="30"/>
      <c r="C1408" s="31"/>
      <c r="D1408" s="29"/>
      <c r="E1408" s="29"/>
      <c r="F1408" s="29"/>
      <c r="G1408" s="29"/>
      <c r="H1408" s="31"/>
      <c r="I1408" s="31"/>
      <c r="J1408" s="31"/>
      <c r="K1408" s="31"/>
      <c r="L1408" s="29" t="s">
        <v>39</v>
      </c>
      <c r="M1408" s="31">
        <v>29.4</v>
      </c>
      <c r="N1408" s="31">
        <v>0</v>
      </c>
      <c r="O1408" s="31">
        <v>4</v>
      </c>
      <c r="P1408" s="31">
        <v>0</v>
      </c>
      <c r="Q1408" s="31">
        <v>0</v>
      </c>
      <c r="R1408" s="31">
        <v>0</v>
      </c>
      <c r="S1408" s="28"/>
      <c r="Z1408" s="29"/>
      <c r="AA1408" s="23"/>
      <c r="AB1408" s="3" t="str">
        <f t="shared" si="11"/>
        <v>___</v>
      </c>
      <c r="AC1408" s="3" t="str">
        <f t="shared" si="10"/>
        <v>____</v>
      </c>
    </row>
    <row r="1409" spans="1:30" ht="14">
      <c r="A1409" s="28" t="s">
        <v>183</v>
      </c>
      <c r="B1409" s="5" t="s">
        <v>184</v>
      </c>
      <c r="C1409" s="28">
        <v>53</v>
      </c>
      <c r="D1409" s="26" t="s">
        <v>163</v>
      </c>
      <c r="E1409" s="26" t="s">
        <v>34</v>
      </c>
      <c r="F1409" s="26" t="s">
        <v>144</v>
      </c>
      <c r="G1409" s="26" t="s">
        <v>35</v>
      </c>
      <c r="H1409" s="28">
        <v>2</v>
      </c>
      <c r="I1409" s="28">
        <v>7</v>
      </c>
      <c r="J1409" s="28">
        <v>16.7</v>
      </c>
      <c r="K1409" s="28">
        <v>5</v>
      </c>
      <c r="L1409" s="26" t="s">
        <v>36</v>
      </c>
      <c r="M1409" s="28">
        <v>45.3</v>
      </c>
      <c r="N1409" s="28">
        <v>15</v>
      </c>
      <c r="O1409" s="28">
        <v>16</v>
      </c>
      <c r="P1409" s="28">
        <v>0</v>
      </c>
      <c r="Q1409" s="28">
        <v>0</v>
      </c>
      <c r="R1409" s="28">
        <v>1</v>
      </c>
      <c r="S1409" s="28"/>
      <c r="Z1409" s="26"/>
      <c r="AA1409" s="23"/>
      <c r="AB1409" s="3" t="str">
        <f t="shared" si="11"/>
        <v>ANO_016_53_V1-C5_vv</v>
      </c>
      <c r="AC1409" s="3" t="str">
        <f t="shared" si="10"/>
        <v>ANO_016_53_V1-C5_vv_2</v>
      </c>
    </row>
    <row r="1410" spans="1:30" ht="14">
      <c r="A1410" s="28"/>
      <c r="B1410" s="5"/>
      <c r="C1410" s="28"/>
      <c r="D1410" s="26"/>
      <c r="E1410" s="26"/>
      <c r="F1410" s="26"/>
      <c r="G1410" s="26"/>
      <c r="H1410" s="28"/>
      <c r="I1410" s="28"/>
      <c r="J1410" s="28"/>
      <c r="K1410" s="28"/>
      <c r="L1410" s="26" t="s">
        <v>38</v>
      </c>
      <c r="M1410" s="28">
        <v>29.8</v>
      </c>
      <c r="N1410" s="28">
        <v>0</v>
      </c>
      <c r="O1410" s="28">
        <v>6</v>
      </c>
      <c r="P1410" s="28">
        <v>0</v>
      </c>
      <c r="Q1410" s="28">
        <v>0</v>
      </c>
      <c r="R1410" s="28">
        <v>0</v>
      </c>
      <c r="S1410" s="28"/>
      <c r="Z1410" s="26"/>
      <c r="AA1410" s="23"/>
      <c r="AB1410" s="3" t="str">
        <f t="shared" si="11"/>
        <v>___</v>
      </c>
      <c r="AC1410" s="3" t="str">
        <f t="shared" si="10"/>
        <v>____</v>
      </c>
    </row>
    <row r="1411" spans="1:30" ht="14">
      <c r="A1411" s="31"/>
      <c r="B1411" s="30"/>
      <c r="C1411" s="31"/>
      <c r="D1411" s="29"/>
      <c r="E1411" s="29"/>
      <c r="F1411" s="29"/>
      <c r="G1411" s="29"/>
      <c r="H1411" s="31"/>
      <c r="I1411" s="31"/>
      <c r="J1411" s="31"/>
      <c r="K1411" s="31"/>
      <c r="L1411" s="29" t="s">
        <v>39</v>
      </c>
      <c r="M1411" s="31">
        <v>36.1</v>
      </c>
      <c r="N1411" s="31">
        <v>0</v>
      </c>
      <c r="O1411" s="31">
        <v>6</v>
      </c>
      <c r="P1411" s="31">
        <v>0</v>
      </c>
      <c r="Q1411" s="31">
        <v>0</v>
      </c>
      <c r="R1411" s="31">
        <v>0</v>
      </c>
      <c r="S1411" s="28"/>
      <c r="Z1411" s="29"/>
      <c r="AA1411" s="23"/>
      <c r="AB1411" s="3" t="str">
        <f t="shared" si="11"/>
        <v>___</v>
      </c>
      <c r="AC1411" s="3" t="str">
        <f t="shared" si="10"/>
        <v>____</v>
      </c>
    </row>
    <row r="1412" spans="1:30" ht="14">
      <c r="A1412" s="28" t="s">
        <v>183</v>
      </c>
      <c r="B1412" s="5" t="s">
        <v>184</v>
      </c>
      <c r="C1412" s="28">
        <v>53</v>
      </c>
      <c r="D1412" s="26" t="s">
        <v>163</v>
      </c>
      <c r="E1412" s="26" t="s">
        <v>34</v>
      </c>
      <c r="F1412" s="26" t="s">
        <v>144</v>
      </c>
      <c r="G1412" s="26" t="s">
        <v>35</v>
      </c>
      <c r="H1412" s="28">
        <v>3</v>
      </c>
      <c r="I1412" s="28">
        <v>8</v>
      </c>
      <c r="J1412" s="28">
        <v>14.8</v>
      </c>
      <c r="K1412" s="28">
        <v>4</v>
      </c>
      <c r="L1412" s="26" t="s">
        <v>36</v>
      </c>
      <c r="M1412" s="28">
        <v>36.1</v>
      </c>
      <c r="N1412" s="28">
        <v>7</v>
      </c>
      <c r="O1412" s="28">
        <v>8</v>
      </c>
      <c r="P1412" s="28">
        <v>0</v>
      </c>
      <c r="Q1412" s="28">
        <v>0</v>
      </c>
      <c r="R1412" s="28">
        <v>0</v>
      </c>
      <c r="S1412" s="28"/>
      <c r="Z1412" s="26"/>
      <c r="AA1412" s="23"/>
      <c r="AB1412" s="3" t="str">
        <f t="shared" si="11"/>
        <v>ANO_016_53_V1-C5_vv</v>
      </c>
      <c r="AC1412" s="3" t="str">
        <f t="shared" si="10"/>
        <v>ANO_016_53_V1-C5_vv_3</v>
      </c>
    </row>
    <row r="1413" spans="1:30" ht="14">
      <c r="A1413" s="28"/>
      <c r="B1413" s="5"/>
      <c r="C1413" s="28"/>
      <c r="D1413" s="26"/>
      <c r="E1413" s="26"/>
      <c r="F1413" s="26"/>
      <c r="G1413" s="26"/>
      <c r="H1413" s="28"/>
      <c r="I1413" s="28"/>
      <c r="J1413" s="28"/>
      <c r="K1413" s="28"/>
      <c r="L1413" s="26" t="s">
        <v>38</v>
      </c>
      <c r="M1413" s="28">
        <v>43.2</v>
      </c>
      <c r="N1413" s="28">
        <v>4</v>
      </c>
      <c r="O1413" s="28">
        <v>6</v>
      </c>
      <c r="P1413" s="28">
        <v>0</v>
      </c>
      <c r="Q1413" s="28">
        <v>0</v>
      </c>
      <c r="R1413" s="28">
        <v>0</v>
      </c>
      <c r="S1413" s="28"/>
      <c r="Z1413" s="26"/>
      <c r="AA1413" s="23"/>
      <c r="AB1413" s="3" t="str">
        <f t="shared" si="11"/>
        <v>___</v>
      </c>
      <c r="AC1413" s="3" t="str">
        <f t="shared" si="10"/>
        <v>____</v>
      </c>
    </row>
    <row r="1414" spans="1:30" ht="14">
      <c r="A1414" s="31"/>
      <c r="B1414" s="30"/>
      <c r="C1414" s="31"/>
      <c r="D1414" s="29"/>
      <c r="E1414" s="29"/>
      <c r="F1414" s="29"/>
      <c r="G1414" s="29"/>
      <c r="H1414" s="31"/>
      <c r="I1414" s="31"/>
      <c r="J1414" s="31"/>
      <c r="K1414" s="31"/>
      <c r="L1414" s="29" t="s">
        <v>39</v>
      </c>
      <c r="M1414" s="31">
        <v>32.200000000000003</v>
      </c>
      <c r="N1414" s="31">
        <v>0</v>
      </c>
      <c r="O1414" s="31">
        <v>0</v>
      </c>
      <c r="P1414" s="31">
        <v>0</v>
      </c>
      <c r="Q1414" s="31">
        <v>0</v>
      </c>
      <c r="R1414" s="31">
        <v>0</v>
      </c>
      <c r="S1414" s="28"/>
      <c r="Z1414" s="29"/>
      <c r="AA1414" s="23"/>
      <c r="AB1414" s="3" t="str">
        <f t="shared" si="11"/>
        <v>___</v>
      </c>
      <c r="AC1414" s="3" t="str">
        <f t="shared" si="10"/>
        <v>____</v>
      </c>
    </row>
    <row r="1415" spans="1:30" ht="14">
      <c r="A1415" s="28" t="s">
        <v>183</v>
      </c>
      <c r="B1415" s="5" t="s">
        <v>184</v>
      </c>
      <c r="C1415" s="28">
        <v>24</v>
      </c>
      <c r="D1415" s="26" t="s">
        <v>163</v>
      </c>
      <c r="E1415" s="26" t="s">
        <v>180</v>
      </c>
      <c r="F1415" s="26" t="s">
        <v>147</v>
      </c>
      <c r="G1415" s="26" t="s">
        <v>35</v>
      </c>
      <c r="H1415" s="28">
        <v>1</v>
      </c>
      <c r="I1415" s="28">
        <v>13</v>
      </c>
      <c r="J1415" s="28">
        <v>14.5</v>
      </c>
      <c r="K1415" s="28">
        <v>5</v>
      </c>
      <c r="L1415" s="26" t="s">
        <v>36</v>
      </c>
      <c r="M1415" s="28">
        <v>40.200000000000003</v>
      </c>
      <c r="N1415" s="28">
        <v>8</v>
      </c>
      <c r="O1415" s="28">
        <v>0</v>
      </c>
      <c r="P1415" s="28">
        <v>0</v>
      </c>
      <c r="Q1415" s="28">
        <v>0</v>
      </c>
      <c r="R1415" s="28">
        <v>0</v>
      </c>
      <c r="S1415" s="28"/>
      <c r="Z1415" s="26"/>
      <c r="AA1415" s="23"/>
      <c r="AB1415" s="3" t="str">
        <f t="shared" si="11"/>
        <v>ANO_016_24_T4-C5_vv</v>
      </c>
      <c r="AC1415" s="3" t="str">
        <f t="shared" si="10"/>
        <v>ANO_016_24_T4-C5_vv_1</v>
      </c>
      <c r="AD1415" s="3" t="s">
        <v>37</v>
      </c>
    </row>
    <row r="1416" spans="1:30" ht="14">
      <c r="A1416" s="28"/>
      <c r="B1416" s="5"/>
      <c r="C1416" s="28"/>
      <c r="D1416" s="26"/>
      <c r="E1416" s="26"/>
      <c r="F1416" s="26"/>
      <c r="G1416" s="26"/>
      <c r="H1416" s="28"/>
      <c r="I1416" s="28"/>
      <c r="J1416" s="28"/>
      <c r="K1416" s="28"/>
      <c r="L1416" s="26" t="s">
        <v>38</v>
      </c>
      <c r="M1416" s="28">
        <v>45.5</v>
      </c>
      <c r="N1416" s="28">
        <v>7</v>
      </c>
      <c r="O1416" s="28">
        <v>9</v>
      </c>
      <c r="P1416" s="28">
        <v>0</v>
      </c>
      <c r="Q1416" s="28">
        <v>0</v>
      </c>
      <c r="R1416" s="28">
        <v>0</v>
      </c>
      <c r="S1416" s="28"/>
      <c r="Z1416" s="26"/>
      <c r="AA1416" s="23"/>
      <c r="AB1416" s="3" t="str">
        <f t="shared" si="11"/>
        <v>___</v>
      </c>
      <c r="AC1416" s="3" t="str">
        <f t="shared" si="10"/>
        <v>____</v>
      </c>
    </row>
    <row r="1417" spans="1:30" ht="14">
      <c r="A1417" s="31"/>
      <c r="B1417" s="30"/>
      <c r="C1417" s="31"/>
      <c r="D1417" s="29"/>
      <c r="E1417" s="29"/>
      <c r="F1417" s="29"/>
      <c r="G1417" s="29"/>
      <c r="H1417" s="31"/>
      <c r="I1417" s="31"/>
      <c r="J1417" s="31"/>
      <c r="K1417" s="31"/>
      <c r="L1417" s="29" t="s">
        <v>39</v>
      </c>
      <c r="M1417" s="31">
        <v>25.7</v>
      </c>
      <c r="N1417" s="31">
        <v>2</v>
      </c>
      <c r="O1417" s="31">
        <v>4</v>
      </c>
      <c r="P1417" s="31">
        <v>0</v>
      </c>
      <c r="Q1417" s="31">
        <v>0</v>
      </c>
      <c r="R1417" s="31">
        <v>0</v>
      </c>
      <c r="S1417" s="28"/>
      <c r="Z1417" s="29"/>
      <c r="AA1417" s="23"/>
      <c r="AB1417" s="3" t="str">
        <f t="shared" si="11"/>
        <v>___</v>
      </c>
      <c r="AC1417" s="3" t="str">
        <f t="shared" si="10"/>
        <v>____</v>
      </c>
    </row>
    <row r="1418" spans="1:30" ht="14">
      <c r="A1418" s="28" t="s">
        <v>183</v>
      </c>
      <c r="B1418" s="5" t="s">
        <v>184</v>
      </c>
      <c r="C1418" s="28">
        <v>24</v>
      </c>
      <c r="D1418" s="26" t="s">
        <v>163</v>
      </c>
      <c r="E1418" s="26" t="s">
        <v>42</v>
      </c>
      <c r="F1418" s="26" t="s">
        <v>147</v>
      </c>
      <c r="G1418" s="26" t="s">
        <v>35</v>
      </c>
      <c r="H1418" s="28">
        <v>2</v>
      </c>
      <c r="I1418" s="28">
        <v>9</v>
      </c>
      <c r="J1418" s="28">
        <v>10.199999999999999</v>
      </c>
      <c r="K1418" s="28">
        <v>4</v>
      </c>
      <c r="L1418" s="26" t="s">
        <v>36</v>
      </c>
      <c r="M1418" s="28">
        <v>24.6</v>
      </c>
      <c r="N1418" s="28">
        <v>8</v>
      </c>
      <c r="O1418" s="28">
        <v>8</v>
      </c>
      <c r="P1418" s="28">
        <v>0</v>
      </c>
      <c r="Q1418" s="28">
        <v>0</v>
      </c>
      <c r="R1418" s="28">
        <v>0</v>
      </c>
      <c r="S1418" s="28"/>
      <c r="Z1418" s="26"/>
      <c r="AA1418" s="23"/>
      <c r="AB1418" s="3" t="str">
        <f t="shared" si="11"/>
        <v>ANO_016_24_T4-C5_vv</v>
      </c>
      <c r="AC1418" s="3" t="str">
        <f t="shared" si="10"/>
        <v>ANO_016_24_T4-C5_vv_2</v>
      </c>
      <c r="AD1418" s="3" t="s">
        <v>37</v>
      </c>
    </row>
    <row r="1419" spans="1:30" ht="14">
      <c r="A1419" s="26"/>
      <c r="B1419" s="5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 t="s">
        <v>38</v>
      </c>
      <c r="M1419" s="28">
        <v>22.2</v>
      </c>
      <c r="N1419" s="28">
        <v>5</v>
      </c>
      <c r="O1419" s="28">
        <v>6</v>
      </c>
      <c r="P1419" s="28">
        <v>0</v>
      </c>
      <c r="Q1419" s="28">
        <v>0</v>
      </c>
      <c r="R1419" s="28">
        <v>0</v>
      </c>
      <c r="S1419" s="28"/>
      <c r="Z1419" s="26"/>
      <c r="AA1419" s="23"/>
      <c r="AB1419" s="3" t="str">
        <f t="shared" si="11"/>
        <v>___</v>
      </c>
      <c r="AC1419" s="3" t="str">
        <f t="shared" si="10"/>
        <v>____</v>
      </c>
    </row>
    <row r="1420" spans="1:30" ht="14">
      <c r="A1420" s="31"/>
      <c r="B1420" s="30"/>
      <c r="C1420" s="31"/>
      <c r="D1420" s="29"/>
      <c r="E1420" s="29"/>
      <c r="F1420" s="29"/>
      <c r="G1420" s="29"/>
      <c r="H1420" s="31"/>
      <c r="I1420" s="31"/>
      <c r="J1420" s="31"/>
      <c r="K1420" s="31"/>
      <c r="L1420" s="29" t="s">
        <v>39</v>
      </c>
      <c r="M1420" s="31">
        <v>23.1</v>
      </c>
      <c r="N1420" s="31">
        <v>0</v>
      </c>
      <c r="O1420" s="31">
        <v>4</v>
      </c>
      <c r="P1420" s="31">
        <v>0</v>
      </c>
      <c r="Q1420" s="31">
        <v>0</v>
      </c>
      <c r="R1420" s="31">
        <v>0</v>
      </c>
      <c r="S1420" s="28"/>
      <c r="Z1420" s="29"/>
      <c r="AA1420" s="23"/>
      <c r="AB1420" s="3" t="str">
        <f t="shared" si="11"/>
        <v>___</v>
      </c>
      <c r="AC1420" s="3" t="str">
        <f t="shared" si="10"/>
        <v>____</v>
      </c>
    </row>
    <row r="1421" spans="1:30" ht="14">
      <c r="A1421" s="28" t="s">
        <v>183</v>
      </c>
      <c r="B1421" s="5" t="s">
        <v>184</v>
      </c>
      <c r="C1421" s="28">
        <v>24</v>
      </c>
      <c r="D1421" s="26" t="s">
        <v>163</v>
      </c>
      <c r="E1421" s="26" t="s">
        <v>180</v>
      </c>
      <c r="F1421" s="26" t="s">
        <v>147</v>
      </c>
      <c r="G1421" s="26" t="s">
        <v>35</v>
      </c>
      <c r="H1421" s="28">
        <v>3</v>
      </c>
      <c r="I1421" s="28">
        <v>10</v>
      </c>
      <c r="J1421" s="28">
        <v>12.5</v>
      </c>
      <c r="K1421" s="28">
        <v>4</v>
      </c>
      <c r="L1421" s="26" t="s">
        <v>36</v>
      </c>
      <c r="M1421" s="28">
        <v>35.4</v>
      </c>
      <c r="N1421" s="28">
        <v>10</v>
      </c>
      <c r="O1421" s="28">
        <v>10</v>
      </c>
      <c r="P1421" s="28">
        <v>0</v>
      </c>
      <c r="Q1421" s="28">
        <v>0</v>
      </c>
      <c r="R1421" s="28">
        <v>0</v>
      </c>
      <c r="S1421" s="28"/>
      <c r="Z1421" s="26"/>
      <c r="AA1421" s="23"/>
      <c r="AB1421" s="3" t="str">
        <f t="shared" si="11"/>
        <v>ANO_016_24_T4-C5_vv</v>
      </c>
      <c r="AC1421" s="3" t="str">
        <f t="shared" si="10"/>
        <v>ANO_016_24_T4-C5_vv_3</v>
      </c>
      <c r="AD1421" s="3" t="s">
        <v>37</v>
      </c>
    </row>
    <row r="1422" spans="1:30" ht="14">
      <c r="A1422" s="26"/>
      <c r="B1422" s="5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 t="s">
        <v>38</v>
      </c>
      <c r="M1422" s="28">
        <v>30</v>
      </c>
      <c r="N1422" s="28">
        <v>5</v>
      </c>
      <c r="O1422" s="28">
        <v>6</v>
      </c>
      <c r="P1422" s="28">
        <v>0</v>
      </c>
      <c r="Q1422" s="28">
        <v>0</v>
      </c>
      <c r="R1422" s="28">
        <v>0</v>
      </c>
      <c r="S1422" s="28"/>
      <c r="Z1422" s="26"/>
      <c r="AA1422" s="23"/>
      <c r="AB1422" s="3" t="str">
        <f t="shared" si="11"/>
        <v>___</v>
      </c>
      <c r="AC1422" s="3" t="str">
        <f t="shared" si="10"/>
        <v>____</v>
      </c>
    </row>
    <row r="1423" spans="1:30" ht="14">
      <c r="A1423" s="26"/>
      <c r="B1423" s="5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 t="s">
        <v>39</v>
      </c>
      <c r="M1423" s="28">
        <v>30.1</v>
      </c>
      <c r="N1423" s="28">
        <v>1</v>
      </c>
      <c r="O1423" s="28">
        <v>4</v>
      </c>
      <c r="P1423" s="28">
        <v>0</v>
      </c>
      <c r="Q1423" s="28">
        <v>0</v>
      </c>
      <c r="R1423" s="28">
        <v>0</v>
      </c>
      <c r="S1423" s="28"/>
      <c r="Z1423" s="26"/>
      <c r="AA1423" s="23"/>
      <c r="AB1423" s="3" t="str">
        <f t="shared" si="11"/>
        <v>___</v>
      </c>
      <c r="AC1423" s="3" t="str">
        <f t="shared" si="10"/>
        <v>____</v>
      </c>
    </row>
    <row r="1424" spans="1:30" ht="14">
      <c r="A1424" s="24" t="s">
        <v>190</v>
      </c>
      <c r="B1424" s="25" t="s">
        <v>191</v>
      </c>
      <c r="C1424" s="24">
        <v>15</v>
      </c>
      <c r="D1424" s="27" t="s">
        <v>163</v>
      </c>
      <c r="E1424" s="27" t="s">
        <v>180</v>
      </c>
      <c r="F1424" s="27" t="s">
        <v>136</v>
      </c>
      <c r="G1424" s="27" t="s">
        <v>40</v>
      </c>
      <c r="H1424" s="24">
        <v>1</v>
      </c>
      <c r="I1424" s="24">
        <v>62</v>
      </c>
      <c r="J1424" s="24">
        <v>64.400000000000006</v>
      </c>
      <c r="K1424" s="24">
        <v>8</v>
      </c>
      <c r="L1424" s="27" t="s">
        <v>36</v>
      </c>
      <c r="M1424" s="24">
        <v>107.4</v>
      </c>
      <c r="N1424" s="24">
        <v>10</v>
      </c>
      <c r="O1424" s="24">
        <v>10</v>
      </c>
      <c r="P1424" s="24">
        <v>0</v>
      </c>
      <c r="Q1424" s="24">
        <v>0</v>
      </c>
      <c r="R1424" s="24">
        <v>0</v>
      </c>
      <c r="S1424" s="28"/>
      <c r="Z1424" s="27"/>
      <c r="AA1424" s="23"/>
      <c r="AB1424" s="3" t="str">
        <f t="shared" si="11"/>
        <v>ANO_1159_15_T4-C1_vm</v>
      </c>
      <c r="AC1424" s="3" t="str">
        <f t="shared" si="10"/>
        <v>ANO_1159_15_T4-C1_vm_1</v>
      </c>
      <c r="AD1424" s="3" t="s">
        <v>37</v>
      </c>
    </row>
    <row r="1425" spans="1:30" ht="14">
      <c r="A1425" s="26"/>
      <c r="B1425" s="5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 t="s">
        <v>38</v>
      </c>
      <c r="M1425" s="28">
        <v>154.80000000000001</v>
      </c>
      <c r="N1425" s="28">
        <v>0</v>
      </c>
      <c r="O1425" s="28">
        <v>7</v>
      </c>
      <c r="P1425" s="28">
        <v>5</v>
      </c>
      <c r="Q1425" s="28">
        <v>5</v>
      </c>
      <c r="R1425" s="28">
        <v>0</v>
      </c>
      <c r="S1425" s="28"/>
      <c r="Z1425" s="26"/>
      <c r="AA1425" s="23"/>
      <c r="AB1425" s="3" t="str">
        <f t="shared" si="11"/>
        <v>___</v>
      </c>
      <c r="AC1425" s="3" t="str">
        <f t="shared" si="10"/>
        <v>____</v>
      </c>
    </row>
    <row r="1426" spans="1:30" ht="14">
      <c r="A1426" s="29"/>
      <c r="B1426" s="30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 t="s">
        <v>39</v>
      </c>
      <c r="M1426" s="31">
        <v>82.7</v>
      </c>
      <c r="N1426" s="31">
        <v>0</v>
      </c>
      <c r="O1426" s="31">
        <v>4</v>
      </c>
      <c r="P1426" s="31">
        <v>2</v>
      </c>
      <c r="Q1426" s="31">
        <v>81</v>
      </c>
      <c r="R1426" s="31">
        <v>0</v>
      </c>
      <c r="S1426" s="28"/>
      <c r="Z1426" s="29" t="s">
        <v>192</v>
      </c>
      <c r="AA1426" s="23"/>
      <c r="AB1426" s="3" t="str">
        <f t="shared" si="11"/>
        <v>___</v>
      </c>
      <c r="AC1426" s="3" t="str">
        <f t="shared" si="10"/>
        <v>____</v>
      </c>
    </row>
    <row r="1427" spans="1:30" ht="14">
      <c r="A1427" s="28" t="s">
        <v>190</v>
      </c>
      <c r="B1427" s="5" t="s">
        <v>191</v>
      </c>
      <c r="C1427" s="28">
        <v>15</v>
      </c>
      <c r="D1427" s="26" t="s">
        <v>163</v>
      </c>
      <c r="E1427" s="26" t="s">
        <v>180</v>
      </c>
      <c r="F1427" s="26" t="s">
        <v>136</v>
      </c>
      <c r="G1427" s="26" t="s">
        <v>40</v>
      </c>
      <c r="H1427" s="28">
        <v>2</v>
      </c>
      <c r="I1427" s="28">
        <v>44.5</v>
      </c>
      <c r="J1427" s="28">
        <v>46.3</v>
      </c>
      <c r="K1427" s="28">
        <v>6</v>
      </c>
      <c r="L1427" s="26" t="s">
        <v>36</v>
      </c>
      <c r="M1427" s="28">
        <v>52.9</v>
      </c>
      <c r="N1427" s="28">
        <v>5</v>
      </c>
      <c r="O1427" s="28">
        <v>6</v>
      </c>
      <c r="P1427" s="28">
        <v>0</v>
      </c>
      <c r="Q1427" s="28">
        <v>0</v>
      </c>
      <c r="R1427" s="28">
        <v>0</v>
      </c>
      <c r="S1427" s="28"/>
      <c r="Z1427" s="26" t="s">
        <v>166</v>
      </c>
      <c r="AA1427" s="23"/>
      <c r="AB1427" s="3" t="str">
        <f t="shared" si="11"/>
        <v>ANO_1159_15_T4-C1_vm</v>
      </c>
      <c r="AC1427" s="3" t="str">
        <f t="shared" si="10"/>
        <v>ANO_1159_15_T4-C1_vm_2</v>
      </c>
      <c r="AD1427" s="3" t="s">
        <v>37</v>
      </c>
    </row>
    <row r="1428" spans="1:30" ht="14">
      <c r="A1428" s="26"/>
      <c r="B1428" s="5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 t="s">
        <v>38</v>
      </c>
      <c r="M1428" s="28">
        <v>80</v>
      </c>
      <c r="N1428" s="28">
        <v>0</v>
      </c>
      <c r="O1428" s="28">
        <v>3</v>
      </c>
      <c r="P1428" s="28">
        <v>3</v>
      </c>
      <c r="Q1428" s="28">
        <v>3</v>
      </c>
      <c r="R1428" s="28">
        <v>0</v>
      </c>
      <c r="S1428" s="28"/>
      <c r="Z1428" s="26"/>
      <c r="AA1428" s="23"/>
      <c r="AB1428" s="3" t="str">
        <f t="shared" si="11"/>
        <v>___</v>
      </c>
      <c r="AC1428" s="3" t="str">
        <f t="shared" si="10"/>
        <v>____</v>
      </c>
    </row>
    <row r="1429" spans="1:30" ht="14">
      <c r="A1429" s="26"/>
      <c r="B1429" s="5"/>
      <c r="C1429" s="26"/>
      <c r="D1429" s="26"/>
      <c r="E1429" s="26"/>
      <c r="F1429" s="26"/>
      <c r="G1429" s="26"/>
      <c r="H1429" s="26"/>
      <c r="I1429" s="26"/>
      <c r="J1429" s="26"/>
      <c r="K1429" s="26"/>
      <c r="L1429" s="29" t="s">
        <v>39</v>
      </c>
      <c r="M1429" s="28">
        <v>68.5</v>
      </c>
      <c r="N1429" s="28">
        <v>0</v>
      </c>
      <c r="O1429" s="28">
        <v>4</v>
      </c>
      <c r="P1429" s="28">
        <v>3</v>
      </c>
      <c r="Q1429" s="28">
        <v>57</v>
      </c>
      <c r="R1429" s="28">
        <v>0</v>
      </c>
      <c r="S1429" s="28"/>
      <c r="Z1429" s="26"/>
      <c r="AA1429" s="23"/>
      <c r="AB1429" s="3" t="str">
        <f t="shared" si="11"/>
        <v>___</v>
      </c>
      <c r="AC1429" s="3" t="str">
        <f t="shared" si="10"/>
        <v>____</v>
      </c>
    </row>
    <row r="1430" spans="1:30" ht="14">
      <c r="A1430" s="24" t="s">
        <v>190</v>
      </c>
      <c r="B1430" s="25" t="s">
        <v>191</v>
      </c>
      <c r="C1430" s="24">
        <v>15</v>
      </c>
      <c r="D1430" s="27" t="s">
        <v>163</v>
      </c>
      <c r="E1430" s="27" t="s">
        <v>180</v>
      </c>
      <c r="F1430" s="27" t="s">
        <v>136</v>
      </c>
      <c r="G1430" s="27" t="s">
        <v>40</v>
      </c>
      <c r="H1430" s="24">
        <v>3</v>
      </c>
      <c r="I1430" s="24">
        <v>56.6</v>
      </c>
      <c r="J1430" s="24">
        <v>58.8</v>
      </c>
      <c r="K1430" s="24">
        <v>6</v>
      </c>
      <c r="L1430" s="26" t="s">
        <v>36</v>
      </c>
      <c r="M1430" s="24">
        <v>95.3</v>
      </c>
      <c r="N1430" s="24">
        <v>4</v>
      </c>
      <c r="O1430" s="24">
        <v>6</v>
      </c>
      <c r="P1430" s="24">
        <v>3</v>
      </c>
      <c r="Q1430" s="24">
        <v>3</v>
      </c>
      <c r="R1430" s="24">
        <v>1</v>
      </c>
      <c r="S1430" s="28"/>
      <c r="Z1430" s="27" t="s">
        <v>166</v>
      </c>
      <c r="AA1430" s="23"/>
      <c r="AB1430" s="3" t="str">
        <f t="shared" si="11"/>
        <v>ANO_1159_15_T4-C1_vm</v>
      </c>
      <c r="AC1430" s="3" t="str">
        <f t="shared" si="10"/>
        <v>ANO_1159_15_T4-C1_vm_3</v>
      </c>
      <c r="AD1430" s="3" t="s">
        <v>37</v>
      </c>
    </row>
    <row r="1431" spans="1:30" ht="14">
      <c r="A1431" s="26"/>
      <c r="B1431" s="5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 t="s">
        <v>38</v>
      </c>
      <c r="M1431" s="28">
        <v>71.2</v>
      </c>
      <c r="N1431" s="28">
        <v>0</v>
      </c>
      <c r="O1431" s="28">
        <v>3</v>
      </c>
      <c r="P1431" s="28">
        <v>3</v>
      </c>
      <c r="Q1431" s="28">
        <v>12</v>
      </c>
      <c r="R1431" s="28">
        <v>0</v>
      </c>
      <c r="S1431" s="28"/>
      <c r="Z1431" s="26"/>
      <c r="AA1431" s="23"/>
      <c r="AB1431" s="3" t="str">
        <f t="shared" si="11"/>
        <v>___</v>
      </c>
      <c r="AC1431" s="3" t="str">
        <f t="shared" si="10"/>
        <v>____</v>
      </c>
    </row>
    <row r="1432" spans="1:30" ht="14">
      <c r="A1432" s="29"/>
      <c r="B1432" s="30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 t="s">
        <v>39</v>
      </c>
      <c r="M1432" s="31">
        <v>56.3</v>
      </c>
      <c r="N1432" s="31">
        <v>0</v>
      </c>
      <c r="O1432" s="31">
        <v>4</v>
      </c>
      <c r="P1432" s="31">
        <v>0</v>
      </c>
      <c r="Q1432" s="31">
        <v>0</v>
      </c>
      <c r="R1432" s="31">
        <v>0</v>
      </c>
      <c r="S1432" s="28"/>
      <c r="Z1432" s="29"/>
      <c r="AA1432" s="23"/>
      <c r="AB1432" s="3" t="str">
        <f t="shared" si="11"/>
        <v>___</v>
      </c>
      <c r="AC1432" s="3" t="str">
        <f t="shared" si="10"/>
        <v>____</v>
      </c>
    </row>
    <row r="1433" spans="1:30" ht="14">
      <c r="A1433" s="28" t="s">
        <v>190</v>
      </c>
      <c r="B1433" s="5" t="s">
        <v>191</v>
      </c>
      <c r="C1433" s="28">
        <v>15</v>
      </c>
      <c r="D1433" s="26" t="s">
        <v>163</v>
      </c>
      <c r="E1433" s="26" t="s">
        <v>180</v>
      </c>
      <c r="F1433" s="26" t="s">
        <v>136</v>
      </c>
      <c r="G1433" s="26" t="s">
        <v>35</v>
      </c>
      <c r="H1433" s="28">
        <v>1</v>
      </c>
      <c r="I1433" s="28">
        <v>11</v>
      </c>
      <c r="J1433" s="28">
        <v>12.8</v>
      </c>
      <c r="K1433" s="28">
        <v>3</v>
      </c>
      <c r="L1433" s="26" t="s">
        <v>36</v>
      </c>
      <c r="M1433" s="28">
        <v>54.6</v>
      </c>
      <c r="N1433" s="28">
        <v>18</v>
      </c>
      <c r="O1433" s="28">
        <v>19</v>
      </c>
      <c r="P1433" s="28">
        <v>0</v>
      </c>
      <c r="Q1433" s="28">
        <v>0</v>
      </c>
      <c r="R1433" s="28">
        <v>0</v>
      </c>
      <c r="S1433" s="28"/>
      <c r="Z1433" s="26"/>
      <c r="AA1433" s="23"/>
      <c r="AB1433" s="3" t="str">
        <f t="shared" si="11"/>
        <v>ANO_1159_15_T4-C1_vv</v>
      </c>
      <c r="AC1433" s="3" t="str">
        <f t="shared" si="10"/>
        <v>ANO_1159_15_T4-C1_vv_1</v>
      </c>
      <c r="AD1433" s="3" t="s">
        <v>49</v>
      </c>
    </row>
    <row r="1434" spans="1:30" ht="14">
      <c r="A1434" s="26"/>
      <c r="B1434" s="5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 t="s">
        <v>38</v>
      </c>
      <c r="M1434" s="28">
        <v>42.2</v>
      </c>
      <c r="N1434" s="28">
        <v>8</v>
      </c>
      <c r="O1434" s="28">
        <v>8</v>
      </c>
      <c r="P1434" s="28">
        <v>1</v>
      </c>
      <c r="Q1434" s="28">
        <v>1</v>
      </c>
      <c r="R1434" s="28">
        <v>0</v>
      </c>
      <c r="S1434" s="28"/>
      <c r="Z1434" s="26"/>
      <c r="AA1434" s="23"/>
      <c r="AB1434" s="3" t="str">
        <f t="shared" si="11"/>
        <v>___</v>
      </c>
      <c r="AC1434" s="3" t="str">
        <f t="shared" si="10"/>
        <v>____</v>
      </c>
    </row>
    <row r="1435" spans="1:30" ht="14">
      <c r="A1435" s="26"/>
      <c r="B1435" s="5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 t="s">
        <v>39</v>
      </c>
      <c r="M1435" s="28">
        <v>28.2</v>
      </c>
      <c r="N1435" s="28">
        <v>0</v>
      </c>
      <c r="O1435" s="28">
        <v>4</v>
      </c>
      <c r="P1435" s="28">
        <v>0</v>
      </c>
      <c r="Q1435" s="28">
        <v>0</v>
      </c>
      <c r="R1435" s="28">
        <v>0</v>
      </c>
      <c r="S1435" s="28"/>
      <c r="Z1435" s="26"/>
      <c r="AA1435" s="23"/>
      <c r="AB1435" s="3" t="str">
        <f t="shared" si="11"/>
        <v>___</v>
      </c>
      <c r="AC1435" s="3" t="str">
        <f t="shared" si="10"/>
        <v>____</v>
      </c>
    </row>
    <row r="1436" spans="1:30" ht="14">
      <c r="A1436" s="24" t="s">
        <v>190</v>
      </c>
      <c r="B1436" s="25" t="s">
        <v>191</v>
      </c>
      <c r="C1436" s="24">
        <v>15</v>
      </c>
      <c r="D1436" s="27" t="s">
        <v>163</v>
      </c>
      <c r="E1436" s="27" t="s">
        <v>180</v>
      </c>
      <c r="F1436" s="27" t="s">
        <v>136</v>
      </c>
      <c r="G1436" s="27" t="s">
        <v>35</v>
      </c>
      <c r="H1436" s="24">
        <v>2</v>
      </c>
      <c r="I1436" s="24">
        <v>13</v>
      </c>
      <c r="J1436" s="24">
        <v>13.5</v>
      </c>
      <c r="K1436" s="24">
        <v>7</v>
      </c>
      <c r="L1436" s="27" t="s">
        <v>36</v>
      </c>
      <c r="M1436" s="24">
        <v>33</v>
      </c>
      <c r="N1436" s="24">
        <v>12</v>
      </c>
      <c r="O1436" s="24">
        <v>12</v>
      </c>
      <c r="P1436" s="24">
        <v>0</v>
      </c>
      <c r="Q1436" s="24">
        <v>0</v>
      </c>
      <c r="R1436" s="24">
        <v>0</v>
      </c>
      <c r="S1436" s="28"/>
      <c r="Z1436" s="27"/>
      <c r="AA1436" s="23"/>
      <c r="AB1436" s="3" t="str">
        <f t="shared" si="11"/>
        <v>ANO_1159_15_T4-C1_vv</v>
      </c>
      <c r="AC1436" s="3" t="str">
        <f t="shared" si="10"/>
        <v>ANO_1159_15_T4-C1_vv_2</v>
      </c>
      <c r="AD1436" s="3" t="s">
        <v>37</v>
      </c>
    </row>
    <row r="1437" spans="1:30" ht="14">
      <c r="A1437" s="26"/>
      <c r="B1437" s="5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 t="s">
        <v>38</v>
      </c>
      <c r="M1437" s="28">
        <v>34.9</v>
      </c>
      <c r="N1437" s="28">
        <v>10</v>
      </c>
      <c r="O1437" s="28">
        <v>10</v>
      </c>
      <c r="P1437" s="28">
        <v>0</v>
      </c>
      <c r="Q1437" s="28">
        <v>0</v>
      </c>
      <c r="R1437" s="28">
        <v>0</v>
      </c>
      <c r="S1437" s="28"/>
      <c r="Z1437" s="26"/>
      <c r="AA1437" s="23"/>
      <c r="AB1437" s="3" t="str">
        <f t="shared" si="11"/>
        <v>___</v>
      </c>
      <c r="AC1437" s="3" t="str">
        <f t="shared" si="10"/>
        <v>____</v>
      </c>
    </row>
    <row r="1438" spans="1:30" ht="14">
      <c r="A1438" s="29"/>
      <c r="B1438" s="30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 t="s">
        <v>39</v>
      </c>
      <c r="M1438" s="31">
        <v>25.2</v>
      </c>
      <c r="N1438" s="31">
        <v>1</v>
      </c>
      <c r="O1438" s="31">
        <v>4</v>
      </c>
      <c r="P1438" s="31">
        <v>0</v>
      </c>
      <c r="Q1438" s="31">
        <v>0</v>
      </c>
      <c r="R1438" s="31">
        <v>0</v>
      </c>
      <c r="S1438" s="28"/>
      <c r="Z1438" s="29"/>
      <c r="AA1438" s="23"/>
      <c r="AB1438" s="3" t="str">
        <f t="shared" si="11"/>
        <v>___</v>
      </c>
      <c r="AC1438" s="3" t="str">
        <f t="shared" si="10"/>
        <v>____</v>
      </c>
    </row>
    <row r="1439" spans="1:30" ht="14">
      <c r="A1439" s="28" t="s">
        <v>190</v>
      </c>
      <c r="B1439" s="5" t="s">
        <v>191</v>
      </c>
      <c r="C1439" s="28">
        <v>15</v>
      </c>
      <c r="D1439" s="26" t="s">
        <v>163</v>
      </c>
      <c r="E1439" s="26" t="s">
        <v>180</v>
      </c>
      <c r="F1439" s="26" t="s">
        <v>136</v>
      </c>
      <c r="G1439" s="26" t="s">
        <v>35</v>
      </c>
      <c r="H1439" s="28">
        <v>3</v>
      </c>
      <c r="I1439" s="28">
        <v>13</v>
      </c>
      <c r="J1439" s="28">
        <v>13.9</v>
      </c>
      <c r="K1439" s="26"/>
      <c r="L1439" s="26" t="s">
        <v>36</v>
      </c>
      <c r="M1439" s="28">
        <v>52.6</v>
      </c>
      <c r="N1439" s="28">
        <v>16</v>
      </c>
      <c r="O1439" s="28">
        <v>17</v>
      </c>
      <c r="P1439" s="28">
        <v>0</v>
      </c>
      <c r="Q1439" s="28">
        <v>0</v>
      </c>
      <c r="R1439" s="28">
        <v>0</v>
      </c>
      <c r="S1439" s="28"/>
      <c r="Z1439" s="26"/>
      <c r="AA1439" s="23"/>
      <c r="AB1439" s="3" t="str">
        <f t="shared" si="11"/>
        <v>ANO_1159_15_T4-C1_vv</v>
      </c>
      <c r="AC1439" s="3" t="str">
        <f t="shared" si="10"/>
        <v>ANO_1159_15_T4-C1_vv_3</v>
      </c>
      <c r="AD1439" s="3" t="s">
        <v>37</v>
      </c>
    </row>
    <row r="1440" spans="1:30" ht="14">
      <c r="A1440" s="26"/>
      <c r="B1440" s="5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 t="s">
        <v>38</v>
      </c>
      <c r="M1440" s="28">
        <v>42.3</v>
      </c>
      <c r="N1440" s="28">
        <v>8</v>
      </c>
      <c r="O1440" s="28">
        <v>10</v>
      </c>
      <c r="P1440" s="28">
        <v>2</v>
      </c>
      <c r="Q1440" s="28">
        <v>2</v>
      </c>
      <c r="R1440" s="28">
        <v>0</v>
      </c>
      <c r="S1440" s="28"/>
      <c r="Z1440" s="26"/>
      <c r="AA1440" s="23"/>
      <c r="AB1440" s="3" t="str">
        <f t="shared" si="11"/>
        <v>___</v>
      </c>
      <c r="AC1440" s="3" t="str">
        <f t="shared" si="10"/>
        <v>____</v>
      </c>
    </row>
    <row r="1441" spans="1:30" ht="14">
      <c r="A1441" s="29"/>
      <c r="B1441" s="30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 t="s">
        <v>39</v>
      </c>
      <c r="M1441" s="31">
        <v>22</v>
      </c>
      <c r="N1441" s="31">
        <v>0</v>
      </c>
      <c r="O1441" s="31">
        <v>2</v>
      </c>
      <c r="P1441" s="31">
        <v>0</v>
      </c>
      <c r="Q1441" s="31">
        <v>0</v>
      </c>
      <c r="R1441" s="31">
        <v>0</v>
      </c>
      <c r="S1441" s="28"/>
      <c r="Z1441" s="29"/>
      <c r="AA1441" s="23"/>
      <c r="AB1441" s="3" t="str">
        <f t="shared" si="11"/>
        <v>___</v>
      </c>
      <c r="AC1441" s="3" t="str">
        <f t="shared" si="10"/>
        <v>____</v>
      </c>
    </row>
    <row r="1442" spans="1:30" ht="14">
      <c r="A1442" s="28" t="s">
        <v>190</v>
      </c>
      <c r="B1442" s="5" t="s">
        <v>191</v>
      </c>
      <c r="C1442" s="28">
        <v>22</v>
      </c>
      <c r="D1442" s="26" t="s">
        <v>163</v>
      </c>
      <c r="E1442" s="26" t="s">
        <v>34</v>
      </c>
      <c r="F1442" s="26" t="s">
        <v>160</v>
      </c>
      <c r="G1442" s="26" t="s">
        <v>40</v>
      </c>
      <c r="H1442" s="28">
        <v>1</v>
      </c>
      <c r="I1442" s="28">
        <v>36</v>
      </c>
      <c r="J1442" s="28">
        <v>39.5</v>
      </c>
      <c r="K1442" s="28">
        <v>5</v>
      </c>
      <c r="L1442" s="26" t="s">
        <v>36</v>
      </c>
      <c r="M1442" s="28">
        <v>120.3</v>
      </c>
      <c r="N1442" s="28">
        <v>10</v>
      </c>
      <c r="O1442" s="28">
        <v>10</v>
      </c>
      <c r="P1442" s="28">
        <v>1</v>
      </c>
      <c r="Q1442" s="28">
        <v>1</v>
      </c>
      <c r="R1442" s="28">
        <v>0</v>
      </c>
      <c r="S1442" s="28"/>
      <c r="Z1442" s="26" t="s">
        <v>166</v>
      </c>
      <c r="AA1442" s="23"/>
      <c r="AB1442" s="3" t="str">
        <f t="shared" si="11"/>
        <v>ANO_1159_22_V1-C6_vm</v>
      </c>
      <c r="AC1442" s="3" t="str">
        <f t="shared" si="10"/>
        <v>ANO_1159_22_V1-C6_vm_1</v>
      </c>
      <c r="AD1442" s="3" t="s">
        <v>37</v>
      </c>
    </row>
    <row r="1443" spans="1:30" ht="14">
      <c r="A1443" s="26"/>
      <c r="B1443" s="5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 t="s">
        <v>38</v>
      </c>
      <c r="M1443" s="28">
        <v>68.7</v>
      </c>
      <c r="N1443" s="28">
        <v>0</v>
      </c>
      <c r="O1443" s="28">
        <v>3</v>
      </c>
      <c r="P1443" s="28">
        <v>3</v>
      </c>
      <c r="Q1443" s="28">
        <v>4</v>
      </c>
      <c r="R1443" s="28">
        <v>0</v>
      </c>
      <c r="S1443" s="28"/>
      <c r="Z1443" s="26"/>
      <c r="AA1443" s="23"/>
      <c r="AB1443" s="3" t="str">
        <f t="shared" si="11"/>
        <v>___</v>
      </c>
      <c r="AC1443" s="3" t="str">
        <f t="shared" si="10"/>
        <v>____</v>
      </c>
    </row>
    <row r="1444" spans="1:30" ht="14">
      <c r="A1444" s="26"/>
      <c r="B1444" s="5"/>
      <c r="C1444" s="26"/>
      <c r="D1444" s="26"/>
      <c r="E1444" s="26"/>
      <c r="F1444" s="26"/>
      <c r="G1444" s="26"/>
      <c r="H1444" s="26"/>
      <c r="I1444" s="26"/>
      <c r="J1444" s="26"/>
      <c r="K1444" s="26"/>
      <c r="L1444" s="29" t="s">
        <v>39</v>
      </c>
      <c r="M1444" s="28">
        <v>45</v>
      </c>
      <c r="N1444" s="28">
        <v>0</v>
      </c>
      <c r="O1444" s="28">
        <v>2</v>
      </c>
      <c r="P1444" s="28">
        <v>1</v>
      </c>
      <c r="Q1444" s="28">
        <v>3</v>
      </c>
      <c r="R1444" s="28">
        <v>0</v>
      </c>
      <c r="S1444" s="28"/>
      <c r="Z1444" s="26"/>
      <c r="AA1444" s="23"/>
      <c r="AB1444" s="3" t="str">
        <f t="shared" si="11"/>
        <v>___</v>
      </c>
      <c r="AC1444" s="3" t="str">
        <f t="shared" si="10"/>
        <v>____</v>
      </c>
    </row>
    <row r="1445" spans="1:30" ht="14">
      <c r="A1445" s="24" t="s">
        <v>190</v>
      </c>
      <c r="B1445" s="25" t="s">
        <v>191</v>
      </c>
      <c r="C1445" s="24">
        <v>22</v>
      </c>
      <c r="D1445" s="27" t="s">
        <v>163</v>
      </c>
      <c r="E1445" s="27" t="s">
        <v>34</v>
      </c>
      <c r="F1445" s="27" t="s">
        <v>160</v>
      </c>
      <c r="G1445" s="27" t="s">
        <v>40</v>
      </c>
      <c r="H1445" s="24">
        <v>2</v>
      </c>
      <c r="I1445" s="24">
        <v>38.9</v>
      </c>
      <c r="J1445" s="24">
        <v>41.7</v>
      </c>
      <c r="K1445" s="27"/>
      <c r="L1445" s="26" t="s">
        <v>36</v>
      </c>
      <c r="M1445" s="24">
        <v>76.8</v>
      </c>
      <c r="N1445" s="24">
        <v>9</v>
      </c>
      <c r="O1445" s="24">
        <v>9</v>
      </c>
      <c r="P1445" s="24">
        <v>0</v>
      </c>
      <c r="Q1445" s="24">
        <v>0</v>
      </c>
      <c r="R1445" s="24">
        <v>0</v>
      </c>
      <c r="S1445" s="28"/>
      <c r="Z1445" s="27"/>
      <c r="AA1445" s="23"/>
      <c r="AB1445" s="3" t="str">
        <f t="shared" si="11"/>
        <v>ANO_1159_22_V1-C6_vm</v>
      </c>
      <c r="AC1445" s="3" t="str">
        <f t="shared" si="10"/>
        <v>ANO_1159_22_V1-C6_vm_2</v>
      </c>
      <c r="AD1445" s="3" t="s">
        <v>37</v>
      </c>
    </row>
    <row r="1446" spans="1:30" ht="14">
      <c r="A1446" s="26"/>
      <c r="B1446" s="5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 t="s">
        <v>38</v>
      </c>
      <c r="M1446" s="28">
        <v>75.7</v>
      </c>
      <c r="N1446" s="28">
        <v>0</v>
      </c>
      <c r="O1446" s="28">
        <v>4</v>
      </c>
      <c r="P1446" s="28">
        <v>2</v>
      </c>
      <c r="Q1446" s="28">
        <v>2</v>
      </c>
      <c r="R1446" s="28">
        <v>0</v>
      </c>
      <c r="S1446" s="28"/>
      <c r="Z1446" s="26"/>
      <c r="AA1446" s="23"/>
      <c r="AB1446" s="3" t="str">
        <f t="shared" si="11"/>
        <v>___</v>
      </c>
      <c r="AC1446" s="3" t="str">
        <f t="shared" si="10"/>
        <v>____</v>
      </c>
    </row>
    <row r="1447" spans="1:30" ht="14">
      <c r="A1447" s="29"/>
      <c r="B1447" s="30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 t="s">
        <v>39</v>
      </c>
      <c r="M1447" s="31">
        <v>51.8</v>
      </c>
      <c r="N1447" s="31">
        <v>0</v>
      </c>
      <c r="O1447" s="31">
        <v>4</v>
      </c>
      <c r="P1447" s="31">
        <v>3</v>
      </c>
      <c r="Q1447" s="31">
        <v>14</v>
      </c>
      <c r="R1447" s="31">
        <v>0</v>
      </c>
      <c r="S1447" s="28"/>
      <c r="Z1447" s="29"/>
      <c r="AA1447" s="23"/>
      <c r="AB1447" s="3" t="str">
        <f t="shared" si="11"/>
        <v>___</v>
      </c>
      <c r="AC1447" s="3" t="str">
        <f t="shared" si="10"/>
        <v>____</v>
      </c>
    </row>
    <row r="1448" spans="1:30" ht="14">
      <c r="A1448" s="28" t="s">
        <v>190</v>
      </c>
      <c r="B1448" s="5" t="s">
        <v>191</v>
      </c>
      <c r="C1448" s="28">
        <v>22</v>
      </c>
      <c r="D1448" s="26" t="s">
        <v>163</v>
      </c>
      <c r="E1448" s="26" t="s">
        <v>34</v>
      </c>
      <c r="F1448" s="26" t="s">
        <v>160</v>
      </c>
      <c r="G1448" s="26" t="s">
        <v>40</v>
      </c>
      <c r="H1448" s="28">
        <v>3</v>
      </c>
      <c r="I1448" s="28">
        <v>25</v>
      </c>
      <c r="J1448" s="28">
        <v>27.5</v>
      </c>
      <c r="K1448" s="28">
        <v>5</v>
      </c>
      <c r="L1448" s="26" t="s">
        <v>36</v>
      </c>
      <c r="M1448" s="28">
        <v>94.4</v>
      </c>
      <c r="N1448" s="28">
        <v>10</v>
      </c>
      <c r="O1448" s="28">
        <v>10</v>
      </c>
      <c r="P1448" s="28">
        <v>0</v>
      </c>
      <c r="Q1448" s="28">
        <v>0</v>
      </c>
      <c r="R1448" s="28">
        <v>0</v>
      </c>
      <c r="S1448" s="28"/>
      <c r="Z1448" s="26"/>
      <c r="AA1448" s="23"/>
      <c r="AB1448" s="3" t="str">
        <f t="shared" si="11"/>
        <v>ANO_1159_22_V1-C6_vm</v>
      </c>
      <c r="AC1448" s="3" t="str">
        <f t="shared" si="10"/>
        <v>ANO_1159_22_V1-C6_vm_3</v>
      </c>
      <c r="AD1448" s="3" t="s">
        <v>37</v>
      </c>
    </row>
    <row r="1449" spans="1:30" ht="14">
      <c r="A1449" s="26"/>
      <c r="B1449" s="5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 t="s">
        <v>38</v>
      </c>
      <c r="M1449" s="28">
        <v>86.7</v>
      </c>
      <c r="N1449" s="28">
        <v>0</v>
      </c>
      <c r="O1449" s="28">
        <v>5</v>
      </c>
      <c r="P1449" s="28">
        <v>2</v>
      </c>
      <c r="Q1449" s="28">
        <v>2</v>
      </c>
      <c r="R1449" s="28">
        <v>0</v>
      </c>
      <c r="S1449" s="28"/>
      <c r="Z1449" s="26"/>
      <c r="AA1449" s="23"/>
      <c r="AB1449" s="3" t="str">
        <f t="shared" si="11"/>
        <v>___</v>
      </c>
      <c r="AC1449" s="3" t="str">
        <f t="shared" si="10"/>
        <v>____</v>
      </c>
    </row>
    <row r="1450" spans="1:30" ht="14">
      <c r="A1450" s="26"/>
      <c r="B1450" s="5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 t="s">
        <v>39</v>
      </c>
      <c r="M1450" s="28">
        <v>35.9</v>
      </c>
      <c r="N1450" s="28">
        <v>0</v>
      </c>
      <c r="O1450" s="28">
        <v>2</v>
      </c>
      <c r="P1450" s="28">
        <v>1</v>
      </c>
      <c r="Q1450" s="28">
        <v>6</v>
      </c>
      <c r="R1450" s="28">
        <v>0</v>
      </c>
      <c r="S1450" s="28"/>
      <c r="Z1450" s="26"/>
      <c r="AA1450" s="23"/>
      <c r="AB1450" s="3" t="str">
        <f t="shared" si="11"/>
        <v>___</v>
      </c>
      <c r="AC1450" s="3" t="str">
        <f t="shared" si="10"/>
        <v>____</v>
      </c>
    </row>
    <row r="1451" spans="1:30" ht="14">
      <c r="A1451" s="24" t="s">
        <v>190</v>
      </c>
      <c r="B1451" s="25" t="s">
        <v>191</v>
      </c>
      <c r="C1451" s="24">
        <v>22</v>
      </c>
      <c r="D1451" s="27" t="s">
        <v>163</v>
      </c>
      <c r="E1451" s="27" t="s">
        <v>34</v>
      </c>
      <c r="F1451" s="27" t="s">
        <v>160</v>
      </c>
      <c r="G1451" s="27" t="s">
        <v>35</v>
      </c>
      <c r="H1451" s="24">
        <v>1</v>
      </c>
      <c r="I1451" s="24">
        <v>19.5</v>
      </c>
      <c r="J1451" s="24">
        <v>19.5</v>
      </c>
      <c r="K1451" s="24">
        <v>5</v>
      </c>
      <c r="L1451" s="27" t="s">
        <v>36</v>
      </c>
      <c r="M1451" s="24">
        <v>45.6</v>
      </c>
      <c r="N1451" s="24">
        <v>12</v>
      </c>
      <c r="O1451" s="24">
        <v>12</v>
      </c>
      <c r="P1451" s="24">
        <v>0</v>
      </c>
      <c r="Q1451" s="24">
        <v>0</v>
      </c>
      <c r="R1451" s="24">
        <v>0</v>
      </c>
      <c r="S1451" s="28"/>
      <c r="Z1451" s="27"/>
      <c r="AA1451" s="23"/>
      <c r="AB1451" s="3" t="str">
        <f t="shared" si="11"/>
        <v>ANO_1159_22_V1-C6_vv</v>
      </c>
      <c r="AC1451" s="3" t="str">
        <f t="shared" si="10"/>
        <v>ANO_1159_22_V1-C6_vv_1</v>
      </c>
    </row>
    <row r="1452" spans="1:30" ht="14">
      <c r="A1452" s="26"/>
      <c r="B1452" s="5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 t="s">
        <v>38</v>
      </c>
      <c r="M1452" s="28">
        <v>33.5</v>
      </c>
      <c r="N1452" s="28">
        <v>8</v>
      </c>
      <c r="O1452" s="28">
        <v>8</v>
      </c>
      <c r="P1452" s="28">
        <v>1</v>
      </c>
      <c r="Q1452" s="28">
        <v>1</v>
      </c>
      <c r="R1452" s="28">
        <v>0</v>
      </c>
      <c r="S1452" s="28"/>
      <c r="Z1452" s="26"/>
      <c r="AA1452" s="23"/>
      <c r="AB1452" s="3" t="str">
        <f t="shared" si="11"/>
        <v>___</v>
      </c>
      <c r="AC1452" s="3" t="str">
        <f t="shared" si="10"/>
        <v>____</v>
      </c>
    </row>
    <row r="1453" spans="1:30" ht="14">
      <c r="A1453" s="29"/>
      <c r="B1453" s="30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 t="s">
        <v>39</v>
      </c>
      <c r="M1453" s="31">
        <v>38.700000000000003</v>
      </c>
      <c r="N1453" s="31">
        <v>5</v>
      </c>
      <c r="O1453" s="31">
        <v>5</v>
      </c>
      <c r="P1453" s="31">
        <v>0</v>
      </c>
      <c r="Q1453" s="31">
        <v>0</v>
      </c>
      <c r="R1453" s="31">
        <v>0</v>
      </c>
      <c r="S1453" s="28"/>
      <c r="Z1453" s="29"/>
      <c r="AA1453" s="23"/>
      <c r="AB1453" s="3" t="str">
        <f t="shared" si="11"/>
        <v>___</v>
      </c>
      <c r="AC1453" s="3" t="str">
        <f t="shared" si="10"/>
        <v>____</v>
      </c>
    </row>
    <row r="1454" spans="1:30" ht="14">
      <c r="A1454" s="28" t="s">
        <v>190</v>
      </c>
      <c r="B1454" s="5" t="s">
        <v>191</v>
      </c>
      <c r="C1454" s="28">
        <v>22</v>
      </c>
      <c r="D1454" s="26" t="s">
        <v>163</v>
      </c>
      <c r="E1454" s="26" t="s">
        <v>34</v>
      </c>
      <c r="F1454" s="26" t="s">
        <v>160</v>
      </c>
      <c r="G1454" s="26" t="s">
        <v>35</v>
      </c>
      <c r="H1454" s="28">
        <v>2</v>
      </c>
      <c r="I1454" s="28">
        <v>14.4</v>
      </c>
      <c r="J1454" s="28">
        <v>14.4</v>
      </c>
      <c r="K1454" s="28">
        <v>5</v>
      </c>
      <c r="L1454" s="26" t="s">
        <v>36</v>
      </c>
      <c r="M1454" s="28">
        <v>38.6</v>
      </c>
      <c r="N1454" s="28">
        <v>12</v>
      </c>
      <c r="O1454" s="28">
        <v>12</v>
      </c>
      <c r="P1454" s="28">
        <v>0</v>
      </c>
      <c r="Q1454" s="28">
        <v>0</v>
      </c>
      <c r="R1454" s="28">
        <v>1</v>
      </c>
      <c r="S1454" s="28"/>
      <c r="Z1454" s="26"/>
      <c r="AA1454" s="23"/>
      <c r="AB1454" s="3" t="str">
        <f t="shared" si="11"/>
        <v>ANO_1159_22_V1-C6_vv</v>
      </c>
      <c r="AC1454" s="3" t="str">
        <f t="shared" si="10"/>
        <v>ANO_1159_22_V1-C6_vv_2</v>
      </c>
    </row>
    <row r="1455" spans="1:30" ht="14">
      <c r="A1455" s="26"/>
      <c r="B1455" s="5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 t="s">
        <v>38</v>
      </c>
      <c r="M1455" s="28">
        <v>33.4</v>
      </c>
      <c r="N1455" s="28">
        <v>3</v>
      </c>
      <c r="O1455" s="28">
        <v>6</v>
      </c>
      <c r="P1455" s="28">
        <v>0</v>
      </c>
      <c r="Q1455" s="28">
        <v>0</v>
      </c>
      <c r="R1455" s="28">
        <v>0</v>
      </c>
      <c r="S1455" s="28"/>
      <c r="Z1455" s="26"/>
      <c r="AA1455" s="23"/>
      <c r="AB1455" s="3" t="str">
        <f t="shared" si="11"/>
        <v>___</v>
      </c>
      <c r="AC1455" s="3" t="str">
        <f t="shared" si="10"/>
        <v>____</v>
      </c>
    </row>
    <row r="1456" spans="1:30" ht="14">
      <c r="A1456" s="29"/>
      <c r="B1456" s="30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 t="s">
        <v>39</v>
      </c>
      <c r="M1456" s="31">
        <v>31</v>
      </c>
      <c r="N1456" s="31">
        <v>2</v>
      </c>
      <c r="O1456" s="31">
        <v>4</v>
      </c>
      <c r="P1456" s="31">
        <v>0</v>
      </c>
      <c r="Q1456" s="31">
        <v>0</v>
      </c>
      <c r="R1456" s="31">
        <v>0</v>
      </c>
      <c r="S1456" s="28"/>
      <c r="Z1456" s="29"/>
      <c r="AA1456" s="23"/>
      <c r="AB1456" s="3" t="str">
        <f t="shared" si="11"/>
        <v>___</v>
      </c>
      <c r="AC1456" s="3" t="str">
        <f t="shared" si="10"/>
        <v>____</v>
      </c>
    </row>
    <row r="1457" spans="1:30" ht="14">
      <c r="A1457" s="28" t="s">
        <v>190</v>
      </c>
      <c r="B1457" s="5" t="s">
        <v>191</v>
      </c>
      <c r="C1457" s="28">
        <v>22</v>
      </c>
      <c r="D1457" s="26" t="s">
        <v>163</v>
      </c>
      <c r="E1457" s="26" t="s">
        <v>34</v>
      </c>
      <c r="F1457" s="26" t="s">
        <v>160</v>
      </c>
      <c r="G1457" s="26" t="s">
        <v>35</v>
      </c>
      <c r="H1457" s="28">
        <v>3</v>
      </c>
      <c r="I1457" s="28">
        <v>18</v>
      </c>
      <c r="J1457" s="28">
        <v>19.899999999999999</v>
      </c>
      <c r="K1457" s="28">
        <v>6</v>
      </c>
      <c r="L1457" s="26" t="s">
        <v>36</v>
      </c>
      <c r="M1457" s="28">
        <v>45.8</v>
      </c>
      <c r="N1457" s="28">
        <v>13</v>
      </c>
      <c r="O1457" s="28">
        <v>13</v>
      </c>
      <c r="P1457" s="28">
        <v>0</v>
      </c>
      <c r="Q1457" s="28">
        <v>0</v>
      </c>
      <c r="R1457" s="28">
        <v>0</v>
      </c>
      <c r="S1457" s="28"/>
      <c r="Z1457" s="26"/>
      <c r="AA1457" s="23"/>
      <c r="AB1457" s="3" t="str">
        <f t="shared" si="11"/>
        <v>ANO_1159_22_V1-C6_vv</v>
      </c>
      <c r="AC1457" s="3" t="str">
        <f t="shared" si="10"/>
        <v>ANO_1159_22_V1-C6_vv_3</v>
      </c>
    </row>
    <row r="1458" spans="1:30" ht="14">
      <c r="A1458" s="26"/>
      <c r="B1458" s="5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 t="s">
        <v>38</v>
      </c>
      <c r="M1458" s="28">
        <v>34.299999999999997</v>
      </c>
      <c r="N1458" s="28">
        <v>5</v>
      </c>
      <c r="O1458" s="28">
        <v>6</v>
      </c>
      <c r="P1458" s="28">
        <v>0</v>
      </c>
      <c r="Q1458" s="28">
        <v>0</v>
      </c>
      <c r="R1458" s="28">
        <v>0</v>
      </c>
      <c r="S1458" s="28"/>
      <c r="Z1458" s="26"/>
      <c r="AA1458" s="23"/>
      <c r="AB1458" s="3" t="str">
        <f t="shared" si="11"/>
        <v>___</v>
      </c>
      <c r="AC1458" s="3" t="str">
        <f t="shared" si="10"/>
        <v>____</v>
      </c>
    </row>
    <row r="1459" spans="1:30" ht="14">
      <c r="A1459" s="26"/>
      <c r="B1459" s="5"/>
      <c r="C1459" s="26"/>
      <c r="D1459" s="26"/>
      <c r="E1459" s="26"/>
      <c r="F1459" s="26"/>
      <c r="G1459" s="26"/>
      <c r="H1459" s="26"/>
      <c r="I1459" s="26"/>
      <c r="J1459" s="26"/>
      <c r="K1459" s="26"/>
      <c r="L1459" s="29" t="s">
        <v>39</v>
      </c>
      <c r="M1459" s="28">
        <v>36.200000000000003</v>
      </c>
      <c r="N1459" s="28">
        <v>4</v>
      </c>
      <c r="O1459" s="28">
        <v>6</v>
      </c>
      <c r="P1459" s="28">
        <v>0</v>
      </c>
      <c r="Q1459" s="28">
        <v>0</v>
      </c>
      <c r="R1459" s="28">
        <v>0</v>
      </c>
      <c r="S1459" s="28"/>
      <c r="Z1459" s="26"/>
      <c r="AA1459" s="23"/>
      <c r="AB1459" s="3" t="str">
        <f t="shared" si="11"/>
        <v>___</v>
      </c>
      <c r="AC1459" s="3" t="str">
        <f t="shared" si="10"/>
        <v>____</v>
      </c>
    </row>
    <row r="1460" spans="1:30" ht="14">
      <c r="A1460" s="24" t="s">
        <v>193</v>
      </c>
      <c r="B1460" s="25" t="s">
        <v>194</v>
      </c>
      <c r="C1460" s="24">
        <v>11</v>
      </c>
      <c r="D1460" s="27" t="s">
        <v>163</v>
      </c>
      <c r="E1460" s="27" t="s">
        <v>34</v>
      </c>
      <c r="F1460" s="27" t="s">
        <v>174</v>
      </c>
      <c r="G1460" s="27" t="s">
        <v>40</v>
      </c>
      <c r="H1460" s="24">
        <v>1</v>
      </c>
      <c r="I1460" s="24">
        <v>47</v>
      </c>
      <c r="J1460" s="24">
        <v>48.9</v>
      </c>
      <c r="K1460" s="24">
        <v>7</v>
      </c>
      <c r="L1460" s="26" t="s">
        <v>36</v>
      </c>
      <c r="M1460" s="24">
        <v>96.4</v>
      </c>
      <c r="N1460" s="24">
        <v>6</v>
      </c>
      <c r="O1460" s="24">
        <v>8</v>
      </c>
      <c r="P1460" s="24">
        <v>0</v>
      </c>
      <c r="Q1460" s="24">
        <v>0</v>
      </c>
      <c r="R1460" s="24">
        <v>0</v>
      </c>
      <c r="S1460" s="28"/>
      <c r="Z1460" s="27"/>
      <c r="AA1460" s="23"/>
      <c r="AB1460" s="3" t="str">
        <f t="shared" si="11"/>
        <v>ANO_352_11_T34-C2_vm</v>
      </c>
      <c r="AC1460" s="3" t="str">
        <f t="shared" si="10"/>
        <v>ANO_352_11_T34-C2_vm_1</v>
      </c>
      <c r="AD1460" s="3" t="s">
        <v>37</v>
      </c>
    </row>
    <row r="1461" spans="1:30" ht="14">
      <c r="A1461" s="26"/>
      <c r="B1461" s="5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 t="s">
        <v>38</v>
      </c>
      <c r="M1461" s="28">
        <v>66.400000000000006</v>
      </c>
      <c r="N1461" s="28">
        <v>0</v>
      </c>
      <c r="O1461" s="28">
        <v>3</v>
      </c>
      <c r="P1461" s="28">
        <v>1</v>
      </c>
      <c r="Q1461" s="28">
        <v>1</v>
      </c>
      <c r="R1461" s="28">
        <v>0</v>
      </c>
      <c r="S1461" s="28"/>
      <c r="Z1461" s="26"/>
      <c r="AA1461" s="23"/>
      <c r="AB1461" s="3" t="str">
        <f t="shared" si="11"/>
        <v>___</v>
      </c>
      <c r="AC1461" s="3" t="str">
        <f t="shared" si="10"/>
        <v>____</v>
      </c>
    </row>
    <row r="1462" spans="1:30" ht="14">
      <c r="A1462" s="29"/>
      <c r="B1462" s="30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 t="s">
        <v>39</v>
      </c>
      <c r="M1462" s="31">
        <v>72</v>
      </c>
      <c r="N1462" s="31">
        <v>0</v>
      </c>
      <c r="O1462" s="31">
        <v>2</v>
      </c>
      <c r="P1462" s="31">
        <v>4</v>
      </c>
      <c r="Q1462" s="31">
        <v>12</v>
      </c>
      <c r="R1462" s="31">
        <v>0</v>
      </c>
      <c r="S1462" s="28"/>
      <c r="Z1462" s="29"/>
      <c r="AA1462" s="23"/>
      <c r="AB1462" s="3" t="str">
        <f t="shared" si="11"/>
        <v>___</v>
      </c>
      <c r="AC1462" s="3" t="str">
        <f t="shared" si="10"/>
        <v>____</v>
      </c>
    </row>
    <row r="1463" spans="1:30" ht="14">
      <c r="A1463" s="28" t="s">
        <v>193</v>
      </c>
      <c r="B1463" s="5" t="s">
        <v>194</v>
      </c>
      <c r="C1463" s="28">
        <v>11</v>
      </c>
      <c r="D1463" s="26" t="s">
        <v>163</v>
      </c>
      <c r="E1463" s="26" t="s">
        <v>34</v>
      </c>
      <c r="F1463" s="26" t="s">
        <v>174</v>
      </c>
      <c r="G1463" s="26" t="s">
        <v>40</v>
      </c>
      <c r="H1463" s="28">
        <v>2</v>
      </c>
      <c r="I1463" s="28">
        <v>18</v>
      </c>
      <c r="J1463" s="28">
        <v>18.600000000000001</v>
      </c>
      <c r="K1463" s="28">
        <v>3</v>
      </c>
      <c r="L1463" s="26" t="s">
        <v>36</v>
      </c>
      <c r="M1463" s="28">
        <v>36</v>
      </c>
      <c r="N1463" s="28">
        <v>5</v>
      </c>
      <c r="O1463" s="28">
        <v>6</v>
      </c>
      <c r="P1463" s="28">
        <v>0</v>
      </c>
      <c r="Q1463" s="28">
        <v>0</v>
      </c>
      <c r="R1463" s="28">
        <v>0</v>
      </c>
      <c r="S1463" s="28"/>
      <c r="Z1463" s="26"/>
      <c r="AA1463" s="23"/>
      <c r="AB1463" s="3" t="str">
        <f t="shared" si="11"/>
        <v>ANO_352_11_T34-C2_vm</v>
      </c>
      <c r="AC1463" s="3" t="str">
        <f t="shared" si="10"/>
        <v>ANO_352_11_T34-C2_vm_2</v>
      </c>
      <c r="AD1463" s="3" t="s">
        <v>37</v>
      </c>
    </row>
    <row r="1464" spans="1:30" ht="14">
      <c r="A1464" s="26"/>
      <c r="B1464" s="5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 t="s">
        <v>38</v>
      </c>
      <c r="M1464" s="28">
        <v>50.6</v>
      </c>
      <c r="N1464" s="28">
        <v>1</v>
      </c>
      <c r="O1464" s="28">
        <v>4</v>
      </c>
      <c r="P1464" s="28">
        <v>3</v>
      </c>
      <c r="Q1464" s="28">
        <v>3</v>
      </c>
      <c r="R1464" s="28">
        <v>0</v>
      </c>
      <c r="S1464" s="28"/>
      <c r="Z1464" s="26"/>
      <c r="AA1464" s="23"/>
      <c r="AB1464" s="3" t="str">
        <f t="shared" si="11"/>
        <v>___</v>
      </c>
      <c r="AC1464" s="3" t="str">
        <f t="shared" si="10"/>
        <v>____</v>
      </c>
    </row>
    <row r="1465" spans="1:30" ht="14">
      <c r="A1465" s="29"/>
      <c r="B1465" s="30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 t="s">
        <v>39</v>
      </c>
      <c r="M1465" s="31">
        <v>16.899999999999999</v>
      </c>
      <c r="N1465" s="31">
        <v>0</v>
      </c>
      <c r="O1465" s="31">
        <v>2</v>
      </c>
      <c r="P1465" s="31">
        <v>2</v>
      </c>
      <c r="Q1465" s="31">
        <v>7</v>
      </c>
      <c r="R1465" s="31">
        <v>0</v>
      </c>
      <c r="S1465" s="28"/>
      <c r="Z1465" s="29"/>
      <c r="AA1465" s="23"/>
      <c r="AB1465" s="3" t="str">
        <f t="shared" si="11"/>
        <v>___</v>
      </c>
      <c r="AC1465" s="3" t="str">
        <f t="shared" si="10"/>
        <v>____</v>
      </c>
    </row>
    <row r="1466" spans="1:30" ht="14">
      <c r="A1466" s="28" t="s">
        <v>193</v>
      </c>
      <c r="B1466" s="5" t="s">
        <v>194</v>
      </c>
      <c r="C1466" s="28">
        <v>11</v>
      </c>
      <c r="D1466" s="26" t="s">
        <v>163</v>
      </c>
      <c r="E1466" s="26" t="s">
        <v>34</v>
      </c>
      <c r="F1466" s="26" t="s">
        <v>174</v>
      </c>
      <c r="G1466" s="26" t="s">
        <v>40</v>
      </c>
      <c r="H1466" s="28">
        <v>3</v>
      </c>
      <c r="I1466" s="28">
        <v>20</v>
      </c>
      <c r="J1466" s="28">
        <v>22.7</v>
      </c>
      <c r="K1466" s="28">
        <v>6</v>
      </c>
      <c r="L1466" s="26" t="s">
        <v>36</v>
      </c>
      <c r="M1466" s="28">
        <v>40.9</v>
      </c>
      <c r="N1466" s="28">
        <v>2</v>
      </c>
      <c r="O1466" s="28">
        <v>4</v>
      </c>
      <c r="P1466" s="28">
        <v>1</v>
      </c>
      <c r="Q1466" s="28">
        <v>0</v>
      </c>
      <c r="R1466" s="28">
        <v>0</v>
      </c>
      <c r="S1466" s="28"/>
      <c r="Z1466" s="26" t="s">
        <v>195</v>
      </c>
      <c r="AA1466" s="23"/>
      <c r="AB1466" s="3" t="str">
        <f t="shared" si="11"/>
        <v>ANO_352_11_T34-C2_vm</v>
      </c>
      <c r="AC1466" s="3" t="str">
        <f t="shared" si="10"/>
        <v>ANO_352_11_T34-C2_vm_3</v>
      </c>
      <c r="AD1466" s="3" t="s">
        <v>37</v>
      </c>
    </row>
    <row r="1467" spans="1:30" ht="14">
      <c r="A1467" s="26"/>
      <c r="B1467" s="5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 t="s">
        <v>38</v>
      </c>
      <c r="M1467" s="28">
        <v>29.3</v>
      </c>
      <c r="N1467" s="28">
        <v>0</v>
      </c>
      <c r="O1467" s="28">
        <v>2</v>
      </c>
      <c r="P1467" s="28">
        <v>1</v>
      </c>
      <c r="Q1467" s="28">
        <v>1</v>
      </c>
      <c r="R1467" s="28">
        <v>0</v>
      </c>
      <c r="S1467" s="28"/>
      <c r="Z1467" s="26"/>
      <c r="AA1467" s="23"/>
      <c r="AB1467" s="3" t="str">
        <f t="shared" si="11"/>
        <v>___</v>
      </c>
      <c r="AC1467" s="3" t="str">
        <f t="shared" si="10"/>
        <v>____</v>
      </c>
    </row>
    <row r="1468" spans="1:30" ht="14">
      <c r="A1468" s="29"/>
      <c r="B1468" s="30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 t="s">
        <v>39</v>
      </c>
      <c r="M1468" s="31">
        <v>29.7</v>
      </c>
      <c r="N1468" s="31">
        <v>0</v>
      </c>
      <c r="O1468" s="31">
        <v>4</v>
      </c>
      <c r="P1468" s="31">
        <v>4</v>
      </c>
      <c r="Q1468" s="31">
        <v>13</v>
      </c>
      <c r="R1468" s="31">
        <v>0</v>
      </c>
      <c r="S1468" s="28"/>
      <c r="Z1468" s="29"/>
      <c r="AA1468" s="23"/>
      <c r="AB1468" s="3" t="str">
        <f t="shared" si="11"/>
        <v>___</v>
      </c>
      <c r="AC1468" s="3" t="str">
        <f t="shared" si="10"/>
        <v>____</v>
      </c>
    </row>
    <row r="1469" spans="1:30" ht="14">
      <c r="A1469" s="28" t="s">
        <v>193</v>
      </c>
      <c r="B1469" s="5" t="s">
        <v>194</v>
      </c>
      <c r="C1469" s="28">
        <v>11</v>
      </c>
      <c r="D1469" s="26" t="s">
        <v>163</v>
      </c>
      <c r="E1469" s="26" t="s">
        <v>34</v>
      </c>
      <c r="F1469" s="26" t="s">
        <v>174</v>
      </c>
      <c r="G1469" s="26" t="s">
        <v>35</v>
      </c>
      <c r="H1469" s="28">
        <v>1</v>
      </c>
      <c r="I1469" s="28">
        <v>12</v>
      </c>
      <c r="J1469" s="28">
        <v>13.5</v>
      </c>
      <c r="K1469" s="28">
        <v>5</v>
      </c>
      <c r="L1469" s="26" t="s">
        <v>36</v>
      </c>
      <c r="M1469" s="28">
        <v>33.200000000000003</v>
      </c>
      <c r="N1469" s="28">
        <v>8</v>
      </c>
      <c r="O1469" s="28">
        <v>8</v>
      </c>
      <c r="P1469" s="28">
        <v>0</v>
      </c>
      <c r="Q1469" s="28">
        <v>0</v>
      </c>
      <c r="R1469" s="28">
        <v>0</v>
      </c>
      <c r="S1469" s="28"/>
      <c r="Z1469" s="26"/>
      <c r="AA1469" s="23"/>
      <c r="AB1469" s="3" t="str">
        <f t="shared" si="11"/>
        <v>ANO_352_11_T34-C2_vv</v>
      </c>
      <c r="AC1469" s="3" t="str">
        <f t="shared" si="10"/>
        <v>ANO_352_11_T34-C2_vv_1</v>
      </c>
      <c r="AD1469" s="3" t="s">
        <v>37</v>
      </c>
    </row>
    <row r="1470" spans="1:30" ht="14">
      <c r="A1470" s="26"/>
      <c r="B1470" s="5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 t="s">
        <v>38</v>
      </c>
      <c r="M1470" s="28">
        <v>26.1</v>
      </c>
      <c r="N1470" s="28">
        <v>2</v>
      </c>
      <c r="O1470" s="28">
        <v>4</v>
      </c>
      <c r="P1470" s="28">
        <v>0</v>
      </c>
      <c r="Q1470" s="28">
        <v>0</v>
      </c>
      <c r="R1470" s="28">
        <v>0</v>
      </c>
      <c r="S1470" s="28"/>
      <c r="Z1470" s="26"/>
      <c r="AA1470" s="23"/>
      <c r="AB1470" s="3" t="str">
        <f t="shared" si="11"/>
        <v>___</v>
      </c>
      <c r="AC1470" s="3" t="str">
        <f t="shared" si="10"/>
        <v>____</v>
      </c>
    </row>
    <row r="1471" spans="1:30" ht="14">
      <c r="A1471" s="29"/>
      <c r="B1471" s="30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 t="s">
        <v>39</v>
      </c>
      <c r="M1471" s="31">
        <v>15</v>
      </c>
      <c r="N1471" s="31">
        <v>1</v>
      </c>
      <c r="O1471" s="31">
        <v>2</v>
      </c>
      <c r="P1471" s="31">
        <v>0</v>
      </c>
      <c r="Q1471" s="31">
        <v>0</v>
      </c>
      <c r="R1471" s="31">
        <v>0</v>
      </c>
      <c r="S1471" s="28"/>
      <c r="Z1471" s="29"/>
      <c r="AA1471" s="23"/>
      <c r="AB1471" s="3" t="str">
        <f t="shared" si="11"/>
        <v>___</v>
      </c>
      <c r="AC1471" s="3" t="str">
        <f t="shared" si="10"/>
        <v>____</v>
      </c>
    </row>
    <row r="1472" spans="1:30" ht="14">
      <c r="A1472" s="28" t="s">
        <v>193</v>
      </c>
      <c r="B1472" s="5" t="s">
        <v>194</v>
      </c>
      <c r="C1472" s="28">
        <v>11</v>
      </c>
      <c r="D1472" s="26" t="s">
        <v>163</v>
      </c>
      <c r="E1472" s="26" t="s">
        <v>34</v>
      </c>
      <c r="F1472" s="26" t="s">
        <v>174</v>
      </c>
      <c r="G1472" s="26" t="s">
        <v>35</v>
      </c>
      <c r="H1472" s="28">
        <v>2</v>
      </c>
      <c r="I1472" s="28">
        <v>14</v>
      </c>
      <c r="J1472" s="28">
        <v>16.899999999999999</v>
      </c>
      <c r="K1472" s="28">
        <v>5</v>
      </c>
      <c r="L1472" s="26" t="s">
        <v>36</v>
      </c>
      <c r="M1472" s="28">
        <v>35.299999999999997</v>
      </c>
      <c r="N1472" s="28">
        <v>11</v>
      </c>
      <c r="O1472" s="28">
        <v>11</v>
      </c>
      <c r="P1472" s="28">
        <v>0</v>
      </c>
      <c r="Q1472" s="28">
        <v>0</v>
      </c>
      <c r="R1472" s="28">
        <v>1</v>
      </c>
      <c r="S1472" s="28"/>
      <c r="Z1472" s="26"/>
      <c r="AA1472" s="23"/>
      <c r="AB1472" s="3" t="str">
        <f t="shared" si="11"/>
        <v>ANO_352_11_T34-C2_vv</v>
      </c>
      <c r="AC1472" s="3" t="str">
        <f t="shared" si="10"/>
        <v>ANO_352_11_T34-C2_vv_2</v>
      </c>
      <c r="AD1472" s="3" t="s">
        <v>37</v>
      </c>
    </row>
    <row r="1473" spans="1:30" ht="14">
      <c r="A1473" s="26"/>
      <c r="B1473" s="5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 t="s">
        <v>38</v>
      </c>
      <c r="M1473" s="28">
        <v>30.6</v>
      </c>
      <c r="N1473" s="28">
        <v>4</v>
      </c>
      <c r="O1473" s="28">
        <v>6</v>
      </c>
      <c r="P1473" s="28">
        <v>0</v>
      </c>
      <c r="Q1473" s="28">
        <v>0</v>
      </c>
      <c r="R1473" s="28">
        <v>0</v>
      </c>
      <c r="S1473" s="28"/>
      <c r="Z1473" s="26"/>
      <c r="AA1473" s="23"/>
      <c r="AB1473" s="3" t="str">
        <f t="shared" si="11"/>
        <v>___</v>
      </c>
      <c r="AC1473" s="3" t="str">
        <f t="shared" si="10"/>
        <v>____</v>
      </c>
    </row>
    <row r="1474" spans="1:30" ht="14">
      <c r="A1474" s="29"/>
      <c r="B1474" s="30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 t="s">
        <v>39</v>
      </c>
      <c r="M1474" s="31">
        <v>20.100000000000001</v>
      </c>
      <c r="N1474" s="31">
        <v>0</v>
      </c>
      <c r="O1474" s="31">
        <v>2</v>
      </c>
      <c r="P1474" s="31">
        <v>3</v>
      </c>
      <c r="Q1474" s="31">
        <v>3</v>
      </c>
      <c r="R1474" s="31">
        <v>0</v>
      </c>
      <c r="S1474" s="28"/>
      <c r="Z1474" s="29"/>
      <c r="AA1474" s="23"/>
      <c r="AB1474" s="3" t="str">
        <f t="shared" si="11"/>
        <v>___</v>
      </c>
      <c r="AC1474" s="3" t="str">
        <f t="shared" si="10"/>
        <v>____</v>
      </c>
    </row>
    <row r="1475" spans="1:30" ht="14">
      <c r="A1475" s="28" t="s">
        <v>193</v>
      </c>
      <c r="B1475" s="5" t="s">
        <v>194</v>
      </c>
      <c r="C1475" s="28">
        <v>11</v>
      </c>
      <c r="D1475" s="26" t="s">
        <v>163</v>
      </c>
      <c r="E1475" s="26" t="s">
        <v>34</v>
      </c>
      <c r="F1475" s="26" t="s">
        <v>174</v>
      </c>
      <c r="G1475" s="26" t="s">
        <v>35</v>
      </c>
      <c r="H1475" s="28">
        <v>3</v>
      </c>
      <c r="I1475" s="28">
        <v>15.5</v>
      </c>
      <c r="J1475" s="28">
        <v>18.2</v>
      </c>
      <c r="K1475" s="28">
        <v>5</v>
      </c>
      <c r="L1475" s="26" t="s">
        <v>36</v>
      </c>
      <c r="M1475" s="28">
        <v>42.8</v>
      </c>
      <c r="N1475" s="28">
        <v>13</v>
      </c>
      <c r="O1475" s="28">
        <v>14</v>
      </c>
      <c r="P1475" s="28">
        <v>0</v>
      </c>
      <c r="Q1475" s="28">
        <v>0</v>
      </c>
      <c r="R1475" s="28">
        <v>0</v>
      </c>
      <c r="S1475" s="28"/>
      <c r="Z1475" s="26"/>
      <c r="AA1475" s="23"/>
      <c r="AB1475" s="3" t="str">
        <f t="shared" si="11"/>
        <v>ANO_352_11_T34-C2_vv</v>
      </c>
      <c r="AC1475" s="3" t="str">
        <f t="shared" si="10"/>
        <v>ANO_352_11_T34-C2_vv_3</v>
      </c>
      <c r="AD1475" s="3" t="s">
        <v>37</v>
      </c>
    </row>
    <row r="1476" spans="1:30" ht="14">
      <c r="A1476" s="26"/>
      <c r="B1476" s="5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 t="s">
        <v>38</v>
      </c>
      <c r="M1476" s="28">
        <v>25.3</v>
      </c>
      <c r="N1476" s="28">
        <v>4</v>
      </c>
      <c r="O1476" s="28">
        <v>6</v>
      </c>
      <c r="P1476" s="28">
        <v>0</v>
      </c>
      <c r="Q1476" s="28">
        <v>0</v>
      </c>
      <c r="R1476" s="28">
        <v>0</v>
      </c>
      <c r="S1476" s="28"/>
      <c r="Z1476" s="26"/>
      <c r="AA1476" s="23"/>
      <c r="AB1476" s="3" t="str">
        <f t="shared" si="11"/>
        <v>___</v>
      </c>
      <c r="AC1476" s="3" t="str">
        <f t="shared" si="10"/>
        <v>____</v>
      </c>
    </row>
    <row r="1477" spans="1:30" ht="14">
      <c r="A1477" s="29"/>
      <c r="B1477" s="30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 t="s">
        <v>39</v>
      </c>
      <c r="M1477" s="31">
        <v>19.8</v>
      </c>
      <c r="N1477" s="31">
        <v>0</v>
      </c>
      <c r="O1477" s="31">
        <v>4</v>
      </c>
      <c r="P1477" s="31">
        <v>2</v>
      </c>
      <c r="Q1477" s="31">
        <v>2</v>
      </c>
      <c r="R1477" s="31">
        <v>0</v>
      </c>
      <c r="S1477" s="28"/>
      <c r="Z1477" s="29"/>
      <c r="AA1477" s="23"/>
      <c r="AB1477" s="3" t="str">
        <f t="shared" si="11"/>
        <v>___</v>
      </c>
      <c r="AC1477" s="3" t="str">
        <f t="shared" si="10"/>
        <v>____</v>
      </c>
    </row>
    <row r="1478" spans="1:30" ht="14">
      <c r="A1478" s="28" t="s">
        <v>193</v>
      </c>
      <c r="B1478" s="5" t="s">
        <v>194</v>
      </c>
      <c r="C1478" s="28">
        <v>31</v>
      </c>
      <c r="D1478" s="26" t="s">
        <v>163</v>
      </c>
      <c r="E1478" s="26" t="s">
        <v>34</v>
      </c>
      <c r="F1478" s="26" t="s">
        <v>196</v>
      </c>
      <c r="G1478" s="26" t="s">
        <v>40</v>
      </c>
      <c r="H1478" s="28">
        <v>1</v>
      </c>
      <c r="I1478" s="28">
        <v>14</v>
      </c>
      <c r="J1478" s="28">
        <v>16.600000000000001</v>
      </c>
      <c r="K1478" s="28">
        <v>5</v>
      </c>
      <c r="L1478" s="26" t="s">
        <v>36</v>
      </c>
      <c r="M1478" s="28">
        <v>51.2</v>
      </c>
      <c r="N1478" s="28">
        <v>6</v>
      </c>
      <c r="O1478" s="28">
        <v>7</v>
      </c>
      <c r="P1478" s="28">
        <v>0</v>
      </c>
      <c r="Q1478" s="28">
        <v>0</v>
      </c>
      <c r="R1478" s="28">
        <v>0</v>
      </c>
      <c r="S1478" s="28"/>
      <c r="Z1478" s="26"/>
      <c r="AA1478" s="23"/>
      <c r="AB1478" s="3" t="str">
        <f t="shared" si="11"/>
        <v>ANO_352_31_V1-C2_vm</v>
      </c>
      <c r="AC1478" s="3" t="str">
        <f t="shared" si="10"/>
        <v>ANO_352_31_V1-C2_vm_1</v>
      </c>
      <c r="AD1478" s="3" t="s">
        <v>37</v>
      </c>
    </row>
    <row r="1479" spans="1:30" ht="14">
      <c r="A1479" s="26"/>
      <c r="B1479" s="5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 t="s">
        <v>38</v>
      </c>
      <c r="M1479" s="28">
        <v>48.4</v>
      </c>
      <c r="N1479" s="28">
        <v>0</v>
      </c>
      <c r="O1479" s="28">
        <v>2</v>
      </c>
      <c r="P1479" s="28">
        <v>5</v>
      </c>
      <c r="Q1479" s="28">
        <v>7</v>
      </c>
      <c r="R1479" s="28">
        <v>0</v>
      </c>
      <c r="S1479" s="28"/>
      <c r="Z1479" s="26"/>
      <c r="AA1479" s="23"/>
      <c r="AB1479" s="3" t="str">
        <f t="shared" si="11"/>
        <v>___</v>
      </c>
      <c r="AC1479" s="3" t="str">
        <f t="shared" si="10"/>
        <v>____</v>
      </c>
    </row>
    <row r="1480" spans="1:30" ht="14">
      <c r="A1480" s="29"/>
      <c r="B1480" s="30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 t="s">
        <v>39</v>
      </c>
      <c r="M1480" s="31">
        <v>36</v>
      </c>
      <c r="N1480" s="31">
        <v>0</v>
      </c>
      <c r="O1480" s="31">
        <v>2</v>
      </c>
      <c r="P1480" s="31">
        <v>2</v>
      </c>
      <c r="Q1480" s="31">
        <v>2</v>
      </c>
      <c r="R1480" s="31">
        <v>0</v>
      </c>
      <c r="S1480" s="28"/>
      <c r="Z1480" s="29"/>
      <c r="AA1480" s="23"/>
      <c r="AB1480" s="3" t="str">
        <f t="shared" si="11"/>
        <v>___</v>
      </c>
      <c r="AC1480" s="3" t="str">
        <f t="shared" si="10"/>
        <v>____</v>
      </c>
    </row>
    <row r="1481" spans="1:30" ht="14">
      <c r="A1481" s="28" t="s">
        <v>193</v>
      </c>
      <c r="B1481" s="5" t="s">
        <v>194</v>
      </c>
      <c r="C1481" s="28">
        <v>31</v>
      </c>
      <c r="D1481" s="26" t="s">
        <v>163</v>
      </c>
      <c r="E1481" s="26" t="s">
        <v>34</v>
      </c>
      <c r="F1481" s="26" t="s">
        <v>196</v>
      </c>
      <c r="G1481" s="26" t="s">
        <v>40</v>
      </c>
      <c r="H1481" s="28">
        <v>2</v>
      </c>
      <c r="I1481" s="28">
        <v>18</v>
      </c>
      <c r="J1481" s="28">
        <v>20.6</v>
      </c>
      <c r="K1481" s="28">
        <v>4</v>
      </c>
      <c r="L1481" s="26" t="s">
        <v>36</v>
      </c>
      <c r="M1481" s="28">
        <v>70.2</v>
      </c>
      <c r="N1481" s="28">
        <v>8</v>
      </c>
      <c r="O1481" s="28">
        <v>10</v>
      </c>
      <c r="P1481" s="28">
        <v>0</v>
      </c>
      <c r="Q1481" s="28">
        <v>0</v>
      </c>
      <c r="R1481" s="28">
        <v>0</v>
      </c>
      <c r="S1481" s="28"/>
      <c r="Z1481" s="26"/>
      <c r="AA1481" s="23"/>
      <c r="AB1481" s="3" t="str">
        <f t="shared" si="11"/>
        <v>ANO_352_31_V1-C2_vm</v>
      </c>
      <c r="AC1481" s="3" t="str">
        <f t="shared" si="10"/>
        <v>ANO_352_31_V1-C2_vm_2</v>
      </c>
      <c r="AD1481" s="3" t="s">
        <v>37</v>
      </c>
    </row>
    <row r="1482" spans="1:30" ht="14">
      <c r="A1482" s="26"/>
      <c r="B1482" s="5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 t="s">
        <v>38</v>
      </c>
      <c r="M1482" s="28">
        <v>43.6</v>
      </c>
      <c r="N1482" s="28">
        <v>0</v>
      </c>
      <c r="O1482" s="28">
        <v>4</v>
      </c>
      <c r="P1482" s="28">
        <v>4</v>
      </c>
      <c r="Q1482" s="28">
        <v>4</v>
      </c>
      <c r="R1482" s="28">
        <v>0</v>
      </c>
      <c r="S1482" s="28"/>
      <c r="Z1482" s="26"/>
      <c r="AA1482" s="23"/>
      <c r="AB1482" s="3" t="str">
        <f t="shared" si="11"/>
        <v>___</v>
      </c>
      <c r="AC1482" s="3" t="str">
        <f t="shared" si="10"/>
        <v>____</v>
      </c>
    </row>
    <row r="1483" spans="1:30" ht="14">
      <c r="A1483" s="29"/>
      <c r="B1483" s="30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 t="s">
        <v>39</v>
      </c>
      <c r="M1483" s="31">
        <v>36.6</v>
      </c>
      <c r="N1483" s="31">
        <v>0</v>
      </c>
      <c r="O1483" s="31">
        <v>4</v>
      </c>
      <c r="P1483" s="31">
        <v>0</v>
      </c>
      <c r="Q1483" s="31">
        <v>0</v>
      </c>
      <c r="R1483" s="31">
        <v>0</v>
      </c>
      <c r="S1483" s="28"/>
      <c r="Z1483" s="29"/>
      <c r="AA1483" s="23"/>
      <c r="AB1483" s="3" t="str">
        <f t="shared" si="11"/>
        <v>___</v>
      </c>
      <c r="AC1483" s="3" t="str">
        <f t="shared" si="10"/>
        <v>____</v>
      </c>
    </row>
    <row r="1484" spans="1:30" ht="14">
      <c r="A1484" s="28" t="s">
        <v>193</v>
      </c>
      <c r="B1484" s="5" t="s">
        <v>194</v>
      </c>
      <c r="C1484" s="28">
        <v>31</v>
      </c>
      <c r="D1484" s="26" t="s">
        <v>163</v>
      </c>
      <c r="E1484" s="26" t="s">
        <v>34</v>
      </c>
      <c r="F1484" s="26" t="s">
        <v>196</v>
      </c>
      <c r="G1484" s="26" t="s">
        <v>40</v>
      </c>
      <c r="H1484" s="28">
        <v>3</v>
      </c>
      <c r="I1484" s="28">
        <v>15</v>
      </c>
      <c r="J1484" s="28">
        <v>17.7</v>
      </c>
      <c r="K1484" s="28">
        <v>5</v>
      </c>
      <c r="L1484" s="26" t="s">
        <v>36</v>
      </c>
      <c r="M1484" s="28">
        <v>31.3</v>
      </c>
      <c r="N1484" s="28">
        <v>0</v>
      </c>
      <c r="O1484" s="28">
        <v>2</v>
      </c>
      <c r="P1484" s="28">
        <v>2</v>
      </c>
      <c r="Q1484" s="28">
        <v>6</v>
      </c>
      <c r="R1484" s="28">
        <v>0</v>
      </c>
      <c r="S1484" s="28"/>
      <c r="Z1484" s="26" t="s">
        <v>166</v>
      </c>
      <c r="AA1484" s="23"/>
      <c r="AB1484" s="3" t="str">
        <f t="shared" si="11"/>
        <v>ANO_352_31_V1-C2_vm</v>
      </c>
      <c r="AC1484" s="3" t="str">
        <f t="shared" si="10"/>
        <v>ANO_352_31_V1-C2_vm_3</v>
      </c>
      <c r="AD1484" s="3" t="s">
        <v>37</v>
      </c>
    </row>
    <row r="1485" spans="1:30" ht="14">
      <c r="A1485" s="26"/>
      <c r="B1485" s="5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 t="s">
        <v>38</v>
      </c>
      <c r="M1485" s="28">
        <v>41.1</v>
      </c>
      <c r="N1485" s="28">
        <v>1</v>
      </c>
      <c r="O1485" s="28">
        <v>2</v>
      </c>
      <c r="P1485" s="28">
        <v>1</v>
      </c>
      <c r="Q1485" s="28">
        <v>1</v>
      </c>
      <c r="R1485" s="28">
        <v>0</v>
      </c>
      <c r="S1485" s="28"/>
      <c r="Z1485" s="26" t="s">
        <v>197</v>
      </c>
      <c r="AA1485" s="23"/>
      <c r="AB1485" s="3" t="str">
        <f t="shared" si="11"/>
        <v>___</v>
      </c>
      <c r="AC1485" s="3" t="str">
        <f t="shared" si="10"/>
        <v>____</v>
      </c>
    </row>
    <row r="1486" spans="1:30" ht="14">
      <c r="A1486" s="29"/>
      <c r="B1486" s="30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 t="s">
        <v>39</v>
      </c>
      <c r="M1486" s="31">
        <v>29.3</v>
      </c>
      <c r="N1486" s="31">
        <v>0</v>
      </c>
      <c r="O1486" s="31">
        <v>2</v>
      </c>
      <c r="P1486" s="31">
        <v>2</v>
      </c>
      <c r="Q1486" s="31">
        <v>7</v>
      </c>
      <c r="R1486" s="31">
        <v>0</v>
      </c>
      <c r="S1486" s="28"/>
      <c r="Z1486" s="29"/>
      <c r="AA1486" s="23"/>
      <c r="AB1486" s="3" t="str">
        <f t="shared" si="11"/>
        <v>___</v>
      </c>
      <c r="AC1486" s="3" t="str">
        <f t="shared" si="10"/>
        <v>____</v>
      </c>
    </row>
    <row r="1487" spans="1:30" ht="14">
      <c r="A1487" s="28" t="s">
        <v>193</v>
      </c>
      <c r="B1487" s="5" t="s">
        <v>194</v>
      </c>
      <c r="C1487" s="28">
        <v>31</v>
      </c>
      <c r="D1487" s="26" t="s">
        <v>163</v>
      </c>
      <c r="E1487" s="26" t="s">
        <v>34</v>
      </c>
      <c r="F1487" s="26" t="s">
        <v>196</v>
      </c>
      <c r="G1487" s="26" t="s">
        <v>35</v>
      </c>
      <c r="H1487" s="28">
        <v>1</v>
      </c>
      <c r="I1487" s="28">
        <v>12</v>
      </c>
      <c r="J1487" s="28">
        <v>12.5</v>
      </c>
      <c r="K1487" s="28">
        <v>6</v>
      </c>
      <c r="L1487" s="26" t="s">
        <v>36</v>
      </c>
      <c r="M1487" s="28">
        <v>23.8</v>
      </c>
      <c r="N1487" s="28">
        <v>10</v>
      </c>
      <c r="O1487" s="28">
        <v>11</v>
      </c>
      <c r="P1487" s="28">
        <v>0</v>
      </c>
      <c r="Q1487" s="28">
        <v>0</v>
      </c>
      <c r="R1487" s="28">
        <v>0</v>
      </c>
      <c r="S1487" s="28"/>
      <c r="Z1487" s="26"/>
      <c r="AA1487" s="23"/>
      <c r="AB1487" s="3" t="str">
        <f t="shared" si="11"/>
        <v>ANO_352_31_V1-C2_vv</v>
      </c>
      <c r="AC1487" s="3" t="str">
        <f t="shared" si="10"/>
        <v>ANO_352_31_V1-C2_vv_1</v>
      </c>
      <c r="AD1487" s="3" t="s">
        <v>37</v>
      </c>
    </row>
    <row r="1488" spans="1:30" ht="14">
      <c r="A1488" s="26"/>
      <c r="B1488" s="5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 t="s">
        <v>38</v>
      </c>
      <c r="M1488" s="28">
        <v>20.3</v>
      </c>
      <c r="N1488" s="28">
        <v>3</v>
      </c>
      <c r="O1488" s="28">
        <v>3</v>
      </c>
      <c r="P1488" s="28">
        <v>0</v>
      </c>
      <c r="Q1488" s="28">
        <v>0</v>
      </c>
      <c r="R1488" s="28">
        <v>0</v>
      </c>
      <c r="S1488" s="28"/>
      <c r="Z1488" s="26"/>
      <c r="AA1488" s="23"/>
      <c r="AB1488" s="3" t="str">
        <f t="shared" si="11"/>
        <v>___</v>
      </c>
      <c r="AC1488" s="3" t="str">
        <f t="shared" si="10"/>
        <v>____</v>
      </c>
    </row>
    <row r="1489" spans="1:30" ht="14">
      <c r="A1489" s="29"/>
      <c r="B1489" s="30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 t="s">
        <v>39</v>
      </c>
      <c r="M1489" s="31">
        <v>19.600000000000001</v>
      </c>
      <c r="N1489" s="31">
        <v>0</v>
      </c>
      <c r="O1489" s="31">
        <v>2</v>
      </c>
      <c r="P1489" s="31">
        <v>0</v>
      </c>
      <c r="Q1489" s="31">
        <v>0</v>
      </c>
      <c r="R1489" s="31">
        <v>0</v>
      </c>
      <c r="S1489" s="28"/>
      <c r="Z1489" s="29"/>
      <c r="AA1489" s="23"/>
      <c r="AB1489" s="3" t="str">
        <f t="shared" si="11"/>
        <v>___</v>
      </c>
      <c r="AC1489" s="3" t="str">
        <f t="shared" si="10"/>
        <v>____</v>
      </c>
    </row>
    <row r="1490" spans="1:30" ht="14">
      <c r="A1490" s="28" t="s">
        <v>193</v>
      </c>
      <c r="B1490" s="5" t="s">
        <v>194</v>
      </c>
      <c r="C1490" s="28">
        <v>31</v>
      </c>
      <c r="D1490" s="26" t="s">
        <v>163</v>
      </c>
      <c r="E1490" s="26" t="s">
        <v>34</v>
      </c>
      <c r="F1490" s="26" t="s">
        <v>196</v>
      </c>
      <c r="G1490" s="26" t="s">
        <v>35</v>
      </c>
      <c r="H1490" s="28">
        <v>2</v>
      </c>
      <c r="I1490" s="28">
        <v>7</v>
      </c>
      <c r="J1490" s="28">
        <v>7.5</v>
      </c>
      <c r="K1490" s="28">
        <v>4</v>
      </c>
      <c r="L1490" s="26" t="s">
        <v>36</v>
      </c>
      <c r="M1490" s="28">
        <v>16.8</v>
      </c>
      <c r="N1490" s="28">
        <v>9</v>
      </c>
      <c r="O1490" s="28">
        <v>9</v>
      </c>
      <c r="P1490" s="28">
        <v>0</v>
      </c>
      <c r="Q1490" s="28">
        <v>0</v>
      </c>
      <c r="R1490" s="28">
        <v>0</v>
      </c>
      <c r="S1490" s="28"/>
      <c r="Z1490" s="26"/>
      <c r="AA1490" s="23"/>
      <c r="AB1490" s="3" t="str">
        <f t="shared" si="11"/>
        <v>ANO_352_31_V1-C2_vv</v>
      </c>
      <c r="AC1490" s="3" t="str">
        <f t="shared" si="10"/>
        <v>ANO_352_31_V1-C2_vv_2</v>
      </c>
      <c r="AD1490" s="3" t="s">
        <v>37</v>
      </c>
    </row>
    <row r="1491" spans="1:30" ht="14">
      <c r="A1491" s="26"/>
      <c r="B1491" s="5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 t="s">
        <v>38</v>
      </c>
      <c r="M1491" s="28">
        <v>24.6</v>
      </c>
      <c r="N1491" s="28">
        <v>2</v>
      </c>
      <c r="O1491" s="28">
        <v>4</v>
      </c>
      <c r="P1491" s="28">
        <v>1</v>
      </c>
      <c r="Q1491" s="28">
        <v>1</v>
      </c>
      <c r="R1491" s="28">
        <v>0</v>
      </c>
      <c r="S1491" s="28"/>
      <c r="Z1491" s="26"/>
      <c r="AA1491" s="23"/>
      <c r="AB1491" s="3" t="str">
        <f t="shared" si="11"/>
        <v>___</v>
      </c>
      <c r="AC1491" s="3" t="str">
        <f t="shared" si="10"/>
        <v>____</v>
      </c>
    </row>
    <row r="1492" spans="1:30" ht="14">
      <c r="A1492" s="29"/>
      <c r="B1492" s="30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 t="s">
        <v>39</v>
      </c>
      <c r="M1492" s="31">
        <v>16.8</v>
      </c>
      <c r="N1492" s="31">
        <v>1</v>
      </c>
      <c r="O1492" s="31">
        <v>2</v>
      </c>
      <c r="P1492" s="31">
        <v>0</v>
      </c>
      <c r="Q1492" s="31">
        <v>0</v>
      </c>
      <c r="R1492" s="31">
        <v>0</v>
      </c>
      <c r="S1492" s="28"/>
      <c r="Z1492" s="29"/>
      <c r="AA1492" s="23"/>
      <c r="AB1492" s="3" t="str">
        <f t="shared" si="11"/>
        <v>___</v>
      </c>
      <c r="AC1492" s="3" t="str">
        <f t="shared" si="10"/>
        <v>____</v>
      </c>
    </row>
    <row r="1493" spans="1:30" ht="14">
      <c r="A1493" s="28" t="s">
        <v>193</v>
      </c>
      <c r="B1493" s="5" t="s">
        <v>194</v>
      </c>
      <c r="C1493" s="28">
        <v>31</v>
      </c>
      <c r="D1493" s="26" t="s">
        <v>163</v>
      </c>
      <c r="E1493" s="26" t="s">
        <v>34</v>
      </c>
      <c r="F1493" s="26" t="s">
        <v>196</v>
      </c>
      <c r="G1493" s="26" t="s">
        <v>35</v>
      </c>
      <c r="H1493" s="28">
        <v>3</v>
      </c>
      <c r="I1493" s="28">
        <v>4</v>
      </c>
      <c r="J1493" s="28">
        <v>7.3</v>
      </c>
      <c r="K1493" s="28">
        <v>5</v>
      </c>
      <c r="L1493" s="26" t="s">
        <v>36</v>
      </c>
      <c r="M1493" s="28">
        <v>20</v>
      </c>
      <c r="N1493" s="28">
        <v>7</v>
      </c>
      <c r="O1493" s="28">
        <v>7</v>
      </c>
      <c r="P1493" s="28">
        <v>0</v>
      </c>
      <c r="Q1493" s="28">
        <v>0</v>
      </c>
      <c r="R1493" s="28">
        <v>0</v>
      </c>
      <c r="S1493" s="28"/>
      <c r="Z1493" s="26"/>
      <c r="AA1493" s="23"/>
      <c r="AB1493" s="3" t="str">
        <f t="shared" si="11"/>
        <v>ANO_352_31_V1-C2_vv</v>
      </c>
      <c r="AC1493" s="3" t="str">
        <f t="shared" si="10"/>
        <v>ANO_352_31_V1-C2_vv_3</v>
      </c>
      <c r="AD1493" s="3" t="s">
        <v>37</v>
      </c>
    </row>
    <row r="1494" spans="1:30" ht="14">
      <c r="A1494" s="26"/>
      <c r="B1494" s="5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 t="s">
        <v>38</v>
      </c>
      <c r="M1494" s="28">
        <v>16.600000000000001</v>
      </c>
      <c r="N1494" s="28">
        <v>8</v>
      </c>
      <c r="O1494" s="28">
        <v>8</v>
      </c>
      <c r="P1494" s="28">
        <v>0</v>
      </c>
      <c r="Q1494" s="28">
        <v>0</v>
      </c>
      <c r="R1494" s="28">
        <v>0</v>
      </c>
      <c r="S1494" s="28"/>
      <c r="Z1494" s="26"/>
      <c r="AA1494" s="23"/>
      <c r="AB1494" s="3" t="str">
        <f t="shared" si="11"/>
        <v>___</v>
      </c>
      <c r="AC1494" s="3" t="str">
        <f t="shared" si="10"/>
        <v>____</v>
      </c>
    </row>
    <row r="1495" spans="1:30" ht="14">
      <c r="A1495" s="29"/>
      <c r="B1495" s="30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 t="s">
        <v>39</v>
      </c>
      <c r="M1495" s="31">
        <v>15.2</v>
      </c>
      <c r="N1495" s="31">
        <v>1</v>
      </c>
      <c r="O1495" s="31">
        <v>4</v>
      </c>
      <c r="P1495" s="31">
        <v>0</v>
      </c>
      <c r="Q1495" s="31">
        <v>0</v>
      </c>
      <c r="R1495" s="31">
        <v>0</v>
      </c>
      <c r="S1495" s="28"/>
      <c r="Z1495" s="29"/>
      <c r="AA1495" s="23"/>
      <c r="AB1495" s="3" t="str">
        <f t="shared" si="11"/>
        <v>___</v>
      </c>
      <c r="AC1495" s="3" t="str">
        <f t="shared" si="10"/>
        <v>____</v>
      </c>
    </row>
    <row r="1496" spans="1:30" ht="14">
      <c r="A1496" s="28" t="s">
        <v>198</v>
      </c>
      <c r="B1496" s="5" t="s">
        <v>199</v>
      </c>
      <c r="C1496" s="28">
        <v>11</v>
      </c>
      <c r="D1496" s="26" t="s">
        <v>163</v>
      </c>
      <c r="E1496" s="26" t="s">
        <v>180</v>
      </c>
      <c r="F1496" s="26" t="s">
        <v>136</v>
      </c>
      <c r="G1496" s="26" t="s">
        <v>40</v>
      </c>
      <c r="H1496" s="28">
        <v>1</v>
      </c>
      <c r="I1496" s="28">
        <v>28</v>
      </c>
      <c r="J1496" s="28">
        <v>32.4</v>
      </c>
      <c r="K1496" s="28">
        <v>7</v>
      </c>
      <c r="L1496" s="26" t="s">
        <v>36</v>
      </c>
      <c r="M1496" s="28">
        <v>65.5</v>
      </c>
      <c r="N1496" s="28">
        <v>1</v>
      </c>
      <c r="O1496" s="28">
        <v>6</v>
      </c>
      <c r="P1496" s="28">
        <v>4</v>
      </c>
      <c r="Q1496" s="28">
        <v>5</v>
      </c>
      <c r="R1496" s="28">
        <v>0</v>
      </c>
      <c r="S1496" s="28"/>
      <c r="Z1496" s="26" t="s">
        <v>166</v>
      </c>
      <c r="AA1496" s="23"/>
      <c r="AB1496" s="3" t="str">
        <f t="shared" si="11"/>
        <v>ANO_744_11_T4-C1_vm</v>
      </c>
      <c r="AC1496" s="3" t="str">
        <f t="shared" si="10"/>
        <v>ANO_744_11_T4-C1_vm_1</v>
      </c>
      <c r="AD1496" s="3" t="s">
        <v>37</v>
      </c>
    </row>
    <row r="1497" spans="1:30" ht="14">
      <c r="A1497" s="26"/>
      <c r="B1497" s="5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 t="s">
        <v>38</v>
      </c>
      <c r="M1497" s="28">
        <v>69.8</v>
      </c>
      <c r="N1497" s="28">
        <v>0</v>
      </c>
      <c r="O1497" s="28">
        <v>3</v>
      </c>
      <c r="P1497" s="28">
        <v>2</v>
      </c>
      <c r="Q1497" s="28">
        <v>7</v>
      </c>
      <c r="R1497" s="28">
        <v>0</v>
      </c>
      <c r="S1497" s="28"/>
      <c r="Z1497" s="26"/>
      <c r="AA1497" s="23"/>
      <c r="AB1497" s="3" t="str">
        <f t="shared" si="11"/>
        <v>___</v>
      </c>
      <c r="AC1497" s="3" t="str">
        <f t="shared" si="10"/>
        <v>____</v>
      </c>
    </row>
    <row r="1498" spans="1:30" ht="14">
      <c r="A1498" s="29"/>
      <c r="B1498" s="30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 t="s">
        <v>39</v>
      </c>
      <c r="M1498" s="31">
        <v>46.6</v>
      </c>
      <c r="N1498" s="31">
        <v>0</v>
      </c>
      <c r="O1498" s="31">
        <v>3</v>
      </c>
      <c r="P1498" s="31">
        <v>0</v>
      </c>
      <c r="Q1498" s="31">
        <v>0</v>
      </c>
      <c r="R1498" s="31">
        <v>0</v>
      </c>
      <c r="S1498" s="28"/>
      <c r="Z1498" s="29"/>
      <c r="AA1498" s="23"/>
      <c r="AB1498" s="3" t="str">
        <f t="shared" si="11"/>
        <v>___</v>
      </c>
      <c r="AC1498" s="3" t="str">
        <f t="shared" si="10"/>
        <v>____</v>
      </c>
    </row>
    <row r="1499" spans="1:30" ht="14">
      <c r="A1499" s="28" t="s">
        <v>198</v>
      </c>
      <c r="B1499" s="5" t="s">
        <v>199</v>
      </c>
      <c r="C1499" s="28">
        <v>11</v>
      </c>
      <c r="D1499" s="26" t="s">
        <v>163</v>
      </c>
      <c r="E1499" s="26" t="s">
        <v>180</v>
      </c>
      <c r="F1499" s="26" t="s">
        <v>136</v>
      </c>
      <c r="G1499" s="26" t="s">
        <v>40</v>
      </c>
      <c r="H1499" s="28">
        <v>2</v>
      </c>
      <c r="I1499" s="28">
        <v>21</v>
      </c>
      <c r="J1499" s="28">
        <v>21.8</v>
      </c>
      <c r="K1499" s="28">
        <v>6</v>
      </c>
      <c r="L1499" s="26" t="s">
        <v>36</v>
      </c>
      <c r="M1499" s="28">
        <v>37.200000000000003</v>
      </c>
      <c r="N1499" s="28">
        <v>3</v>
      </c>
      <c r="O1499" s="28">
        <v>4</v>
      </c>
      <c r="P1499" s="28">
        <v>2</v>
      </c>
      <c r="Q1499" s="28">
        <v>2</v>
      </c>
      <c r="R1499" s="28">
        <v>0</v>
      </c>
      <c r="S1499" s="28"/>
      <c r="Z1499" s="26" t="s">
        <v>166</v>
      </c>
      <c r="AA1499" s="23"/>
      <c r="AB1499" s="3" t="str">
        <f t="shared" si="11"/>
        <v>ANO_744_11_T4-C1_vm</v>
      </c>
      <c r="AC1499" s="3" t="str">
        <f t="shared" si="10"/>
        <v>ANO_744_11_T4-C1_vm_2</v>
      </c>
      <c r="AD1499" s="3" t="s">
        <v>37</v>
      </c>
    </row>
    <row r="1500" spans="1:30" ht="14">
      <c r="A1500" s="26"/>
      <c r="B1500" s="5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 t="s">
        <v>38</v>
      </c>
      <c r="M1500" s="28">
        <v>39.700000000000003</v>
      </c>
      <c r="N1500" s="28">
        <v>0</v>
      </c>
      <c r="O1500" s="28">
        <v>3</v>
      </c>
      <c r="P1500" s="28">
        <v>0</v>
      </c>
      <c r="Q1500" s="28">
        <v>0</v>
      </c>
      <c r="R1500" s="28">
        <v>0</v>
      </c>
      <c r="S1500" s="28"/>
      <c r="Z1500" s="26"/>
      <c r="AA1500" s="23"/>
      <c r="AB1500" s="3" t="str">
        <f t="shared" si="11"/>
        <v>___</v>
      </c>
      <c r="AC1500" s="3" t="str">
        <f t="shared" si="10"/>
        <v>____</v>
      </c>
    </row>
    <row r="1501" spans="1:30" ht="14">
      <c r="A1501" s="29"/>
      <c r="B1501" s="30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 t="s">
        <v>39</v>
      </c>
      <c r="M1501" s="31">
        <v>50.6</v>
      </c>
      <c r="N1501" s="31">
        <v>0</v>
      </c>
      <c r="O1501" s="31">
        <v>4</v>
      </c>
      <c r="P1501" s="31">
        <v>2</v>
      </c>
      <c r="Q1501" s="31">
        <v>6</v>
      </c>
      <c r="R1501" s="31">
        <v>0</v>
      </c>
      <c r="S1501" s="28"/>
      <c r="Z1501" s="29"/>
      <c r="AA1501" s="23"/>
      <c r="AB1501" s="3" t="str">
        <f t="shared" si="11"/>
        <v>___</v>
      </c>
      <c r="AC1501" s="3" t="str">
        <f t="shared" si="10"/>
        <v>____</v>
      </c>
    </row>
    <row r="1502" spans="1:30" ht="14">
      <c r="A1502" s="28" t="s">
        <v>198</v>
      </c>
      <c r="B1502" s="5" t="s">
        <v>199</v>
      </c>
      <c r="C1502" s="28">
        <v>11</v>
      </c>
      <c r="D1502" s="26" t="s">
        <v>163</v>
      </c>
      <c r="E1502" s="26" t="s">
        <v>180</v>
      </c>
      <c r="F1502" s="26" t="s">
        <v>136</v>
      </c>
      <c r="G1502" s="26" t="s">
        <v>40</v>
      </c>
      <c r="H1502" s="28">
        <v>3</v>
      </c>
      <c r="I1502" s="28">
        <v>26</v>
      </c>
      <c r="J1502" s="28">
        <v>30.5</v>
      </c>
      <c r="K1502" s="28">
        <v>5</v>
      </c>
      <c r="L1502" s="26" t="s">
        <v>36</v>
      </c>
      <c r="M1502" s="28">
        <v>66</v>
      </c>
      <c r="N1502" s="28">
        <v>0</v>
      </c>
      <c r="O1502" s="28">
        <v>4</v>
      </c>
      <c r="P1502" s="28">
        <v>3</v>
      </c>
      <c r="Q1502" s="28">
        <v>3</v>
      </c>
      <c r="R1502" s="28">
        <v>0</v>
      </c>
      <c r="S1502" s="28"/>
      <c r="Z1502" s="26" t="s">
        <v>200</v>
      </c>
      <c r="AA1502" s="23"/>
      <c r="AB1502" s="3" t="str">
        <f t="shared" si="11"/>
        <v>ANO_744_11_T4-C1_vm</v>
      </c>
      <c r="AC1502" s="3" t="str">
        <f t="shared" si="10"/>
        <v>ANO_744_11_T4-C1_vm_3</v>
      </c>
      <c r="AD1502" s="3" t="s">
        <v>37</v>
      </c>
    </row>
    <row r="1503" spans="1:30" ht="14">
      <c r="A1503" s="26"/>
      <c r="B1503" s="5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 t="s">
        <v>38</v>
      </c>
      <c r="M1503" s="28">
        <v>44.9</v>
      </c>
      <c r="N1503" s="28">
        <v>0</v>
      </c>
      <c r="O1503" s="28">
        <v>2</v>
      </c>
      <c r="P1503" s="28">
        <v>3</v>
      </c>
      <c r="Q1503" s="28">
        <v>12</v>
      </c>
      <c r="R1503" s="28">
        <v>0</v>
      </c>
      <c r="S1503" s="28"/>
      <c r="Z1503" s="26" t="s">
        <v>166</v>
      </c>
      <c r="AA1503" s="23"/>
      <c r="AB1503" s="3" t="str">
        <f t="shared" si="11"/>
        <v>___</v>
      </c>
      <c r="AC1503" s="3" t="str">
        <f t="shared" si="10"/>
        <v>____</v>
      </c>
    </row>
    <row r="1504" spans="1:30" ht="14">
      <c r="A1504" s="29"/>
      <c r="B1504" s="30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 t="s">
        <v>39</v>
      </c>
      <c r="M1504" s="31">
        <v>55</v>
      </c>
      <c r="N1504" s="31">
        <v>0</v>
      </c>
      <c r="O1504" s="31">
        <v>4</v>
      </c>
      <c r="P1504" s="31">
        <v>1</v>
      </c>
      <c r="Q1504" s="31">
        <v>5</v>
      </c>
      <c r="R1504" s="31">
        <v>0</v>
      </c>
      <c r="S1504" s="28"/>
      <c r="Z1504" s="29"/>
      <c r="AA1504" s="23"/>
      <c r="AB1504" s="3" t="str">
        <f t="shared" si="11"/>
        <v>___</v>
      </c>
      <c r="AC1504" s="3" t="str">
        <f t="shared" si="10"/>
        <v>____</v>
      </c>
    </row>
    <row r="1505" spans="1:30" ht="14">
      <c r="A1505" s="28" t="s">
        <v>198</v>
      </c>
      <c r="B1505" s="5" t="s">
        <v>199</v>
      </c>
      <c r="C1505" s="28">
        <v>11</v>
      </c>
      <c r="D1505" s="26" t="s">
        <v>163</v>
      </c>
      <c r="E1505" s="26" t="s">
        <v>180</v>
      </c>
      <c r="F1505" s="26" t="s">
        <v>136</v>
      </c>
      <c r="G1505" s="26" t="s">
        <v>35</v>
      </c>
      <c r="H1505" s="28">
        <v>1</v>
      </c>
      <c r="I1505" s="28">
        <v>7</v>
      </c>
      <c r="J1505" s="28">
        <v>8</v>
      </c>
      <c r="K1505" s="28">
        <v>5</v>
      </c>
      <c r="L1505" s="26" t="s">
        <v>36</v>
      </c>
      <c r="M1505" s="28">
        <v>15.5</v>
      </c>
      <c r="N1505" s="28">
        <v>6</v>
      </c>
      <c r="O1505" s="28">
        <v>6</v>
      </c>
      <c r="P1505" s="28">
        <v>0</v>
      </c>
      <c r="Q1505" s="28">
        <v>0</v>
      </c>
      <c r="R1505" s="28">
        <v>0</v>
      </c>
      <c r="S1505" s="28"/>
      <c r="Z1505" s="26"/>
      <c r="AA1505" s="23"/>
      <c r="AB1505" s="3" t="str">
        <f t="shared" si="11"/>
        <v>ANO_744_11_T4-C1_vv</v>
      </c>
      <c r="AC1505" s="3" t="str">
        <f t="shared" si="10"/>
        <v>ANO_744_11_T4-C1_vv_1</v>
      </c>
      <c r="AD1505" s="3" t="s">
        <v>37</v>
      </c>
    </row>
    <row r="1506" spans="1:30" ht="14">
      <c r="A1506" s="26"/>
      <c r="B1506" s="5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 t="s">
        <v>38</v>
      </c>
      <c r="M1506" s="28">
        <v>16</v>
      </c>
      <c r="N1506" s="28">
        <v>2</v>
      </c>
      <c r="O1506" s="28">
        <v>2</v>
      </c>
      <c r="P1506" s="28">
        <v>0</v>
      </c>
      <c r="Q1506" s="28">
        <v>0</v>
      </c>
      <c r="R1506" s="28">
        <v>0</v>
      </c>
      <c r="S1506" s="28"/>
      <c r="Z1506" s="26"/>
      <c r="AA1506" s="23"/>
      <c r="AB1506" s="3" t="str">
        <f t="shared" si="11"/>
        <v>___</v>
      </c>
      <c r="AC1506" s="3" t="str">
        <f t="shared" si="10"/>
        <v>____</v>
      </c>
    </row>
    <row r="1507" spans="1:30" ht="14">
      <c r="A1507" s="29"/>
      <c r="B1507" s="30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 t="s">
        <v>39</v>
      </c>
      <c r="M1507" s="31">
        <v>7</v>
      </c>
      <c r="N1507" s="31">
        <v>1</v>
      </c>
      <c r="O1507" s="31">
        <v>2</v>
      </c>
      <c r="P1507" s="31">
        <v>0</v>
      </c>
      <c r="Q1507" s="31">
        <v>0</v>
      </c>
      <c r="R1507" s="31">
        <v>0</v>
      </c>
      <c r="S1507" s="28"/>
      <c r="Z1507" s="29"/>
      <c r="AA1507" s="23"/>
      <c r="AB1507" s="3" t="str">
        <f t="shared" si="11"/>
        <v>___</v>
      </c>
      <c r="AC1507" s="3" t="str">
        <f t="shared" si="10"/>
        <v>____</v>
      </c>
    </row>
    <row r="1508" spans="1:30" ht="14">
      <c r="A1508" s="28" t="s">
        <v>198</v>
      </c>
      <c r="B1508" s="5" t="s">
        <v>199</v>
      </c>
      <c r="C1508" s="28">
        <v>11</v>
      </c>
      <c r="D1508" s="26" t="s">
        <v>163</v>
      </c>
      <c r="E1508" s="26" t="s">
        <v>180</v>
      </c>
      <c r="F1508" s="26" t="s">
        <v>136</v>
      </c>
      <c r="G1508" s="26" t="s">
        <v>35</v>
      </c>
      <c r="H1508" s="28">
        <v>2</v>
      </c>
      <c r="I1508" s="28">
        <v>3.5</v>
      </c>
      <c r="J1508" s="28">
        <v>5.7</v>
      </c>
      <c r="K1508" s="28">
        <v>4</v>
      </c>
      <c r="L1508" s="26" t="s">
        <v>36</v>
      </c>
      <c r="M1508" s="28">
        <v>15.3</v>
      </c>
      <c r="N1508" s="28">
        <v>6</v>
      </c>
      <c r="O1508" s="28">
        <v>7</v>
      </c>
      <c r="P1508" s="28">
        <v>0</v>
      </c>
      <c r="Q1508" s="28">
        <v>0</v>
      </c>
      <c r="R1508" s="28">
        <v>0</v>
      </c>
      <c r="S1508" s="28"/>
      <c r="Z1508" s="26"/>
      <c r="AA1508" s="23"/>
      <c r="AB1508" s="3" t="str">
        <f t="shared" si="11"/>
        <v>ANO_744_11_T4-C1_vv</v>
      </c>
      <c r="AC1508" s="3" t="str">
        <f t="shared" si="10"/>
        <v>ANO_744_11_T4-C1_vv_2</v>
      </c>
      <c r="AD1508" s="3" t="s">
        <v>37</v>
      </c>
    </row>
    <row r="1509" spans="1:30" ht="14">
      <c r="A1509" s="26"/>
      <c r="B1509" s="5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 t="s">
        <v>38</v>
      </c>
      <c r="M1509" s="28">
        <v>13.3</v>
      </c>
      <c r="N1509" s="28">
        <v>1</v>
      </c>
      <c r="O1509" s="28">
        <v>2</v>
      </c>
      <c r="P1509" s="28">
        <v>0</v>
      </c>
      <c r="Q1509" s="28">
        <v>0</v>
      </c>
      <c r="R1509" s="28">
        <v>0</v>
      </c>
      <c r="S1509" s="28"/>
      <c r="Z1509" s="26"/>
      <c r="AA1509" s="23"/>
      <c r="AB1509" s="3" t="str">
        <f t="shared" si="11"/>
        <v>___</v>
      </c>
      <c r="AC1509" s="3" t="str">
        <f t="shared" si="10"/>
        <v>____</v>
      </c>
    </row>
    <row r="1510" spans="1:30" ht="14">
      <c r="A1510" s="29"/>
      <c r="B1510" s="30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 t="s">
        <v>39</v>
      </c>
      <c r="M1510" s="31">
        <v>11.2</v>
      </c>
      <c r="N1510" s="31">
        <v>0</v>
      </c>
      <c r="O1510" s="31">
        <v>2</v>
      </c>
      <c r="P1510" s="31">
        <v>0</v>
      </c>
      <c r="Q1510" s="31">
        <v>0</v>
      </c>
      <c r="R1510" s="31">
        <v>0</v>
      </c>
      <c r="S1510" s="28"/>
      <c r="Z1510" s="29"/>
      <c r="AA1510" s="23"/>
      <c r="AB1510" s="3" t="str">
        <f t="shared" si="11"/>
        <v>___</v>
      </c>
      <c r="AC1510" s="3" t="str">
        <f t="shared" si="10"/>
        <v>____</v>
      </c>
    </row>
    <row r="1511" spans="1:30" ht="14">
      <c r="A1511" s="28" t="s">
        <v>198</v>
      </c>
      <c r="B1511" s="5" t="s">
        <v>199</v>
      </c>
      <c r="C1511" s="28">
        <v>11</v>
      </c>
      <c r="D1511" s="26" t="s">
        <v>163</v>
      </c>
      <c r="E1511" s="26" t="s">
        <v>180</v>
      </c>
      <c r="F1511" s="26" t="s">
        <v>136</v>
      </c>
      <c r="G1511" s="26" t="s">
        <v>35</v>
      </c>
      <c r="H1511" s="28">
        <v>3</v>
      </c>
      <c r="I1511" s="28">
        <v>3</v>
      </c>
      <c r="J1511" s="28">
        <v>4.2</v>
      </c>
      <c r="K1511" s="28">
        <v>4</v>
      </c>
      <c r="L1511" s="26" t="s">
        <v>36</v>
      </c>
      <c r="M1511" s="28">
        <v>6.1</v>
      </c>
      <c r="N1511" s="28">
        <v>3</v>
      </c>
      <c r="O1511" s="28">
        <v>3</v>
      </c>
      <c r="P1511" s="28">
        <v>0</v>
      </c>
      <c r="Q1511" s="28">
        <v>0</v>
      </c>
      <c r="R1511" s="28">
        <v>0</v>
      </c>
      <c r="S1511" s="28"/>
      <c r="Z1511" s="26"/>
      <c r="AA1511" s="23"/>
      <c r="AB1511" s="3" t="str">
        <f t="shared" si="11"/>
        <v>ANO_744_11_T4-C1_vv</v>
      </c>
      <c r="AC1511" s="3" t="str">
        <f t="shared" si="10"/>
        <v>ANO_744_11_T4-C1_vv_3</v>
      </c>
      <c r="AD1511" s="3" t="s">
        <v>37</v>
      </c>
    </row>
    <row r="1512" spans="1:30" ht="14">
      <c r="A1512" s="26"/>
      <c r="B1512" s="5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 t="s">
        <v>38</v>
      </c>
      <c r="M1512" s="28">
        <v>11</v>
      </c>
      <c r="N1512" s="28">
        <v>5</v>
      </c>
      <c r="O1512" s="28">
        <v>5</v>
      </c>
      <c r="P1512" s="28">
        <v>0</v>
      </c>
      <c r="Q1512" s="28">
        <v>0</v>
      </c>
      <c r="R1512" s="28">
        <v>0</v>
      </c>
      <c r="S1512" s="28"/>
      <c r="Z1512" s="26"/>
      <c r="AA1512" s="23"/>
      <c r="AB1512" s="3" t="str">
        <f t="shared" si="11"/>
        <v>___</v>
      </c>
      <c r="AC1512" s="3" t="str">
        <f t="shared" si="10"/>
        <v>____</v>
      </c>
    </row>
    <row r="1513" spans="1:30" ht="14">
      <c r="A1513" s="29"/>
      <c r="B1513" s="30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 t="s">
        <v>39</v>
      </c>
      <c r="M1513" s="31">
        <v>10</v>
      </c>
      <c r="N1513" s="31">
        <v>0</v>
      </c>
      <c r="O1513" s="31">
        <v>2</v>
      </c>
      <c r="P1513" s="31">
        <v>0</v>
      </c>
      <c r="Q1513" s="31">
        <v>0</v>
      </c>
      <c r="R1513" s="31">
        <v>0</v>
      </c>
      <c r="S1513" s="28"/>
      <c r="Z1513" s="29"/>
      <c r="AA1513" s="23"/>
      <c r="AB1513" s="3" t="str">
        <f t="shared" si="11"/>
        <v>___</v>
      </c>
      <c r="AC1513" s="3" t="str">
        <f t="shared" si="10"/>
        <v>____</v>
      </c>
    </row>
    <row r="1514" spans="1:30" ht="14">
      <c r="A1514" s="28" t="s">
        <v>198</v>
      </c>
      <c r="B1514" s="5" t="s">
        <v>201</v>
      </c>
      <c r="C1514" s="28">
        <v>11</v>
      </c>
      <c r="D1514" s="26" t="s">
        <v>163</v>
      </c>
      <c r="E1514" s="26" t="s">
        <v>180</v>
      </c>
      <c r="F1514" s="26" t="s">
        <v>136</v>
      </c>
      <c r="G1514" s="26" t="s">
        <v>40</v>
      </c>
      <c r="H1514" s="28">
        <v>1</v>
      </c>
      <c r="I1514" s="28">
        <v>33.5</v>
      </c>
      <c r="J1514" s="28">
        <v>33.700000000000003</v>
      </c>
      <c r="K1514" s="28">
        <v>7</v>
      </c>
      <c r="L1514" s="26" t="s">
        <v>36</v>
      </c>
      <c r="M1514" s="28">
        <v>47.6</v>
      </c>
      <c r="N1514" s="28">
        <v>5</v>
      </c>
      <c r="O1514" s="28">
        <v>6</v>
      </c>
      <c r="P1514" s="28">
        <v>0</v>
      </c>
      <c r="Q1514" s="28">
        <v>0</v>
      </c>
      <c r="R1514" s="28">
        <v>0</v>
      </c>
      <c r="S1514" s="28"/>
      <c r="Z1514" s="26" t="s">
        <v>166</v>
      </c>
      <c r="AA1514" s="23"/>
      <c r="AB1514" s="3" t="str">
        <f t="shared" si="11"/>
        <v>ANO_171_11_T4-C1_vm</v>
      </c>
      <c r="AC1514" s="3" t="str">
        <f t="shared" si="10"/>
        <v>ANO_171_11_T4-C1_vm_1</v>
      </c>
      <c r="AD1514" s="3" t="s">
        <v>37</v>
      </c>
    </row>
    <row r="1515" spans="1:30" ht="14">
      <c r="A1515" s="26"/>
      <c r="B1515" s="5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 t="s">
        <v>38</v>
      </c>
      <c r="M1515" s="28">
        <v>62.3</v>
      </c>
      <c r="N1515" s="28">
        <v>0</v>
      </c>
      <c r="O1515" s="28">
        <v>4</v>
      </c>
      <c r="P1515" s="28">
        <v>5</v>
      </c>
      <c r="Q1515" s="28">
        <v>5</v>
      </c>
      <c r="R1515" s="28">
        <v>0</v>
      </c>
      <c r="S1515" s="28"/>
      <c r="Z1515" s="26"/>
      <c r="AA1515" s="23"/>
      <c r="AB1515" s="3" t="str">
        <f t="shared" si="11"/>
        <v>___</v>
      </c>
      <c r="AC1515" s="3" t="str">
        <f t="shared" si="10"/>
        <v>____</v>
      </c>
    </row>
    <row r="1516" spans="1:30" ht="14">
      <c r="A1516" s="29"/>
      <c r="B1516" s="30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 t="s">
        <v>39</v>
      </c>
      <c r="M1516" s="31">
        <v>61</v>
      </c>
      <c r="N1516" s="31">
        <v>0</v>
      </c>
      <c r="O1516" s="31">
        <v>4</v>
      </c>
      <c r="P1516" s="31">
        <v>1</v>
      </c>
      <c r="Q1516" s="31">
        <v>1</v>
      </c>
      <c r="R1516" s="31">
        <v>0</v>
      </c>
      <c r="S1516" s="28"/>
      <c r="Z1516" s="29"/>
      <c r="AA1516" s="23"/>
      <c r="AB1516" s="3" t="str">
        <f t="shared" si="11"/>
        <v>___</v>
      </c>
      <c r="AC1516" s="3" t="str">
        <f t="shared" si="10"/>
        <v>____</v>
      </c>
    </row>
    <row r="1517" spans="1:30" ht="14">
      <c r="A1517" s="28" t="s">
        <v>198</v>
      </c>
      <c r="B1517" s="5" t="s">
        <v>201</v>
      </c>
      <c r="C1517" s="28">
        <v>11</v>
      </c>
      <c r="D1517" s="26" t="s">
        <v>163</v>
      </c>
      <c r="E1517" s="26" t="s">
        <v>180</v>
      </c>
      <c r="F1517" s="26" t="s">
        <v>136</v>
      </c>
      <c r="G1517" s="26" t="s">
        <v>40</v>
      </c>
      <c r="H1517" s="28">
        <v>2</v>
      </c>
      <c r="I1517" s="28">
        <v>46</v>
      </c>
      <c r="J1517" s="28">
        <v>58.5</v>
      </c>
      <c r="K1517" s="28">
        <v>6</v>
      </c>
      <c r="L1517" s="26" t="s">
        <v>36</v>
      </c>
      <c r="M1517" s="28">
        <v>80.099999999999994</v>
      </c>
      <c r="N1517" s="28">
        <v>5</v>
      </c>
      <c r="O1517" s="28">
        <v>10</v>
      </c>
      <c r="P1517" s="28">
        <v>3</v>
      </c>
      <c r="Q1517" s="28">
        <v>6</v>
      </c>
      <c r="R1517" s="28">
        <v>0</v>
      </c>
      <c r="S1517" s="28"/>
      <c r="Z1517" s="26" t="s">
        <v>166</v>
      </c>
      <c r="AA1517" s="23"/>
      <c r="AB1517" s="3" t="str">
        <f t="shared" si="11"/>
        <v>ANO_171_11_T4-C1_vm</v>
      </c>
      <c r="AC1517" s="3" t="str">
        <f t="shared" si="10"/>
        <v>ANO_171_11_T4-C1_vm_2</v>
      </c>
      <c r="AD1517" s="3" t="s">
        <v>37</v>
      </c>
    </row>
    <row r="1518" spans="1:30" ht="14">
      <c r="A1518" s="26"/>
      <c r="B1518" s="5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 t="s">
        <v>38</v>
      </c>
      <c r="M1518" s="28">
        <v>61.4</v>
      </c>
      <c r="N1518" s="28">
        <v>0</v>
      </c>
      <c r="O1518" s="28">
        <v>4</v>
      </c>
      <c r="P1518" s="28">
        <v>2</v>
      </c>
      <c r="Q1518" s="28">
        <v>10</v>
      </c>
      <c r="R1518" s="28">
        <v>0</v>
      </c>
      <c r="S1518" s="28"/>
      <c r="Z1518" s="26"/>
      <c r="AA1518" s="23"/>
      <c r="AB1518" s="3" t="str">
        <f t="shared" si="11"/>
        <v>___</v>
      </c>
      <c r="AC1518" s="3" t="str">
        <f t="shared" si="10"/>
        <v>____</v>
      </c>
    </row>
    <row r="1519" spans="1:30" ht="14">
      <c r="A1519" s="29"/>
      <c r="B1519" s="30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 t="s">
        <v>39</v>
      </c>
      <c r="M1519" s="31">
        <v>38.6</v>
      </c>
      <c r="N1519" s="31">
        <v>0</v>
      </c>
      <c r="O1519" s="31">
        <v>3</v>
      </c>
      <c r="P1519" s="31">
        <v>1</v>
      </c>
      <c r="Q1519" s="31">
        <v>6</v>
      </c>
      <c r="R1519" s="31">
        <v>0</v>
      </c>
      <c r="S1519" s="28"/>
      <c r="Z1519" s="29"/>
      <c r="AA1519" s="23"/>
      <c r="AB1519" s="3" t="str">
        <f t="shared" si="11"/>
        <v>___</v>
      </c>
      <c r="AC1519" s="3" t="str">
        <f t="shared" si="10"/>
        <v>____</v>
      </c>
    </row>
    <row r="1520" spans="1:30" ht="14">
      <c r="A1520" s="28" t="s">
        <v>198</v>
      </c>
      <c r="B1520" s="5" t="s">
        <v>201</v>
      </c>
      <c r="C1520" s="28">
        <v>11</v>
      </c>
      <c r="D1520" s="26" t="s">
        <v>163</v>
      </c>
      <c r="E1520" s="26" t="s">
        <v>180</v>
      </c>
      <c r="F1520" s="26" t="s">
        <v>136</v>
      </c>
      <c r="G1520" s="26" t="s">
        <v>40</v>
      </c>
      <c r="H1520" s="28">
        <v>3</v>
      </c>
      <c r="I1520" s="28">
        <v>45</v>
      </c>
      <c r="J1520" s="28">
        <v>47</v>
      </c>
      <c r="K1520" s="28">
        <v>6</v>
      </c>
      <c r="L1520" s="26" t="s">
        <v>36</v>
      </c>
      <c r="M1520" s="28">
        <v>53.1</v>
      </c>
      <c r="N1520" s="28">
        <v>0</v>
      </c>
      <c r="O1520" s="28">
        <v>6</v>
      </c>
      <c r="P1520" s="28">
        <v>3</v>
      </c>
      <c r="Q1520" s="28">
        <v>3</v>
      </c>
      <c r="R1520" s="28">
        <v>0</v>
      </c>
      <c r="S1520" s="28"/>
      <c r="Z1520" s="26" t="s">
        <v>166</v>
      </c>
      <c r="AA1520" s="23"/>
      <c r="AB1520" s="3" t="str">
        <f t="shared" si="11"/>
        <v>ANO_171_11_T4-C1_vm</v>
      </c>
      <c r="AC1520" s="3" t="str">
        <f t="shared" si="10"/>
        <v>ANO_171_11_T4-C1_vm_3</v>
      </c>
    </row>
    <row r="1521" spans="1:30" ht="14">
      <c r="A1521" s="26"/>
      <c r="B1521" s="5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 t="s">
        <v>38</v>
      </c>
      <c r="M1521" s="28">
        <v>78.400000000000006</v>
      </c>
      <c r="N1521" s="28">
        <v>0</v>
      </c>
      <c r="O1521" s="28">
        <v>6</v>
      </c>
      <c r="P1521" s="28">
        <v>4</v>
      </c>
      <c r="Q1521" s="28">
        <v>10</v>
      </c>
      <c r="R1521" s="28">
        <v>0</v>
      </c>
      <c r="S1521" s="28"/>
      <c r="Z1521" s="26"/>
      <c r="AA1521" s="23"/>
      <c r="AB1521" s="3" t="str">
        <f t="shared" si="11"/>
        <v>___</v>
      </c>
      <c r="AC1521" s="3" t="str">
        <f t="shared" si="10"/>
        <v>____</v>
      </c>
    </row>
    <row r="1522" spans="1:30" ht="14">
      <c r="A1522" s="29"/>
      <c r="B1522" s="30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 t="s">
        <v>39</v>
      </c>
      <c r="M1522" s="31">
        <v>71.8</v>
      </c>
      <c r="N1522" s="31">
        <v>0</v>
      </c>
      <c r="O1522" s="31">
        <v>4</v>
      </c>
      <c r="P1522" s="31">
        <v>4</v>
      </c>
      <c r="Q1522" s="31">
        <v>34</v>
      </c>
      <c r="R1522" s="31">
        <v>0</v>
      </c>
      <c r="S1522" s="28"/>
      <c r="Z1522" s="29"/>
      <c r="AA1522" s="23"/>
      <c r="AB1522" s="3" t="str">
        <f t="shared" si="11"/>
        <v>___</v>
      </c>
      <c r="AC1522" s="3" t="str">
        <f t="shared" si="10"/>
        <v>____</v>
      </c>
    </row>
    <row r="1523" spans="1:30" ht="14">
      <c r="A1523" s="28" t="s">
        <v>198</v>
      </c>
      <c r="B1523" s="5" t="s">
        <v>201</v>
      </c>
      <c r="C1523" s="28">
        <v>11</v>
      </c>
      <c r="D1523" s="26" t="s">
        <v>163</v>
      </c>
      <c r="E1523" s="26" t="s">
        <v>180</v>
      </c>
      <c r="F1523" s="26" t="s">
        <v>136</v>
      </c>
      <c r="G1523" s="26" t="s">
        <v>35</v>
      </c>
      <c r="H1523" s="28">
        <v>1</v>
      </c>
      <c r="I1523" s="28">
        <v>24</v>
      </c>
      <c r="J1523" s="28">
        <v>24.5</v>
      </c>
      <c r="K1523" s="28">
        <v>8</v>
      </c>
      <c r="L1523" s="26" t="s">
        <v>36</v>
      </c>
      <c r="M1523" s="28">
        <v>28.9</v>
      </c>
      <c r="N1523" s="28">
        <v>10</v>
      </c>
      <c r="O1523" s="28">
        <v>11</v>
      </c>
      <c r="P1523" s="28">
        <v>0</v>
      </c>
      <c r="Q1523" s="28">
        <v>0</v>
      </c>
      <c r="R1523" s="28">
        <v>0</v>
      </c>
      <c r="S1523" s="28"/>
      <c r="Z1523" s="26"/>
      <c r="AA1523" s="23"/>
      <c r="AB1523" s="3" t="str">
        <f t="shared" si="11"/>
        <v>ANO_171_11_T4-C1_vv</v>
      </c>
      <c r="AC1523" s="3" t="str">
        <f t="shared" si="10"/>
        <v>ANO_171_11_T4-C1_vv_1</v>
      </c>
      <c r="AD1523" s="3" t="s">
        <v>37</v>
      </c>
    </row>
    <row r="1524" spans="1:30" ht="14">
      <c r="A1524" s="26"/>
      <c r="B1524" s="5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 t="s">
        <v>38</v>
      </c>
      <c r="M1524" s="28">
        <v>20</v>
      </c>
      <c r="N1524" s="28">
        <v>6</v>
      </c>
      <c r="O1524" s="28">
        <v>8</v>
      </c>
      <c r="P1524" s="28">
        <v>0</v>
      </c>
      <c r="Q1524" s="28">
        <v>0</v>
      </c>
      <c r="R1524" s="28">
        <v>0</v>
      </c>
      <c r="S1524" s="28"/>
      <c r="Z1524" s="26"/>
      <c r="AA1524" s="23"/>
      <c r="AB1524" s="3" t="str">
        <f t="shared" si="11"/>
        <v>___</v>
      </c>
      <c r="AC1524" s="3" t="str">
        <f t="shared" si="10"/>
        <v>____</v>
      </c>
    </row>
    <row r="1525" spans="1:30" ht="14">
      <c r="A1525" s="29"/>
      <c r="B1525" s="30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 t="s">
        <v>39</v>
      </c>
      <c r="M1525" s="31">
        <v>42.2</v>
      </c>
      <c r="N1525" s="31">
        <v>8</v>
      </c>
      <c r="O1525" s="31">
        <v>10</v>
      </c>
      <c r="P1525" s="31">
        <v>0</v>
      </c>
      <c r="Q1525" s="31">
        <v>0</v>
      </c>
      <c r="R1525" s="31">
        <v>0</v>
      </c>
      <c r="S1525" s="28"/>
      <c r="Z1525" s="29"/>
      <c r="AA1525" s="23"/>
      <c r="AB1525" s="3" t="str">
        <f t="shared" si="11"/>
        <v>___</v>
      </c>
      <c r="AC1525" s="3" t="str">
        <f t="shared" si="10"/>
        <v>____</v>
      </c>
    </row>
    <row r="1526" spans="1:30" ht="14">
      <c r="A1526" s="28" t="s">
        <v>198</v>
      </c>
      <c r="B1526" s="5" t="s">
        <v>201</v>
      </c>
      <c r="C1526" s="28">
        <v>11</v>
      </c>
      <c r="D1526" s="26" t="s">
        <v>163</v>
      </c>
      <c r="E1526" s="26" t="s">
        <v>180</v>
      </c>
      <c r="F1526" s="26" t="s">
        <v>136</v>
      </c>
      <c r="G1526" s="26" t="s">
        <v>35</v>
      </c>
      <c r="H1526" s="28">
        <v>2</v>
      </c>
      <c r="I1526" s="28">
        <v>17</v>
      </c>
      <c r="J1526" s="28">
        <v>18.600000000000001</v>
      </c>
      <c r="K1526" s="28">
        <v>7</v>
      </c>
      <c r="L1526" s="26" t="s">
        <v>36</v>
      </c>
      <c r="M1526" s="28">
        <v>35</v>
      </c>
      <c r="N1526" s="28">
        <v>10</v>
      </c>
      <c r="O1526" s="28">
        <v>11</v>
      </c>
      <c r="P1526" s="28">
        <v>0</v>
      </c>
      <c r="Q1526" s="28">
        <v>0</v>
      </c>
      <c r="R1526" s="28">
        <v>0</v>
      </c>
      <c r="S1526" s="28"/>
      <c r="Z1526" s="26"/>
      <c r="AA1526" s="23"/>
      <c r="AB1526" s="3" t="str">
        <f t="shared" si="11"/>
        <v>ANO_171_11_T4-C1_vv</v>
      </c>
      <c r="AC1526" s="3" t="str">
        <f t="shared" si="10"/>
        <v>ANO_171_11_T4-C1_vv_2</v>
      </c>
      <c r="AD1526" s="3" t="s">
        <v>37</v>
      </c>
    </row>
    <row r="1527" spans="1:30" ht="14">
      <c r="A1527" s="26"/>
      <c r="B1527" s="5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 t="s">
        <v>38</v>
      </c>
      <c r="M1527" s="28">
        <v>46.7</v>
      </c>
      <c r="N1527" s="28">
        <v>9</v>
      </c>
      <c r="O1527" s="28">
        <v>10</v>
      </c>
      <c r="P1527" s="28">
        <v>0</v>
      </c>
      <c r="Q1527" s="28">
        <v>0</v>
      </c>
      <c r="R1527" s="28">
        <v>0</v>
      </c>
      <c r="S1527" s="28"/>
      <c r="Z1527" s="26"/>
      <c r="AA1527" s="23"/>
      <c r="AB1527" s="3" t="str">
        <f t="shared" si="11"/>
        <v>___</v>
      </c>
      <c r="AC1527" s="3" t="str">
        <f t="shared" si="10"/>
        <v>____</v>
      </c>
    </row>
    <row r="1528" spans="1:30" ht="14">
      <c r="A1528" s="29"/>
      <c r="B1528" s="30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 t="s">
        <v>39</v>
      </c>
      <c r="M1528" s="31">
        <v>39.200000000000003</v>
      </c>
      <c r="N1528" s="31">
        <v>3</v>
      </c>
      <c r="O1528" s="31">
        <v>6</v>
      </c>
      <c r="P1528" s="31">
        <v>0</v>
      </c>
      <c r="Q1528" s="31">
        <v>0</v>
      </c>
      <c r="R1528" s="31">
        <v>0</v>
      </c>
      <c r="S1528" s="28"/>
      <c r="Z1528" s="29"/>
      <c r="AA1528" s="23"/>
      <c r="AB1528" s="3" t="str">
        <f t="shared" si="11"/>
        <v>___</v>
      </c>
      <c r="AC1528" s="3" t="str">
        <f t="shared" si="10"/>
        <v>____</v>
      </c>
    </row>
    <row r="1529" spans="1:30" ht="14">
      <c r="A1529" s="28" t="s">
        <v>198</v>
      </c>
      <c r="B1529" s="5" t="s">
        <v>201</v>
      </c>
      <c r="C1529" s="28">
        <v>11</v>
      </c>
      <c r="D1529" s="26" t="s">
        <v>163</v>
      </c>
      <c r="E1529" s="26" t="s">
        <v>180</v>
      </c>
      <c r="F1529" s="26" t="s">
        <v>136</v>
      </c>
      <c r="G1529" s="26" t="s">
        <v>35</v>
      </c>
      <c r="H1529" s="28">
        <v>3</v>
      </c>
      <c r="I1529" s="28">
        <v>18</v>
      </c>
      <c r="J1529" s="28">
        <v>19.399999999999999</v>
      </c>
      <c r="K1529" s="28">
        <v>6</v>
      </c>
      <c r="L1529" s="26" t="s">
        <v>36</v>
      </c>
      <c r="M1529" s="28">
        <v>40.299999999999997</v>
      </c>
      <c r="N1529" s="28">
        <v>12</v>
      </c>
      <c r="O1529" s="28">
        <v>12</v>
      </c>
      <c r="P1529" s="28">
        <v>0</v>
      </c>
      <c r="Q1529" s="28">
        <v>0</v>
      </c>
      <c r="R1529" s="28">
        <v>0</v>
      </c>
      <c r="S1529" s="28"/>
      <c r="Z1529" s="26"/>
      <c r="AA1529" s="23"/>
      <c r="AB1529" s="3" t="str">
        <f t="shared" si="11"/>
        <v>ANO_171_11_T4-C1_vv</v>
      </c>
      <c r="AC1529" s="3" t="str">
        <f t="shared" si="10"/>
        <v>ANO_171_11_T4-C1_vv_3</v>
      </c>
      <c r="AD1529" s="3" t="s">
        <v>37</v>
      </c>
    </row>
    <row r="1530" spans="1:30" ht="14">
      <c r="A1530" s="26"/>
      <c r="B1530" s="5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 t="s">
        <v>38</v>
      </c>
      <c r="M1530" s="28">
        <v>34.4</v>
      </c>
      <c r="N1530" s="28">
        <v>7</v>
      </c>
      <c r="O1530" s="28">
        <v>8</v>
      </c>
      <c r="P1530" s="28">
        <v>0</v>
      </c>
      <c r="Q1530" s="28">
        <v>0</v>
      </c>
      <c r="R1530" s="28">
        <v>0</v>
      </c>
      <c r="S1530" s="28"/>
      <c r="Z1530" s="26"/>
      <c r="AA1530" s="23"/>
      <c r="AB1530" s="3" t="str">
        <f t="shared" si="11"/>
        <v>___</v>
      </c>
      <c r="AC1530" s="3" t="str">
        <f t="shared" si="10"/>
        <v>____</v>
      </c>
    </row>
    <row r="1531" spans="1:30" ht="14">
      <c r="A1531" s="29"/>
      <c r="B1531" s="30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 t="s">
        <v>39</v>
      </c>
      <c r="M1531" s="31">
        <v>36</v>
      </c>
      <c r="N1531" s="31">
        <v>5</v>
      </c>
      <c r="O1531" s="31">
        <v>7</v>
      </c>
      <c r="P1531" s="31">
        <v>0</v>
      </c>
      <c r="Q1531" s="31">
        <v>0</v>
      </c>
      <c r="R1531" s="31">
        <v>0</v>
      </c>
      <c r="S1531" s="28"/>
      <c r="Z1531" s="29"/>
      <c r="AA1531" s="23"/>
      <c r="AB1531" s="3" t="str">
        <f t="shared" si="11"/>
        <v>___</v>
      </c>
      <c r="AC1531" s="3" t="str">
        <f t="shared" si="10"/>
        <v>____</v>
      </c>
    </row>
    <row r="1532" spans="1:30" ht="14">
      <c r="A1532" s="28" t="s">
        <v>198</v>
      </c>
      <c r="B1532" s="5" t="s">
        <v>201</v>
      </c>
      <c r="C1532" s="28">
        <v>31</v>
      </c>
      <c r="D1532" s="26" t="s">
        <v>163</v>
      </c>
      <c r="E1532" s="26" t="s">
        <v>180</v>
      </c>
      <c r="F1532" s="26" t="s">
        <v>147</v>
      </c>
      <c r="G1532" s="26" t="s">
        <v>40</v>
      </c>
      <c r="H1532" s="28">
        <v>1</v>
      </c>
      <c r="I1532" s="28">
        <v>30</v>
      </c>
      <c r="J1532" s="28">
        <v>31.4</v>
      </c>
      <c r="K1532" s="28">
        <v>4</v>
      </c>
      <c r="L1532" s="26" t="s">
        <v>36</v>
      </c>
      <c r="M1532" s="28">
        <v>119.8</v>
      </c>
      <c r="N1532" s="28">
        <v>8</v>
      </c>
      <c r="O1532" s="28">
        <v>9</v>
      </c>
      <c r="P1532" s="28">
        <v>0</v>
      </c>
      <c r="Q1532" s="28">
        <v>0</v>
      </c>
      <c r="R1532" s="28">
        <v>0</v>
      </c>
      <c r="S1532" s="28"/>
      <c r="Z1532" s="26"/>
      <c r="AA1532" s="23"/>
      <c r="AB1532" s="3" t="str">
        <f t="shared" si="11"/>
        <v>ANO_171_31_T4-C5_vm</v>
      </c>
      <c r="AC1532" s="3" t="str">
        <f t="shared" ref="AC1532:AC1786" si="12">CONCATENATE(B1532,"_",C1532,"_",F1532,"_",G1532,"_",H1532)</f>
        <v>ANO_171_31_T4-C5_vm_1</v>
      </c>
      <c r="AD1532" s="3" t="s">
        <v>37</v>
      </c>
    </row>
    <row r="1533" spans="1:30" ht="14">
      <c r="A1533" s="26"/>
      <c r="B1533" s="5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 t="s">
        <v>38</v>
      </c>
      <c r="M1533" s="28">
        <v>61.2</v>
      </c>
      <c r="N1533" s="28">
        <v>0</v>
      </c>
      <c r="O1533" s="28">
        <v>4</v>
      </c>
      <c r="P1533" s="28">
        <v>3</v>
      </c>
      <c r="Q1533" s="28">
        <v>4</v>
      </c>
      <c r="R1533" s="28">
        <v>0</v>
      </c>
      <c r="S1533" s="28"/>
      <c r="Z1533" s="26"/>
      <c r="AA1533" s="23"/>
      <c r="AB1533" s="3" t="str">
        <f t="shared" ref="AB1533:AB1787" si="13">CONCATENATE(B1533, "_",C1533,"_",F1533,"_",G1533)</f>
        <v>___</v>
      </c>
      <c r="AC1533" s="3" t="str">
        <f t="shared" si="12"/>
        <v>____</v>
      </c>
    </row>
    <row r="1534" spans="1:30" ht="14">
      <c r="A1534" s="29"/>
      <c r="B1534" s="30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 t="s">
        <v>39</v>
      </c>
      <c r="M1534" s="31">
        <v>41.4</v>
      </c>
      <c r="N1534" s="31">
        <v>0</v>
      </c>
      <c r="O1534" s="31">
        <v>1</v>
      </c>
      <c r="P1534" s="31">
        <v>1</v>
      </c>
      <c r="Q1534" s="31">
        <v>3</v>
      </c>
      <c r="R1534" s="31">
        <v>0</v>
      </c>
      <c r="S1534" s="28"/>
      <c r="Z1534" s="29"/>
      <c r="AA1534" s="23"/>
      <c r="AB1534" s="3" t="str">
        <f t="shared" si="13"/>
        <v>___</v>
      </c>
      <c r="AC1534" s="3" t="str">
        <f t="shared" si="12"/>
        <v>____</v>
      </c>
    </row>
    <row r="1535" spans="1:30" ht="14">
      <c r="A1535" s="28" t="s">
        <v>198</v>
      </c>
      <c r="B1535" s="5" t="s">
        <v>201</v>
      </c>
      <c r="C1535" s="28">
        <v>31</v>
      </c>
      <c r="D1535" s="26" t="s">
        <v>163</v>
      </c>
      <c r="E1535" s="26" t="s">
        <v>180</v>
      </c>
      <c r="F1535" s="26" t="s">
        <v>147</v>
      </c>
      <c r="G1535" s="26" t="s">
        <v>40</v>
      </c>
      <c r="H1535" s="28">
        <v>2</v>
      </c>
      <c r="I1535" s="28">
        <v>26</v>
      </c>
      <c r="J1535" s="28">
        <v>29.5</v>
      </c>
      <c r="K1535" s="28">
        <v>4</v>
      </c>
      <c r="L1535" s="26" t="s">
        <v>36</v>
      </c>
      <c r="M1535" s="28">
        <v>95.2</v>
      </c>
      <c r="N1535" s="28">
        <v>8</v>
      </c>
      <c r="O1535" s="28">
        <v>8</v>
      </c>
      <c r="P1535" s="28">
        <v>0</v>
      </c>
      <c r="Q1535" s="28">
        <v>0</v>
      </c>
      <c r="R1535" s="28">
        <v>0</v>
      </c>
      <c r="S1535" s="28"/>
      <c r="Z1535" s="26"/>
      <c r="AA1535" s="23"/>
      <c r="AB1535" s="3" t="str">
        <f t="shared" si="13"/>
        <v>ANO_171_31_T4-C5_vm</v>
      </c>
      <c r="AC1535" s="3" t="str">
        <f t="shared" si="12"/>
        <v>ANO_171_31_T4-C5_vm_2</v>
      </c>
      <c r="AD1535" s="3" t="s">
        <v>37</v>
      </c>
    </row>
    <row r="1536" spans="1:30" ht="14">
      <c r="A1536" s="26"/>
      <c r="B1536" s="5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 t="s">
        <v>38</v>
      </c>
      <c r="M1536" s="28">
        <v>45.3</v>
      </c>
      <c r="N1536" s="28">
        <v>0</v>
      </c>
      <c r="O1536" s="28">
        <v>2</v>
      </c>
      <c r="P1536" s="28">
        <v>3</v>
      </c>
      <c r="Q1536" s="28">
        <v>3</v>
      </c>
      <c r="R1536" s="28">
        <v>0</v>
      </c>
      <c r="S1536" s="28"/>
      <c r="Z1536" s="26"/>
      <c r="AA1536" s="23"/>
      <c r="AB1536" s="3" t="str">
        <f t="shared" si="13"/>
        <v>___</v>
      </c>
      <c r="AC1536" s="3" t="str">
        <f t="shared" si="12"/>
        <v>____</v>
      </c>
    </row>
    <row r="1537" spans="1:30" ht="14">
      <c r="A1537" s="29"/>
      <c r="B1537" s="30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 t="s">
        <v>39</v>
      </c>
      <c r="M1537" s="31">
        <v>34</v>
      </c>
      <c r="N1537" s="31">
        <v>0</v>
      </c>
      <c r="O1537" s="31">
        <v>2</v>
      </c>
      <c r="P1537" s="31">
        <v>0</v>
      </c>
      <c r="Q1537" s="31">
        <v>0</v>
      </c>
      <c r="R1537" s="31">
        <v>0</v>
      </c>
      <c r="S1537" s="28"/>
      <c r="Z1537" s="29"/>
      <c r="AA1537" s="23"/>
      <c r="AB1537" s="3" t="str">
        <f t="shared" si="13"/>
        <v>___</v>
      </c>
      <c r="AC1537" s="3" t="str">
        <f t="shared" si="12"/>
        <v>____</v>
      </c>
    </row>
    <row r="1538" spans="1:30" ht="14">
      <c r="A1538" s="28" t="s">
        <v>198</v>
      </c>
      <c r="B1538" s="5" t="s">
        <v>201</v>
      </c>
      <c r="C1538" s="28">
        <v>31</v>
      </c>
      <c r="D1538" s="26" t="s">
        <v>163</v>
      </c>
      <c r="E1538" s="26" t="s">
        <v>180</v>
      </c>
      <c r="F1538" s="26" t="s">
        <v>147</v>
      </c>
      <c r="G1538" s="26" t="s">
        <v>40</v>
      </c>
      <c r="H1538" s="28">
        <v>3</v>
      </c>
      <c r="I1538" s="28">
        <v>26</v>
      </c>
      <c r="J1538" s="28">
        <v>27.5</v>
      </c>
      <c r="K1538" s="28">
        <v>5</v>
      </c>
      <c r="L1538" s="26" t="s">
        <v>36</v>
      </c>
      <c r="M1538" s="28">
        <v>81</v>
      </c>
      <c r="N1538" s="28">
        <v>7</v>
      </c>
      <c r="O1538" s="28">
        <v>9</v>
      </c>
      <c r="P1538" s="28">
        <v>0</v>
      </c>
      <c r="Q1538" s="28">
        <v>0</v>
      </c>
      <c r="R1538" s="28">
        <v>0</v>
      </c>
      <c r="S1538" s="28"/>
      <c r="Z1538" s="26"/>
      <c r="AA1538" s="23"/>
      <c r="AB1538" s="3" t="str">
        <f t="shared" si="13"/>
        <v>ANO_171_31_T4-C5_vm</v>
      </c>
      <c r="AC1538" s="3" t="str">
        <f t="shared" si="12"/>
        <v>ANO_171_31_T4-C5_vm_3</v>
      </c>
      <c r="AD1538" s="3" t="s">
        <v>37</v>
      </c>
    </row>
    <row r="1539" spans="1:30" ht="14">
      <c r="A1539" s="26"/>
      <c r="B1539" s="5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 t="s">
        <v>38</v>
      </c>
      <c r="M1539" s="28">
        <v>45.9</v>
      </c>
      <c r="N1539" s="28">
        <v>0</v>
      </c>
      <c r="O1539" s="28">
        <v>0</v>
      </c>
      <c r="P1539" s="28">
        <v>3</v>
      </c>
      <c r="Q1539" s="28">
        <v>3</v>
      </c>
      <c r="R1539" s="28">
        <v>0</v>
      </c>
      <c r="S1539" s="28"/>
      <c r="Z1539" s="26"/>
      <c r="AA1539" s="23"/>
      <c r="AB1539" s="3" t="str">
        <f t="shared" si="13"/>
        <v>___</v>
      </c>
      <c r="AC1539" s="3" t="str">
        <f t="shared" si="12"/>
        <v>____</v>
      </c>
    </row>
    <row r="1540" spans="1:30" ht="14">
      <c r="A1540" s="29"/>
      <c r="B1540" s="30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 t="s">
        <v>39</v>
      </c>
      <c r="M1540" s="31">
        <v>46</v>
      </c>
      <c r="N1540" s="31">
        <v>0</v>
      </c>
      <c r="O1540" s="31">
        <v>2</v>
      </c>
      <c r="P1540" s="31">
        <v>0</v>
      </c>
      <c r="Q1540" s="31">
        <v>0</v>
      </c>
      <c r="R1540" s="31">
        <v>0</v>
      </c>
      <c r="S1540" s="28"/>
      <c r="Z1540" s="29"/>
      <c r="AA1540" s="23"/>
      <c r="AB1540" s="3" t="str">
        <f t="shared" si="13"/>
        <v>___</v>
      </c>
      <c r="AC1540" s="3" t="str">
        <f t="shared" si="12"/>
        <v>____</v>
      </c>
    </row>
    <row r="1541" spans="1:30" ht="14">
      <c r="A1541" s="28" t="s">
        <v>198</v>
      </c>
      <c r="B1541" s="5" t="s">
        <v>201</v>
      </c>
      <c r="C1541" s="28">
        <v>31</v>
      </c>
      <c r="D1541" s="26" t="s">
        <v>163</v>
      </c>
      <c r="E1541" s="26" t="s">
        <v>180</v>
      </c>
      <c r="F1541" s="26" t="s">
        <v>147</v>
      </c>
      <c r="G1541" s="26" t="s">
        <v>35</v>
      </c>
      <c r="H1541" s="28">
        <v>1</v>
      </c>
      <c r="I1541" s="28">
        <v>24</v>
      </c>
      <c r="J1541" s="28">
        <v>24</v>
      </c>
      <c r="K1541" s="26"/>
      <c r="L1541" s="26" t="s">
        <v>36</v>
      </c>
      <c r="M1541" s="28">
        <v>56.7</v>
      </c>
      <c r="N1541" s="28">
        <v>16</v>
      </c>
      <c r="O1541" s="28">
        <v>16</v>
      </c>
      <c r="P1541" s="28">
        <v>0</v>
      </c>
      <c r="Q1541" s="28">
        <v>0</v>
      </c>
      <c r="R1541" s="28">
        <v>0</v>
      </c>
      <c r="S1541" s="28"/>
      <c r="Z1541" s="26"/>
      <c r="AA1541" s="23"/>
      <c r="AB1541" s="3" t="str">
        <f t="shared" si="13"/>
        <v>ANO_171_31_T4-C5_vv</v>
      </c>
      <c r="AC1541" s="3" t="str">
        <f t="shared" si="12"/>
        <v>ANO_171_31_T4-C5_vv_1</v>
      </c>
      <c r="AD1541" s="3" t="s">
        <v>37</v>
      </c>
    </row>
    <row r="1542" spans="1:30" ht="14">
      <c r="A1542" s="26"/>
      <c r="B1542" s="5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 t="s">
        <v>38</v>
      </c>
      <c r="M1542" s="28">
        <v>41.2</v>
      </c>
      <c r="N1542" s="28">
        <v>8</v>
      </c>
      <c r="O1542" s="28">
        <v>8</v>
      </c>
      <c r="P1542" s="28">
        <v>0</v>
      </c>
      <c r="Q1542" s="28">
        <v>0</v>
      </c>
      <c r="R1542" s="28">
        <v>0</v>
      </c>
      <c r="S1542" s="28"/>
      <c r="Z1542" s="26"/>
      <c r="AA1542" s="23"/>
      <c r="AB1542" s="3" t="str">
        <f t="shared" si="13"/>
        <v>___</v>
      </c>
      <c r="AC1542" s="3" t="str">
        <f t="shared" si="12"/>
        <v>____</v>
      </c>
    </row>
    <row r="1543" spans="1:30" ht="14">
      <c r="A1543" s="29"/>
      <c r="B1543" s="30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 t="s">
        <v>39</v>
      </c>
      <c r="M1543" s="31">
        <v>47.8</v>
      </c>
      <c r="N1543" s="31">
        <v>3</v>
      </c>
      <c r="O1543" s="31">
        <v>6</v>
      </c>
      <c r="P1543" s="31">
        <v>0</v>
      </c>
      <c r="Q1543" s="31">
        <v>0</v>
      </c>
      <c r="R1543" s="31">
        <v>0</v>
      </c>
      <c r="S1543" s="28"/>
      <c r="Z1543" s="29"/>
      <c r="AA1543" s="23"/>
      <c r="AB1543" s="3" t="str">
        <f t="shared" si="13"/>
        <v>___</v>
      </c>
      <c r="AC1543" s="3" t="str">
        <f t="shared" si="12"/>
        <v>____</v>
      </c>
    </row>
    <row r="1544" spans="1:30" ht="14">
      <c r="A1544" s="28" t="s">
        <v>198</v>
      </c>
      <c r="B1544" s="5" t="s">
        <v>201</v>
      </c>
      <c r="C1544" s="28">
        <v>31</v>
      </c>
      <c r="D1544" s="26" t="s">
        <v>163</v>
      </c>
      <c r="E1544" s="26" t="s">
        <v>180</v>
      </c>
      <c r="F1544" s="26" t="s">
        <v>147</v>
      </c>
      <c r="G1544" s="26" t="s">
        <v>35</v>
      </c>
      <c r="H1544" s="28">
        <v>2</v>
      </c>
      <c r="I1544" s="28">
        <v>17.5</v>
      </c>
      <c r="J1544" s="28">
        <v>17.8</v>
      </c>
      <c r="K1544" s="28">
        <v>7</v>
      </c>
      <c r="L1544" s="26" t="s">
        <v>36</v>
      </c>
      <c r="M1544" s="28">
        <v>26.6</v>
      </c>
      <c r="N1544" s="28">
        <v>9</v>
      </c>
      <c r="O1544" s="28">
        <v>9</v>
      </c>
      <c r="P1544" s="28">
        <v>0</v>
      </c>
      <c r="Q1544" s="28">
        <v>0</v>
      </c>
      <c r="R1544" s="28">
        <v>0</v>
      </c>
      <c r="S1544" s="28"/>
      <c r="Z1544" s="26"/>
      <c r="AA1544" s="23"/>
      <c r="AB1544" s="3" t="str">
        <f t="shared" si="13"/>
        <v>ANO_171_31_T4-C5_vv</v>
      </c>
      <c r="AC1544" s="3" t="str">
        <f t="shared" si="12"/>
        <v>ANO_171_31_T4-C5_vv_2</v>
      </c>
      <c r="AD1544" s="3" t="s">
        <v>202</v>
      </c>
    </row>
    <row r="1545" spans="1:30" ht="14">
      <c r="A1545" s="26"/>
      <c r="B1545" s="5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 t="s">
        <v>38</v>
      </c>
      <c r="M1545" s="28">
        <v>25.9</v>
      </c>
      <c r="N1545" s="28">
        <v>6</v>
      </c>
      <c r="O1545" s="28">
        <v>8</v>
      </c>
      <c r="P1545" s="28">
        <v>0</v>
      </c>
      <c r="Q1545" s="28">
        <v>0</v>
      </c>
      <c r="R1545" s="28">
        <v>0</v>
      </c>
      <c r="S1545" s="28"/>
      <c r="Z1545" s="26"/>
      <c r="AA1545" s="23"/>
      <c r="AB1545" s="3" t="str">
        <f t="shared" si="13"/>
        <v>___</v>
      </c>
      <c r="AC1545" s="3" t="str">
        <f t="shared" si="12"/>
        <v>____</v>
      </c>
    </row>
    <row r="1546" spans="1:30" ht="14">
      <c r="A1546" s="29"/>
      <c r="B1546" s="30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 t="s">
        <v>39</v>
      </c>
      <c r="M1546" s="31">
        <v>30</v>
      </c>
      <c r="N1546" s="31">
        <v>5</v>
      </c>
      <c r="O1546" s="31">
        <v>7</v>
      </c>
      <c r="P1546" s="31">
        <v>0</v>
      </c>
      <c r="Q1546" s="31">
        <v>0</v>
      </c>
      <c r="R1546" s="31">
        <v>0</v>
      </c>
      <c r="S1546" s="28"/>
      <c r="Z1546" s="29"/>
      <c r="AA1546" s="23"/>
      <c r="AB1546" s="3" t="str">
        <f t="shared" si="13"/>
        <v>___</v>
      </c>
      <c r="AC1546" s="3" t="str">
        <f t="shared" si="12"/>
        <v>____</v>
      </c>
    </row>
    <row r="1547" spans="1:30" ht="14">
      <c r="A1547" s="28" t="s">
        <v>198</v>
      </c>
      <c r="B1547" s="5" t="s">
        <v>201</v>
      </c>
      <c r="C1547" s="28">
        <v>31</v>
      </c>
      <c r="D1547" s="26" t="s">
        <v>163</v>
      </c>
      <c r="E1547" s="26" t="s">
        <v>180</v>
      </c>
      <c r="F1547" s="26" t="s">
        <v>147</v>
      </c>
      <c r="G1547" s="26" t="s">
        <v>35</v>
      </c>
      <c r="H1547" s="28">
        <v>3</v>
      </c>
      <c r="I1547" s="28">
        <v>23.5</v>
      </c>
      <c r="J1547" s="28">
        <v>25.5</v>
      </c>
      <c r="K1547" s="28">
        <v>7</v>
      </c>
      <c r="L1547" s="26" t="s">
        <v>36</v>
      </c>
      <c r="M1547" s="28">
        <v>50.5</v>
      </c>
      <c r="N1547" s="28">
        <v>14</v>
      </c>
      <c r="O1547" s="28">
        <v>14</v>
      </c>
      <c r="P1547" s="28">
        <v>0</v>
      </c>
      <c r="Q1547" s="28">
        <v>0</v>
      </c>
      <c r="R1547" s="28">
        <v>0</v>
      </c>
      <c r="S1547" s="28"/>
      <c r="Z1547" s="26"/>
      <c r="AA1547" s="23"/>
      <c r="AB1547" s="3" t="str">
        <f t="shared" si="13"/>
        <v>ANO_171_31_T4-C5_vv</v>
      </c>
      <c r="AC1547" s="3" t="str">
        <f t="shared" si="12"/>
        <v>ANO_171_31_T4-C5_vv_3</v>
      </c>
      <c r="AD1547" s="3" t="s">
        <v>37</v>
      </c>
    </row>
    <row r="1548" spans="1:30" ht="14">
      <c r="A1548" s="26"/>
      <c r="B1548" s="5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 t="s">
        <v>38</v>
      </c>
      <c r="M1548" s="28">
        <v>24.8</v>
      </c>
      <c r="N1548" s="28">
        <v>6</v>
      </c>
      <c r="O1548" s="28">
        <v>7</v>
      </c>
      <c r="P1548" s="28">
        <v>0</v>
      </c>
      <c r="Q1548" s="28">
        <v>0</v>
      </c>
      <c r="R1548" s="28">
        <v>0</v>
      </c>
      <c r="S1548" s="28"/>
      <c r="Z1548" s="26"/>
      <c r="AA1548" s="23"/>
      <c r="AB1548" s="3" t="str">
        <f t="shared" si="13"/>
        <v>___</v>
      </c>
      <c r="AC1548" s="3" t="str">
        <f t="shared" si="12"/>
        <v>____</v>
      </c>
    </row>
    <row r="1549" spans="1:30" ht="14">
      <c r="A1549" s="29"/>
      <c r="B1549" s="30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 t="s">
        <v>39</v>
      </c>
      <c r="M1549" s="31">
        <v>51.3</v>
      </c>
      <c r="N1549" s="31">
        <v>4</v>
      </c>
      <c r="O1549" s="31">
        <v>6</v>
      </c>
      <c r="P1549" s="31">
        <v>0</v>
      </c>
      <c r="Q1549" s="31">
        <v>0</v>
      </c>
      <c r="R1549" s="31">
        <v>0</v>
      </c>
      <c r="S1549" s="28"/>
      <c r="Z1549" s="29"/>
      <c r="AA1549" s="23"/>
      <c r="AB1549" s="3" t="str">
        <f t="shared" si="13"/>
        <v>___</v>
      </c>
      <c r="AC1549" s="3" t="str">
        <f t="shared" si="12"/>
        <v>____</v>
      </c>
    </row>
    <row r="1550" spans="1:30" ht="14">
      <c r="A1550" s="28" t="s">
        <v>203</v>
      </c>
      <c r="B1550" s="5" t="s">
        <v>204</v>
      </c>
      <c r="C1550" s="28">
        <v>51</v>
      </c>
      <c r="D1550" s="26" t="s">
        <v>163</v>
      </c>
      <c r="E1550" s="26" t="s">
        <v>34</v>
      </c>
      <c r="F1550" s="26" t="s">
        <v>205</v>
      </c>
      <c r="G1550" s="26" t="s">
        <v>40</v>
      </c>
      <c r="H1550" s="28">
        <v>1</v>
      </c>
      <c r="I1550" s="28">
        <v>19</v>
      </c>
      <c r="J1550" s="28">
        <v>22</v>
      </c>
      <c r="K1550" s="28">
        <v>4</v>
      </c>
      <c r="L1550" s="26" t="s">
        <v>36</v>
      </c>
      <c r="M1550" s="28">
        <v>42.8</v>
      </c>
      <c r="N1550" s="28">
        <v>1</v>
      </c>
      <c r="O1550" s="28">
        <v>3</v>
      </c>
      <c r="P1550" s="28">
        <v>1</v>
      </c>
      <c r="Q1550" s="28">
        <v>1</v>
      </c>
      <c r="R1550" s="28">
        <v>0</v>
      </c>
      <c r="S1550" s="28"/>
      <c r="Z1550" s="26" t="s">
        <v>206</v>
      </c>
      <c r="AA1550" s="23"/>
      <c r="AB1550" s="3" t="str">
        <f t="shared" si="13"/>
        <v>ANO_724_51_T34-C1_vm</v>
      </c>
      <c r="AC1550" s="3" t="str">
        <f t="shared" si="12"/>
        <v>ANO_724_51_T34-C1_vm_1</v>
      </c>
      <c r="AD1550" s="3" t="s">
        <v>37</v>
      </c>
    </row>
    <row r="1551" spans="1:30" ht="14">
      <c r="A1551" s="26"/>
      <c r="B1551" s="5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 t="s">
        <v>38</v>
      </c>
      <c r="M1551" s="28">
        <v>46.6</v>
      </c>
      <c r="N1551" s="28">
        <v>0</v>
      </c>
      <c r="O1551" s="28">
        <v>4</v>
      </c>
      <c r="P1551" s="28">
        <v>2</v>
      </c>
      <c r="Q1551" s="28">
        <v>2</v>
      </c>
      <c r="R1551" s="28">
        <v>0</v>
      </c>
      <c r="S1551" s="28"/>
      <c r="Z1551" s="26" t="s">
        <v>207</v>
      </c>
      <c r="AA1551" s="23"/>
      <c r="AB1551" s="3" t="str">
        <f t="shared" si="13"/>
        <v>___</v>
      </c>
      <c r="AC1551" s="3" t="str">
        <f t="shared" si="12"/>
        <v>____</v>
      </c>
    </row>
    <row r="1552" spans="1:30" ht="14">
      <c r="A1552" s="29"/>
      <c r="B1552" s="30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 t="s">
        <v>39</v>
      </c>
      <c r="M1552" s="31">
        <v>35</v>
      </c>
      <c r="N1552" s="31">
        <v>0</v>
      </c>
      <c r="O1552" s="31">
        <v>2</v>
      </c>
      <c r="P1552" s="31">
        <v>1</v>
      </c>
      <c r="Q1552" s="31">
        <v>5</v>
      </c>
      <c r="R1552" s="31">
        <v>0</v>
      </c>
      <c r="S1552" s="28"/>
      <c r="Z1552" s="29"/>
      <c r="AA1552" s="23"/>
      <c r="AB1552" s="3" t="str">
        <f t="shared" si="13"/>
        <v>___</v>
      </c>
      <c r="AC1552" s="3" t="str">
        <f t="shared" si="12"/>
        <v>____</v>
      </c>
    </row>
    <row r="1553" spans="1:30" ht="14">
      <c r="A1553" s="28" t="s">
        <v>203</v>
      </c>
      <c r="B1553" s="5" t="s">
        <v>204</v>
      </c>
      <c r="C1553" s="28">
        <v>51</v>
      </c>
      <c r="D1553" s="26" t="s">
        <v>163</v>
      </c>
      <c r="E1553" s="26" t="s">
        <v>34</v>
      </c>
      <c r="F1553" s="26" t="s">
        <v>205</v>
      </c>
      <c r="G1553" s="26" t="s">
        <v>40</v>
      </c>
      <c r="H1553" s="28">
        <v>2</v>
      </c>
      <c r="I1553" s="28">
        <v>16.5</v>
      </c>
      <c r="J1553" s="28">
        <v>24.5</v>
      </c>
      <c r="K1553" s="28">
        <v>4</v>
      </c>
      <c r="L1553" s="26" t="s">
        <v>36</v>
      </c>
      <c r="M1553" s="28">
        <v>77.400000000000006</v>
      </c>
      <c r="N1553" s="28">
        <v>2</v>
      </c>
      <c r="O1553" s="28">
        <v>6</v>
      </c>
      <c r="P1553" s="28">
        <v>4</v>
      </c>
      <c r="Q1553" s="28">
        <v>4</v>
      </c>
      <c r="R1553" s="28">
        <v>0</v>
      </c>
      <c r="S1553" s="28"/>
      <c r="Z1553" s="26" t="s">
        <v>208</v>
      </c>
      <c r="AA1553" s="23"/>
      <c r="AB1553" s="3" t="str">
        <f t="shared" si="13"/>
        <v>ANO_724_51_T34-C1_vm</v>
      </c>
      <c r="AC1553" s="3" t="str">
        <f t="shared" si="12"/>
        <v>ANO_724_51_T34-C1_vm_2</v>
      </c>
      <c r="AD1553" s="3" t="s">
        <v>49</v>
      </c>
    </row>
    <row r="1554" spans="1:30" ht="14">
      <c r="A1554" s="26"/>
      <c r="B1554" s="5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 t="s">
        <v>38</v>
      </c>
      <c r="M1554" s="28">
        <v>32.5</v>
      </c>
      <c r="N1554" s="28">
        <v>0</v>
      </c>
      <c r="O1554" s="28">
        <v>2</v>
      </c>
      <c r="P1554" s="28">
        <v>2</v>
      </c>
      <c r="Q1554" s="28">
        <v>5</v>
      </c>
      <c r="R1554" s="28">
        <v>0</v>
      </c>
      <c r="S1554" s="28"/>
      <c r="Z1554" s="26"/>
      <c r="AA1554" s="23"/>
      <c r="AB1554" s="3" t="str">
        <f t="shared" si="13"/>
        <v>___</v>
      </c>
      <c r="AC1554" s="3" t="str">
        <f t="shared" si="12"/>
        <v>____</v>
      </c>
    </row>
    <row r="1555" spans="1:30" ht="14">
      <c r="A1555" s="29"/>
      <c r="B1555" s="30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 t="s">
        <v>39</v>
      </c>
      <c r="M1555" s="31">
        <v>30</v>
      </c>
      <c r="N1555" s="31">
        <v>4</v>
      </c>
      <c r="O1555" s="31">
        <v>2</v>
      </c>
      <c r="P1555" s="31">
        <v>2</v>
      </c>
      <c r="Q1555" s="31">
        <v>18</v>
      </c>
      <c r="R1555" s="31">
        <v>0</v>
      </c>
      <c r="S1555" s="28"/>
      <c r="Z1555" s="29"/>
      <c r="AA1555" s="23"/>
      <c r="AB1555" s="3" t="str">
        <f t="shared" si="13"/>
        <v>___</v>
      </c>
      <c r="AC1555" s="3" t="str">
        <f t="shared" si="12"/>
        <v>____</v>
      </c>
    </row>
    <row r="1556" spans="1:30" ht="14">
      <c r="A1556" s="28" t="s">
        <v>203</v>
      </c>
      <c r="B1556" s="5" t="s">
        <v>204</v>
      </c>
      <c r="C1556" s="28">
        <v>51</v>
      </c>
      <c r="D1556" s="26" t="s">
        <v>163</v>
      </c>
      <c r="E1556" s="26" t="s">
        <v>34</v>
      </c>
      <c r="F1556" s="26" t="s">
        <v>205</v>
      </c>
      <c r="G1556" s="26" t="s">
        <v>40</v>
      </c>
      <c r="H1556" s="28">
        <v>3</v>
      </c>
      <c r="I1556" s="28">
        <v>19</v>
      </c>
      <c r="J1556" s="28">
        <v>21.5</v>
      </c>
      <c r="K1556" s="28">
        <v>5</v>
      </c>
      <c r="L1556" s="26" t="s">
        <v>36</v>
      </c>
      <c r="M1556" s="28">
        <v>84.4</v>
      </c>
      <c r="N1556" s="28">
        <v>3</v>
      </c>
      <c r="O1556" s="28">
        <v>8</v>
      </c>
      <c r="P1556" s="28">
        <v>4</v>
      </c>
      <c r="Q1556" s="28">
        <v>8</v>
      </c>
      <c r="R1556" s="28">
        <v>0</v>
      </c>
      <c r="S1556" s="28"/>
      <c r="Z1556" s="26" t="s">
        <v>209</v>
      </c>
      <c r="AA1556" s="23"/>
      <c r="AB1556" s="3" t="str">
        <f t="shared" si="13"/>
        <v>ANO_724_51_T34-C1_vm</v>
      </c>
      <c r="AC1556" s="3" t="str">
        <f t="shared" si="12"/>
        <v>ANO_724_51_T34-C1_vm_3</v>
      </c>
      <c r="AD1556" s="3" t="s">
        <v>37</v>
      </c>
    </row>
    <row r="1557" spans="1:30" ht="14">
      <c r="A1557" s="26"/>
      <c r="B1557" s="5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 t="s">
        <v>38</v>
      </c>
      <c r="M1557" s="28">
        <v>22.2</v>
      </c>
      <c r="N1557" s="28">
        <v>0</v>
      </c>
      <c r="O1557" s="28">
        <v>2</v>
      </c>
      <c r="P1557" s="28">
        <v>1</v>
      </c>
      <c r="Q1557" s="28">
        <v>3</v>
      </c>
      <c r="R1557" s="28">
        <v>0</v>
      </c>
      <c r="S1557" s="28"/>
      <c r="Z1557" s="26"/>
      <c r="AA1557" s="23"/>
      <c r="AB1557" s="3" t="str">
        <f t="shared" si="13"/>
        <v>___</v>
      </c>
      <c r="AC1557" s="3" t="str">
        <f t="shared" si="12"/>
        <v>____</v>
      </c>
    </row>
    <row r="1558" spans="1:30" ht="14">
      <c r="A1558" s="29"/>
      <c r="B1558" s="30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 t="s">
        <v>39</v>
      </c>
      <c r="M1558" s="31">
        <v>26.3</v>
      </c>
      <c r="N1558" s="31">
        <v>0</v>
      </c>
      <c r="O1558" s="31">
        <v>4</v>
      </c>
      <c r="P1558" s="31">
        <v>1</v>
      </c>
      <c r="Q1558" s="31">
        <v>3</v>
      </c>
      <c r="R1558" s="31">
        <v>0</v>
      </c>
      <c r="S1558" s="28"/>
      <c r="Z1558" s="29" t="s">
        <v>210</v>
      </c>
      <c r="AA1558" s="23"/>
      <c r="AB1558" s="3" t="str">
        <f t="shared" si="13"/>
        <v>___</v>
      </c>
      <c r="AC1558" s="3" t="str">
        <f t="shared" si="12"/>
        <v>____</v>
      </c>
    </row>
    <row r="1559" spans="1:30" ht="14">
      <c r="A1559" s="28" t="s">
        <v>203</v>
      </c>
      <c r="B1559" s="5" t="s">
        <v>204</v>
      </c>
      <c r="C1559" s="28">
        <v>51</v>
      </c>
      <c r="D1559" s="26" t="s">
        <v>163</v>
      </c>
      <c r="E1559" s="26" t="s">
        <v>34</v>
      </c>
      <c r="F1559" s="26" t="s">
        <v>205</v>
      </c>
      <c r="G1559" s="26" t="s">
        <v>35</v>
      </c>
      <c r="H1559" s="28">
        <v>1</v>
      </c>
      <c r="I1559" s="28">
        <v>5</v>
      </c>
      <c r="J1559" s="28">
        <v>5</v>
      </c>
      <c r="K1559" s="28">
        <v>4</v>
      </c>
      <c r="L1559" s="26" t="s">
        <v>36</v>
      </c>
      <c r="M1559" s="28">
        <v>23</v>
      </c>
      <c r="N1559" s="28">
        <v>13</v>
      </c>
      <c r="O1559" s="28">
        <v>14</v>
      </c>
      <c r="P1559" s="28">
        <v>0</v>
      </c>
      <c r="Q1559" s="28">
        <v>0</v>
      </c>
      <c r="R1559" s="28">
        <v>0</v>
      </c>
      <c r="S1559" s="28"/>
      <c r="Z1559" s="26" t="s">
        <v>211</v>
      </c>
      <c r="AA1559" s="23"/>
      <c r="AB1559" s="3" t="str">
        <f t="shared" si="13"/>
        <v>ANO_724_51_T34-C1_vv</v>
      </c>
      <c r="AC1559" s="3" t="str">
        <f t="shared" si="12"/>
        <v>ANO_724_51_T34-C1_vv_1</v>
      </c>
      <c r="AD1559" s="3" t="s">
        <v>37</v>
      </c>
    </row>
    <row r="1560" spans="1:30" ht="14">
      <c r="A1560" s="26"/>
      <c r="B1560" s="5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 t="s">
        <v>38</v>
      </c>
      <c r="M1560" s="28">
        <v>22.3</v>
      </c>
      <c r="N1560" s="28">
        <v>2</v>
      </c>
      <c r="O1560" s="28">
        <v>4</v>
      </c>
      <c r="P1560" s="28">
        <v>2</v>
      </c>
      <c r="Q1560" s="28">
        <v>2</v>
      </c>
      <c r="R1560" s="28">
        <v>0</v>
      </c>
      <c r="S1560" s="28"/>
      <c r="Z1560" s="26"/>
      <c r="AA1560" s="23"/>
      <c r="AB1560" s="3" t="str">
        <f t="shared" si="13"/>
        <v>___</v>
      </c>
      <c r="AC1560" s="3" t="str">
        <f t="shared" si="12"/>
        <v>____</v>
      </c>
    </row>
    <row r="1561" spans="1:30" ht="14">
      <c r="A1561" s="29"/>
      <c r="B1561" s="30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 t="s">
        <v>39</v>
      </c>
      <c r="M1561" s="31">
        <v>10.7</v>
      </c>
      <c r="N1561" s="31">
        <v>0</v>
      </c>
      <c r="O1561" s="31">
        <v>2</v>
      </c>
      <c r="P1561" s="31">
        <v>0</v>
      </c>
      <c r="Q1561" s="31">
        <v>0</v>
      </c>
      <c r="R1561" s="31">
        <v>0</v>
      </c>
      <c r="S1561" s="28"/>
      <c r="Z1561" s="29"/>
      <c r="AA1561" s="23"/>
      <c r="AB1561" s="3" t="str">
        <f t="shared" si="13"/>
        <v>___</v>
      </c>
      <c r="AC1561" s="3" t="str">
        <f t="shared" si="12"/>
        <v>____</v>
      </c>
    </row>
    <row r="1562" spans="1:30" ht="14">
      <c r="A1562" s="28" t="s">
        <v>203</v>
      </c>
      <c r="B1562" s="5" t="s">
        <v>204</v>
      </c>
      <c r="C1562" s="28">
        <v>51</v>
      </c>
      <c r="D1562" s="26" t="s">
        <v>163</v>
      </c>
      <c r="E1562" s="26" t="s">
        <v>34</v>
      </c>
      <c r="F1562" s="26" t="s">
        <v>205</v>
      </c>
      <c r="G1562" s="26" t="s">
        <v>35</v>
      </c>
      <c r="H1562" s="28">
        <v>2</v>
      </c>
      <c r="I1562" s="28">
        <v>4</v>
      </c>
      <c r="J1562" s="28">
        <v>5.6</v>
      </c>
      <c r="K1562" s="28">
        <v>4</v>
      </c>
      <c r="L1562" s="26" t="s">
        <v>36</v>
      </c>
      <c r="M1562" s="28">
        <v>12</v>
      </c>
      <c r="N1562" s="28">
        <v>8</v>
      </c>
      <c r="O1562" s="28">
        <v>8</v>
      </c>
      <c r="P1562" s="28">
        <v>0</v>
      </c>
      <c r="Q1562" s="28">
        <v>0</v>
      </c>
      <c r="R1562" s="28">
        <v>0</v>
      </c>
      <c r="S1562" s="28"/>
      <c r="Z1562" s="26" t="s">
        <v>211</v>
      </c>
      <c r="AA1562" s="23"/>
      <c r="AB1562" s="3" t="str">
        <f t="shared" si="13"/>
        <v>ANO_724_51_T34-C1_vv</v>
      </c>
      <c r="AC1562" s="3" t="str">
        <f t="shared" si="12"/>
        <v>ANO_724_51_T34-C1_vv_2</v>
      </c>
      <c r="AD1562" s="3" t="s">
        <v>37</v>
      </c>
    </row>
    <row r="1563" spans="1:30" ht="14">
      <c r="A1563" s="26"/>
      <c r="B1563" s="5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 t="s">
        <v>38</v>
      </c>
      <c r="M1563" s="28">
        <v>9</v>
      </c>
      <c r="N1563" s="28">
        <v>3</v>
      </c>
      <c r="O1563" s="28">
        <v>4</v>
      </c>
      <c r="P1563" s="28">
        <v>0</v>
      </c>
      <c r="Q1563" s="28">
        <v>0</v>
      </c>
      <c r="R1563" s="28">
        <v>0</v>
      </c>
      <c r="S1563" s="28"/>
      <c r="Z1563" s="26"/>
      <c r="AA1563" s="23"/>
      <c r="AB1563" s="3" t="str">
        <f t="shared" si="13"/>
        <v>___</v>
      </c>
      <c r="AC1563" s="3" t="str">
        <f t="shared" si="12"/>
        <v>____</v>
      </c>
    </row>
    <row r="1564" spans="1:30" ht="14">
      <c r="A1564" s="29"/>
      <c r="B1564" s="30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 t="s">
        <v>39</v>
      </c>
      <c r="M1564" s="31">
        <v>10</v>
      </c>
      <c r="N1564" s="31">
        <v>1</v>
      </c>
      <c r="O1564" s="31">
        <v>3</v>
      </c>
      <c r="P1564" s="31">
        <v>0</v>
      </c>
      <c r="Q1564" s="31">
        <v>0</v>
      </c>
      <c r="R1564" s="31">
        <v>0</v>
      </c>
      <c r="S1564" s="28"/>
      <c r="Z1564" s="29"/>
      <c r="AA1564" s="23"/>
      <c r="AB1564" s="3" t="str">
        <f t="shared" si="13"/>
        <v>___</v>
      </c>
      <c r="AC1564" s="3" t="str">
        <f t="shared" si="12"/>
        <v>____</v>
      </c>
    </row>
    <row r="1565" spans="1:30" ht="14">
      <c r="A1565" s="28" t="s">
        <v>203</v>
      </c>
      <c r="B1565" s="5" t="s">
        <v>204</v>
      </c>
      <c r="C1565" s="28">
        <v>51</v>
      </c>
      <c r="D1565" s="26" t="s">
        <v>163</v>
      </c>
      <c r="E1565" s="26" t="s">
        <v>34</v>
      </c>
      <c r="F1565" s="26" t="s">
        <v>205</v>
      </c>
      <c r="G1565" s="26" t="s">
        <v>35</v>
      </c>
      <c r="H1565" s="28">
        <v>3</v>
      </c>
      <c r="I1565" s="28">
        <v>2</v>
      </c>
      <c r="J1565" s="28">
        <v>5</v>
      </c>
      <c r="K1565" s="28">
        <v>4</v>
      </c>
      <c r="L1565" s="26" t="s">
        <v>36</v>
      </c>
      <c r="M1565" s="28">
        <v>15</v>
      </c>
      <c r="N1565" s="28">
        <v>7</v>
      </c>
      <c r="O1565" s="28">
        <v>8</v>
      </c>
      <c r="P1565" s="28">
        <v>0</v>
      </c>
      <c r="Q1565" s="28">
        <v>0</v>
      </c>
      <c r="R1565" s="28">
        <v>0</v>
      </c>
      <c r="S1565" s="28"/>
      <c r="Z1565" s="26" t="s">
        <v>212</v>
      </c>
      <c r="AA1565" s="23"/>
      <c r="AB1565" s="3" t="str">
        <f t="shared" si="13"/>
        <v>ANO_724_51_T34-C1_vv</v>
      </c>
      <c r="AC1565" s="3" t="str">
        <f t="shared" si="12"/>
        <v>ANO_724_51_T34-C1_vv_3</v>
      </c>
      <c r="AD1565" s="3" t="s">
        <v>37</v>
      </c>
    </row>
    <row r="1566" spans="1:30" ht="14">
      <c r="A1566" s="26"/>
      <c r="B1566" s="5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 t="s">
        <v>38</v>
      </c>
      <c r="M1566" s="28">
        <v>9</v>
      </c>
      <c r="N1566" s="28">
        <v>2</v>
      </c>
      <c r="O1566" s="28">
        <v>2</v>
      </c>
      <c r="P1566" s="28">
        <v>0</v>
      </c>
      <c r="Q1566" s="28">
        <v>0</v>
      </c>
      <c r="R1566" s="28">
        <v>0</v>
      </c>
      <c r="S1566" s="28"/>
      <c r="Z1566" s="26"/>
      <c r="AA1566" s="23"/>
      <c r="AB1566" s="3" t="str">
        <f t="shared" si="13"/>
        <v>___</v>
      </c>
      <c r="AC1566" s="3" t="str">
        <f t="shared" si="12"/>
        <v>____</v>
      </c>
    </row>
    <row r="1567" spans="1:30" ht="14">
      <c r="A1567" s="29"/>
      <c r="B1567" s="30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 t="s">
        <v>39</v>
      </c>
      <c r="M1567" s="31">
        <v>10</v>
      </c>
      <c r="N1567" s="31">
        <v>0</v>
      </c>
      <c r="O1567" s="31">
        <v>2</v>
      </c>
      <c r="P1567" s="31">
        <v>0</v>
      </c>
      <c r="Q1567" s="31">
        <v>0</v>
      </c>
      <c r="R1567" s="31">
        <v>0</v>
      </c>
      <c r="S1567" s="28"/>
      <c r="Z1567" s="29"/>
      <c r="AA1567" s="23"/>
      <c r="AB1567" s="3" t="str">
        <f t="shared" si="13"/>
        <v>___</v>
      </c>
      <c r="AC1567" s="3" t="str">
        <f t="shared" si="12"/>
        <v>____</v>
      </c>
    </row>
    <row r="1568" spans="1:30" ht="14">
      <c r="A1568" s="28" t="s">
        <v>203</v>
      </c>
      <c r="B1568" s="5" t="s">
        <v>204</v>
      </c>
      <c r="C1568" s="28">
        <v>31</v>
      </c>
      <c r="D1568" s="26" t="s">
        <v>163</v>
      </c>
      <c r="E1568" s="26" t="s">
        <v>34</v>
      </c>
      <c r="F1568" s="26" t="s">
        <v>213</v>
      </c>
      <c r="G1568" s="26" t="s">
        <v>40</v>
      </c>
      <c r="H1568" s="28">
        <v>1</v>
      </c>
      <c r="I1568" s="28">
        <v>20</v>
      </c>
      <c r="J1568" s="28">
        <v>25.5</v>
      </c>
      <c r="K1568" s="28">
        <v>4</v>
      </c>
      <c r="L1568" s="26" t="s">
        <v>36</v>
      </c>
      <c r="M1568" s="28">
        <v>52</v>
      </c>
      <c r="N1568" s="28">
        <v>2</v>
      </c>
      <c r="O1568" s="28">
        <v>6</v>
      </c>
      <c r="P1568" s="28">
        <v>4</v>
      </c>
      <c r="Q1568" s="28">
        <v>0</v>
      </c>
      <c r="R1568" s="28">
        <v>0</v>
      </c>
      <c r="S1568" s="28"/>
      <c r="Z1568" s="26" t="s">
        <v>211</v>
      </c>
      <c r="AA1568" s="23"/>
      <c r="AB1568" s="3" t="str">
        <f t="shared" si="13"/>
        <v>ANO_724_31_V1-C1_vm</v>
      </c>
      <c r="AC1568" s="3" t="str">
        <f t="shared" si="12"/>
        <v>ANO_724_31_V1-C1_vm_1</v>
      </c>
      <c r="AD1568" s="3"/>
    </row>
    <row r="1569" spans="1:30" ht="14">
      <c r="A1569" s="26"/>
      <c r="B1569" s="5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 t="s">
        <v>38</v>
      </c>
      <c r="M1569" s="28">
        <v>31.9</v>
      </c>
      <c r="N1569" s="28">
        <v>0</v>
      </c>
      <c r="O1569" s="28">
        <v>2</v>
      </c>
      <c r="P1569" s="28">
        <v>3</v>
      </c>
      <c r="Q1569" s="28">
        <v>3</v>
      </c>
      <c r="R1569" s="28">
        <v>0</v>
      </c>
      <c r="S1569" s="28"/>
      <c r="Z1569" s="26"/>
      <c r="AA1569" s="23"/>
      <c r="AB1569" s="3" t="str">
        <f t="shared" si="13"/>
        <v>___</v>
      </c>
      <c r="AC1569" s="3" t="str">
        <f t="shared" si="12"/>
        <v>____</v>
      </c>
    </row>
    <row r="1570" spans="1:30" ht="14">
      <c r="A1570" s="29"/>
      <c r="B1570" s="30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 t="s">
        <v>39</v>
      </c>
      <c r="M1570" s="31">
        <v>39.5</v>
      </c>
      <c r="N1570" s="31">
        <v>0</v>
      </c>
      <c r="O1570" s="31">
        <v>2</v>
      </c>
      <c r="P1570" s="31">
        <v>1</v>
      </c>
      <c r="Q1570" s="31">
        <v>3</v>
      </c>
      <c r="R1570" s="31">
        <v>0</v>
      </c>
      <c r="S1570" s="28"/>
      <c r="Z1570" s="29"/>
      <c r="AA1570" s="23"/>
      <c r="AB1570" s="3" t="str">
        <f t="shared" si="13"/>
        <v>___</v>
      </c>
      <c r="AC1570" s="3" t="str">
        <f t="shared" si="12"/>
        <v>____</v>
      </c>
    </row>
    <row r="1571" spans="1:30" ht="14">
      <c r="A1571" s="28" t="s">
        <v>203</v>
      </c>
      <c r="B1571" s="5" t="s">
        <v>204</v>
      </c>
      <c r="C1571" s="28">
        <v>31</v>
      </c>
      <c r="D1571" s="26" t="s">
        <v>163</v>
      </c>
      <c r="E1571" s="26" t="s">
        <v>34</v>
      </c>
      <c r="F1571" s="26" t="s">
        <v>213</v>
      </c>
      <c r="G1571" s="26" t="s">
        <v>40</v>
      </c>
      <c r="H1571" s="28">
        <v>2</v>
      </c>
      <c r="I1571" s="28">
        <v>10</v>
      </c>
      <c r="J1571" s="28">
        <v>12.6</v>
      </c>
      <c r="K1571" s="28">
        <v>3</v>
      </c>
      <c r="L1571" s="26" t="s">
        <v>36</v>
      </c>
      <c r="M1571" s="28">
        <v>50</v>
      </c>
      <c r="N1571" s="28">
        <v>1</v>
      </c>
      <c r="O1571" s="28">
        <v>6</v>
      </c>
      <c r="P1571" s="28">
        <v>2</v>
      </c>
      <c r="Q1571" s="28">
        <v>2</v>
      </c>
      <c r="R1571" s="28">
        <v>0</v>
      </c>
      <c r="S1571" s="28"/>
      <c r="Z1571" s="26" t="s">
        <v>214</v>
      </c>
      <c r="AA1571" s="23"/>
      <c r="AB1571" s="3" t="str">
        <f t="shared" si="13"/>
        <v>ANO_724_31_V1-C1_vm</v>
      </c>
      <c r="AC1571" s="3" t="str">
        <f t="shared" si="12"/>
        <v>ANO_724_31_V1-C1_vm_2</v>
      </c>
      <c r="AD1571" s="3" t="s">
        <v>37</v>
      </c>
    </row>
    <row r="1572" spans="1:30" ht="14">
      <c r="A1572" s="26"/>
      <c r="B1572" s="5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 t="s">
        <v>38</v>
      </c>
      <c r="M1572" s="28">
        <v>35</v>
      </c>
      <c r="N1572" s="28">
        <v>0</v>
      </c>
      <c r="O1572" s="28">
        <v>4</v>
      </c>
      <c r="P1572" s="28">
        <v>1</v>
      </c>
      <c r="Q1572" s="28">
        <v>3</v>
      </c>
      <c r="R1572" s="28">
        <v>0</v>
      </c>
      <c r="S1572" s="28"/>
      <c r="Z1572" s="26"/>
      <c r="AA1572" s="23"/>
      <c r="AB1572" s="3" t="str">
        <f t="shared" si="13"/>
        <v>___</v>
      </c>
      <c r="AC1572" s="3" t="str">
        <f t="shared" si="12"/>
        <v>____</v>
      </c>
    </row>
    <row r="1573" spans="1:30" ht="14">
      <c r="A1573" s="29"/>
      <c r="B1573" s="30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 t="s">
        <v>39</v>
      </c>
      <c r="M1573" s="31">
        <v>11</v>
      </c>
      <c r="N1573" s="31">
        <v>0</v>
      </c>
      <c r="O1573" s="31">
        <v>1</v>
      </c>
      <c r="P1573" s="31">
        <v>1</v>
      </c>
      <c r="Q1573" s="31">
        <v>8</v>
      </c>
      <c r="R1573" s="31">
        <v>0</v>
      </c>
      <c r="S1573" s="28"/>
      <c r="Z1573" s="29"/>
      <c r="AA1573" s="23"/>
      <c r="AB1573" s="3" t="str">
        <f t="shared" si="13"/>
        <v>___</v>
      </c>
      <c r="AC1573" s="3" t="str">
        <f t="shared" si="12"/>
        <v>____</v>
      </c>
    </row>
    <row r="1574" spans="1:30" ht="14">
      <c r="A1574" s="28" t="s">
        <v>203</v>
      </c>
      <c r="B1574" s="5" t="s">
        <v>204</v>
      </c>
      <c r="C1574" s="28">
        <v>31</v>
      </c>
      <c r="D1574" s="26" t="s">
        <v>163</v>
      </c>
      <c r="E1574" s="26" t="s">
        <v>34</v>
      </c>
      <c r="F1574" s="26" t="s">
        <v>213</v>
      </c>
      <c r="G1574" s="26" t="s">
        <v>40</v>
      </c>
      <c r="H1574" s="28">
        <v>3</v>
      </c>
      <c r="I1574" s="28">
        <v>13</v>
      </c>
      <c r="J1574" s="28">
        <v>14.5</v>
      </c>
      <c r="K1574" s="28">
        <v>4</v>
      </c>
      <c r="L1574" s="26" t="s">
        <v>36</v>
      </c>
      <c r="M1574" s="28">
        <v>32.299999999999997</v>
      </c>
      <c r="N1574" s="28">
        <v>3</v>
      </c>
      <c r="O1574" s="28">
        <v>5</v>
      </c>
      <c r="P1574" s="28">
        <v>1</v>
      </c>
      <c r="Q1574" s="28">
        <v>1</v>
      </c>
      <c r="R1574" s="28">
        <v>0</v>
      </c>
      <c r="S1574" s="28"/>
      <c r="Z1574" s="26" t="s">
        <v>215</v>
      </c>
      <c r="AA1574" s="23"/>
      <c r="AB1574" s="3" t="str">
        <f t="shared" si="13"/>
        <v>ANO_724_31_V1-C1_vm</v>
      </c>
      <c r="AC1574" s="3" t="str">
        <f t="shared" si="12"/>
        <v>ANO_724_31_V1-C1_vm_3</v>
      </c>
      <c r="AD1574" s="3" t="s">
        <v>37</v>
      </c>
    </row>
    <row r="1575" spans="1:30" ht="14">
      <c r="A1575" s="26"/>
      <c r="B1575" s="5"/>
      <c r="C1575" s="26"/>
      <c r="D1575" s="26"/>
      <c r="E1575" s="26"/>
      <c r="F1575" s="26"/>
      <c r="G1575" s="26"/>
      <c r="H1575" s="26"/>
      <c r="I1575" s="26"/>
      <c r="J1575" s="26"/>
      <c r="K1575" s="26"/>
      <c r="L1575" s="26" t="s">
        <v>38</v>
      </c>
      <c r="M1575" s="28">
        <v>35</v>
      </c>
      <c r="N1575" s="28">
        <v>0</v>
      </c>
      <c r="O1575" s="28">
        <v>4</v>
      </c>
      <c r="P1575" s="28">
        <v>2</v>
      </c>
      <c r="Q1575" s="28">
        <v>4</v>
      </c>
      <c r="R1575" s="28">
        <v>0</v>
      </c>
      <c r="S1575" s="28"/>
      <c r="Z1575" s="26"/>
      <c r="AA1575" s="23"/>
      <c r="AB1575" s="3" t="str">
        <f t="shared" si="13"/>
        <v>___</v>
      </c>
      <c r="AC1575" s="3" t="str">
        <f t="shared" si="12"/>
        <v>____</v>
      </c>
    </row>
    <row r="1576" spans="1:30" ht="14">
      <c r="A1576" s="29"/>
      <c r="B1576" s="30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 t="s">
        <v>39</v>
      </c>
      <c r="M1576" s="31">
        <v>22.3</v>
      </c>
      <c r="N1576" s="31">
        <v>0</v>
      </c>
      <c r="O1576" s="31">
        <v>3</v>
      </c>
      <c r="P1576" s="31">
        <v>2</v>
      </c>
      <c r="Q1576" s="31">
        <v>5</v>
      </c>
      <c r="R1576" s="31">
        <v>0</v>
      </c>
      <c r="S1576" s="28"/>
      <c r="Z1576" s="29"/>
      <c r="AA1576" s="23"/>
      <c r="AB1576" s="3" t="str">
        <f t="shared" si="13"/>
        <v>___</v>
      </c>
      <c r="AC1576" s="3" t="str">
        <f t="shared" si="12"/>
        <v>____</v>
      </c>
    </row>
    <row r="1577" spans="1:30" ht="14">
      <c r="A1577" s="28" t="s">
        <v>203</v>
      </c>
      <c r="B1577" s="5" t="s">
        <v>204</v>
      </c>
      <c r="C1577" s="28">
        <v>31</v>
      </c>
      <c r="D1577" s="26" t="s">
        <v>163</v>
      </c>
      <c r="E1577" s="26" t="s">
        <v>34</v>
      </c>
      <c r="F1577" s="26" t="s">
        <v>213</v>
      </c>
      <c r="G1577" s="26" t="s">
        <v>35</v>
      </c>
      <c r="H1577" s="28">
        <v>1</v>
      </c>
      <c r="I1577" s="28">
        <v>8</v>
      </c>
      <c r="J1577" s="28">
        <v>8.3000000000000007</v>
      </c>
      <c r="K1577" s="28">
        <v>6</v>
      </c>
      <c r="L1577" s="26" t="s">
        <v>36</v>
      </c>
      <c r="M1577" s="28">
        <v>21</v>
      </c>
      <c r="N1577" s="28">
        <v>9</v>
      </c>
      <c r="O1577" s="28">
        <v>10</v>
      </c>
      <c r="P1577" s="28">
        <v>0</v>
      </c>
      <c r="Q1577" s="28">
        <v>0</v>
      </c>
      <c r="R1577" s="28">
        <v>0</v>
      </c>
      <c r="S1577" s="28"/>
      <c r="Z1577" s="26" t="s">
        <v>211</v>
      </c>
      <c r="AA1577" s="23"/>
      <c r="AB1577" s="3" t="str">
        <f t="shared" si="13"/>
        <v>ANO_724_31_V1-C1_vv</v>
      </c>
      <c r="AC1577" s="3" t="str">
        <f t="shared" si="12"/>
        <v>ANO_724_31_V1-C1_vv_1</v>
      </c>
      <c r="AD1577" s="3" t="s">
        <v>37</v>
      </c>
    </row>
    <row r="1578" spans="1:30" ht="14">
      <c r="A1578" s="26"/>
      <c r="B1578" s="5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 t="s">
        <v>38</v>
      </c>
      <c r="M1578" s="28">
        <v>20</v>
      </c>
      <c r="N1578" s="28">
        <v>4</v>
      </c>
      <c r="O1578" s="28">
        <v>6</v>
      </c>
      <c r="P1578" s="28">
        <v>0</v>
      </c>
      <c r="Q1578" s="28">
        <v>0</v>
      </c>
      <c r="R1578" s="28">
        <v>0</v>
      </c>
      <c r="S1578" s="28"/>
      <c r="Z1578" s="26"/>
      <c r="AA1578" s="23"/>
      <c r="AB1578" s="3" t="str">
        <f t="shared" si="13"/>
        <v>___</v>
      </c>
      <c r="AC1578" s="3" t="str">
        <f t="shared" si="12"/>
        <v>____</v>
      </c>
    </row>
    <row r="1579" spans="1:30" ht="14">
      <c r="A1579" s="29"/>
      <c r="B1579" s="30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 t="s">
        <v>39</v>
      </c>
      <c r="M1579" s="31">
        <v>18.5</v>
      </c>
      <c r="N1579" s="31">
        <v>3</v>
      </c>
      <c r="O1579" s="31">
        <v>5</v>
      </c>
      <c r="P1579" s="31">
        <v>0</v>
      </c>
      <c r="Q1579" s="31">
        <v>0</v>
      </c>
      <c r="R1579" s="31">
        <v>0</v>
      </c>
      <c r="S1579" s="28"/>
      <c r="Z1579" s="29"/>
      <c r="AA1579" s="23"/>
      <c r="AB1579" s="3" t="str">
        <f t="shared" si="13"/>
        <v>___</v>
      </c>
      <c r="AC1579" s="3" t="str">
        <f t="shared" si="12"/>
        <v>____</v>
      </c>
    </row>
    <row r="1580" spans="1:30" ht="14">
      <c r="A1580" s="28" t="s">
        <v>203</v>
      </c>
      <c r="B1580" s="5" t="s">
        <v>204</v>
      </c>
      <c r="C1580" s="28">
        <v>31</v>
      </c>
      <c r="D1580" s="26" t="s">
        <v>163</v>
      </c>
      <c r="E1580" s="26" t="s">
        <v>34</v>
      </c>
      <c r="F1580" s="26" t="s">
        <v>213</v>
      </c>
      <c r="G1580" s="26" t="s">
        <v>35</v>
      </c>
      <c r="H1580" s="28">
        <v>2</v>
      </c>
      <c r="I1580" s="28">
        <v>10</v>
      </c>
      <c r="J1580" s="28">
        <v>10.4</v>
      </c>
      <c r="K1580" s="28">
        <v>5</v>
      </c>
      <c r="L1580" s="26" t="s">
        <v>36</v>
      </c>
      <c r="M1580" s="28">
        <v>17.5</v>
      </c>
      <c r="N1580" s="28">
        <v>6</v>
      </c>
      <c r="O1580" s="28">
        <v>6</v>
      </c>
      <c r="P1580" s="28">
        <v>0</v>
      </c>
      <c r="Q1580" s="28">
        <v>0</v>
      </c>
      <c r="R1580" s="28">
        <v>0</v>
      </c>
      <c r="S1580" s="28"/>
      <c r="Z1580" s="26" t="s">
        <v>211</v>
      </c>
      <c r="AA1580" s="23"/>
      <c r="AB1580" s="3" t="str">
        <f t="shared" si="13"/>
        <v>ANO_724_31_V1-C1_vv</v>
      </c>
      <c r="AC1580" s="3" t="str">
        <f t="shared" si="12"/>
        <v>ANO_724_31_V1-C1_vv_2</v>
      </c>
      <c r="AD1580" s="3" t="s">
        <v>37</v>
      </c>
    </row>
    <row r="1581" spans="1:30" ht="14">
      <c r="A1581" s="26"/>
      <c r="B1581" s="5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 t="s">
        <v>38</v>
      </c>
      <c r="M1581" s="28">
        <v>26</v>
      </c>
      <c r="N1581" s="28">
        <v>7</v>
      </c>
      <c r="O1581" s="28">
        <v>8</v>
      </c>
      <c r="P1581" s="28">
        <v>0</v>
      </c>
      <c r="Q1581" s="28">
        <v>0</v>
      </c>
      <c r="R1581" s="28">
        <v>0</v>
      </c>
      <c r="S1581" s="28"/>
      <c r="Z1581" s="26"/>
      <c r="AA1581" s="23"/>
      <c r="AB1581" s="3" t="str">
        <f t="shared" si="13"/>
        <v>___</v>
      </c>
      <c r="AC1581" s="3" t="str">
        <f t="shared" si="12"/>
        <v>____</v>
      </c>
    </row>
    <row r="1582" spans="1:30" ht="14">
      <c r="A1582" s="29"/>
      <c r="B1582" s="30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 t="s">
        <v>39</v>
      </c>
      <c r="M1582" s="31">
        <v>19</v>
      </c>
      <c r="N1582" s="31">
        <v>2</v>
      </c>
      <c r="O1582" s="31">
        <v>4</v>
      </c>
      <c r="P1582" s="31">
        <v>0</v>
      </c>
      <c r="Q1582" s="31">
        <v>0</v>
      </c>
      <c r="R1582" s="31">
        <v>0</v>
      </c>
      <c r="S1582" s="28"/>
      <c r="Z1582" s="29"/>
      <c r="AA1582" s="23"/>
      <c r="AB1582" s="3" t="str">
        <f t="shared" si="13"/>
        <v>___</v>
      </c>
      <c r="AC1582" s="3" t="str">
        <f t="shared" si="12"/>
        <v>____</v>
      </c>
    </row>
    <row r="1583" spans="1:30" ht="14">
      <c r="A1583" s="28" t="s">
        <v>203</v>
      </c>
      <c r="B1583" s="5" t="s">
        <v>204</v>
      </c>
      <c r="C1583" s="28">
        <v>31</v>
      </c>
      <c r="D1583" s="26" t="s">
        <v>163</v>
      </c>
      <c r="E1583" s="26" t="s">
        <v>34</v>
      </c>
      <c r="F1583" s="26" t="s">
        <v>213</v>
      </c>
      <c r="G1583" s="26" t="s">
        <v>35</v>
      </c>
      <c r="H1583" s="28">
        <v>3</v>
      </c>
      <c r="I1583" s="28">
        <v>6</v>
      </c>
      <c r="J1583" s="28">
        <v>7.2</v>
      </c>
      <c r="K1583" s="28">
        <v>6</v>
      </c>
      <c r="L1583" s="26" t="s">
        <v>36</v>
      </c>
      <c r="M1583" s="28">
        <v>18</v>
      </c>
      <c r="N1583" s="28">
        <v>9</v>
      </c>
      <c r="O1583" s="28">
        <v>10</v>
      </c>
      <c r="P1583" s="28">
        <v>0</v>
      </c>
      <c r="Q1583" s="28">
        <v>0</v>
      </c>
      <c r="R1583" s="28">
        <v>0</v>
      </c>
      <c r="S1583" s="28"/>
      <c r="Z1583" s="26" t="s">
        <v>211</v>
      </c>
      <c r="AA1583" s="23"/>
      <c r="AB1583" s="3" t="str">
        <f t="shared" si="13"/>
        <v>ANO_724_31_V1-C1_vv</v>
      </c>
      <c r="AC1583" s="3" t="str">
        <f t="shared" si="12"/>
        <v>ANO_724_31_V1-C1_vv_3</v>
      </c>
      <c r="AD1583" s="3" t="s">
        <v>37</v>
      </c>
    </row>
    <row r="1584" spans="1:30" ht="14">
      <c r="A1584" s="26"/>
      <c r="B1584" s="5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 t="s">
        <v>38</v>
      </c>
      <c r="M1584" s="28">
        <v>16</v>
      </c>
      <c r="N1584" s="28">
        <v>3</v>
      </c>
      <c r="O1584" s="28">
        <v>4</v>
      </c>
      <c r="P1584" s="28">
        <v>0</v>
      </c>
      <c r="Q1584" s="28">
        <v>0</v>
      </c>
      <c r="R1584" s="28">
        <v>0</v>
      </c>
      <c r="S1584" s="28"/>
      <c r="Z1584" s="26"/>
      <c r="AA1584" s="23"/>
      <c r="AB1584" s="3" t="str">
        <f t="shared" si="13"/>
        <v>___</v>
      </c>
      <c r="AC1584" s="3" t="str">
        <f t="shared" si="12"/>
        <v>____</v>
      </c>
    </row>
    <row r="1585" spans="1:31" ht="14">
      <c r="A1585" s="26"/>
      <c r="B1585" s="5"/>
      <c r="C1585" s="26"/>
      <c r="D1585" s="26"/>
      <c r="E1585" s="26"/>
      <c r="F1585" s="26"/>
      <c r="G1585" s="26"/>
      <c r="H1585" s="26"/>
      <c r="I1585" s="26"/>
      <c r="J1585" s="26"/>
      <c r="K1585" s="26"/>
      <c r="L1585" s="26" t="s">
        <v>39</v>
      </c>
      <c r="M1585" s="28">
        <v>8</v>
      </c>
      <c r="N1585" s="28">
        <v>0</v>
      </c>
      <c r="O1585" s="28">
        <v>2</v>
      </c>
      <c r="P1585" s="28">
        <v>0</v>
      </c>
      <c r="Q1585" s="28">
        <v>0</v>
      </c>
      <c r="R1585" s="28">
        <v>0</v>
      </c>
      <c r="S1585" s="28"/>
      <c r="Z1585" s="26"/>
      <c r="AA1585" s="23"/>
      <c r="AB1585" s="3" t="str">
        <f t="shared" si="13"/>
        <v>___</v>
      </c>
      <c r="AC1585" s="3" t="str">
        <f t="shared" si="12"/>
        <v>____</v>
      </c>
    </row>
    <row r="1586" spans="1:31" ht="14">
      <c r="A1586" s="24" t="s">
        <v>203</v>
      </c>
      <c r="B1586" s="25" t="s">
        <v>216</v>
      </c>
      <c r="C1586" s="24">
        <v>11</v>
      </c>
      <c r="D1586" s="27" t="s">
        <v>163</v>
      </c>
      <c r="E1586" s="27" t="s">
        <v>180</v>
      </c>
      <c r="F1586" s="27" t="s">
        <v>217</v>
      </c>
      <c r="G1586" s="27" t="s">
        <v>40</v>
      </c>
      <c r="H1586" s="24">
        <v>1</v>
      </c>
      <c r="I1586" s="24">
        <v>15</v>
      </c>
      <c r="J1586" s="24">
        <v>18.399999999999999</v>
      </c>
      <c r="K1586" s="24">
        <v>6</v>
      </c>
      <c r="L1586" s="27" t="s">
        <v>36</v>
      </c>
      <c r="M1586" s="24">
        <v>35.299999999999997</v>
      </c>
      <c r="N1586" s="24">
        <v>6</v>
      </c>
      <c r="O1586" s="24">
        <v>7</v>
      </c>
      <c r="P1586" s="24">
        <v>0</v>
      </c>
      <c r="Q1586" s="24">
        <v>0</v>
      </c>
      <c r="R1586" s="24">
        <v>0</v>
      </c>
      <c r="S1586" s="28"/>
      <c r="Z1586" s="27" t="s">
        <v>218</v>
      </c>
      <c r="AA1586" s="23"/>
      <c r="AB1586" s="3" t="str">
        <f t="shared" si="13"/>
        <v>ANO_843_11_T4C2_vm</v>
      </c>
      <c r="AC1586" s="3" t="str">
        <f t="shared" si="12"/>
        <v>ANO_843_11_T4C2_vm_1</v>
      </c>
      <c r="AD1586" s="3" t="s">
        <v>37</v>
      </c>
    </row>
    <row r="1587" spans="1:31" ht="14">
      <c r="A1587" s="26"/>
      <c r="B1587" s="5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 t="s">
        <v>38</v>
      </c>
      <c r="M1587" s="28">
        <v>42</v>
      </c>
      <c r="N1587" s="28">
        <v>0</v>
      </c>
      <c r="O1587" s="28">
        <v>4</v>
      </c>
      <c r="P1587" s="28">
        <v>4</v>
      </c>
      <c r="Q1587" s="28">
        <v>4</v>
      </c>
      <c r="R1587" s="28">
        <v>0</v>
      </c>
      <c r="S1587" s="28"/>
      <c r="Z1587" s="26"/>
      <c r="AA1587" s="23"/>
      <c r="AB1587" s="3" t="str">
        <f t="shared" si="13"/>
        <v>___</v>
      </c>
      <c r="AC1587" s="3" t="str">
        <f t="shared" si="12"/>
        <v>____</v>
      </c>
    </row>
    <row r="1588" spans="1:31" ht="14">
      <c r="A1588" s="29"/>
      <c r="B1588" s="30"/>
      <c r="C1588" s="29"/>
      <c r="D1588" s="29"/>
      <c r="E1588" s="29"/>
      <c r="F1588" s="29"/>
      <c r="G1588" s="29"/>
      <c r="H1588" s="29"/>
      <c r="I1588" s="29"/>
      <c r="J1588" s="29"/>
      <c r="K1588" s="29"/>
      <c r="L1588" s="26" t="s">
        <v>39</v>
      </c>
      <c r="M1588" s="31">
        <v>25</v>
      </c>
      <c r="N1588" s="31">
        <v>0</v>
      </c>
      <c r="O1588" s="31">
        <v>2</v>
      </c>
      <c r="P1588" s="31">
        <v>2</v>
      </c>
      <c r="Q1588" s="31">
        <v>4</v>
      </c>
      <c r="R1588" s="31">
        <v>0</v>
      </c>
      <c r="S1588" s="28"/>
      <c r="Z1588" s="29"/>
      <c r="AA1588" s="23"/>
      <c r="AB1588" s="3" t="str">
        <f t="shared" si="13"/>
        <v>___</v>
      </c>
      <c r="AC1588" s="3" t="str">
        <f t="shared" si="12"/>
        <v>____</v>
      </c>
    </row>
    <row r="1589" spans="1:31" ht="14">
      <c r="A1589" s="28" t="s">
        <v>203</v>
      </c>
      <c r="B1589" s="5" t="s">
        <v>216</v>
      </c>
      <c r="C1589" s="28">
        <v>11</v>
      </c>
      <c r="D1589" s="26" t="s">
        <v>163</v>
      </c>
      <c r="E1589" s="26" t="s">
        <v>180</v>
      </c>
      <c r="F1589" s="26" t="s">
        <v>217</v>
      </c>
      <c r="G1589" s="26" t="s">
        <v>40</v>
      </c>
      <c r="H1589" s="28">
        <v>2</v>
      </c>
      <c r="I1589" s="28">
        <v>18</v>
      </c>
      <c r="J1589" s="28">
        <v>19.5</v>
      </c>
      <c r="K1589" s="28">
        <v>6</v>
      </c>
      <c r="L1589" s="27" t="s">
        <v>36</v>
      </c>
      <c r="M1589" s="28">
        <v>65.8</v>
      </c>
      <c r="N1589" s="28">
        <v>5</v>
      </c>
      <c r="O1589" s="28">
        <v>8</v>
      </c>
      <c r="P1589" s="28">
        <v>4</v>
      </c>
      <c r="Q1589" s="28">
        <v>4</v>
      </c>
      <c r="R1589" s="28">
        <v>0</v>
      </c>
      <c r="S1589" s="28"/>
      <c r="Z1589" s="26" t="s">
        <v>166</v>
      </c>
      <c r="AA1589" s="23"/>
      <c r="AB1589" s="3" t="str">
        <f t="shared" si="13"/>
        <v>ANO_843_11_T4C2_vm</v>
      </c>
      <c r="AC1589" s="3" t="str">
        <f t="shared" si="12"/>
        <v>ANO_843_11_T4C2_vm_2</v>
      </c>
      <c r="AD1589" s="3" t="s">
        <v>37</v>
      </c>
    </row>
    <row r="1590" spans="1:31" ht="14">
      <c r="A1590" s="26"/>
      <c r="B1590" s="5"/>
      <c r="C1590" s="26"/>
      <c r="D1590" s="26"/>
      <c r="E1590" s="26"/>
      <c r="F1590" s="26"/>
      <c r="G1590" s="26"/>
      <c r="H1590" s="26"/>
      <c r="I1590" s="26"/>
      <c r="J1590" s="26"/>
      <c r="K1590" s="26"/>
      <c r="L1590" s="26" t="s">
        <v>38</v>
      </c>
      <c r="M1590" s="28">
        <v>42.6</v>
      </c>
      <c r="N1590" s="28">
        <v>0</v>
      </c>
      <c r="O1590" s="28">
        <v>5</v>
      </c>
      <c r="P1590" s="28">
        <v>1</v>
      </c>
      <c r="Q1590" s="28">
        <v>4</v>
      </c>
      <c r="R1590" s="28">
        <v>0</v>
      </c>
      <c r="S1590" s="28"/>
      <c r="Z1590" s="26"/>
      <c r="AA1590" s="23"/>
      <c r="AB1590" s="3" t="str">
        <f t="shared" si="13"/>
        <v>___</v>
      </c>
      <c r="AC1590" s="3" t="str">
        <f t="shared" si="12"/>
        <v>____</v>
      </c>
    </row>
    <row r="1591" spans="1:31" ht="14">
      <c r="A1591" s="26"/>
      <c r="B1591" s="5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 t="s">
        <v>39</v>
      </c>
      <c r="M1591" s="28">
        <v>27.3</v>
      </c>
      <c r="N1591" s="28">
        <v>0</v>
      </c>
      <c r="O1591" s="28">
        <v>2</v>
      </c>
      <c r="P1591" s="28">
        <v>3</v>
      </c>
      <c r="Q1591" s="28">
        <v>6</v>
      </c>
      <c r="R1591" s="28">
        <v>0</v>
      </c>
      <c r="S1591" s="28"/>
      <c r="Z1591" s="26"/>
      <c r="AA1591" s="23"/>
      <c r="AB1591" s="3" t="str">
        <f t="shared" si="13"/>
        <v>___</v>
      </c>
      <c r="AC1591" s="3" t="str">
        <f t="shared" si="12"/>
        <v>____</v>
      </c>
    </row>
    <row r="1592" spans="1:31" ht="14">
      <c r="A1592" s="24" t="s">
        <v>203</v>
      </c>
      <c r="B1592" s="25" t="s">
        <v>216</v>
      </c>
      <c r="C1592" s="24">
        <v>11</v>
      </c>
      <c r="D1592" s="27" t="s">
        <v>163</v>
      </c>
      <c r="E1592" s="27" t="s">
        <v>180</v>
      </c>
      <c r="F1592" s="27" t="s">
        <v>217</v>
      </c>
      <c r="G1592" s="27" t="s">
        <v>40</v>
      </c>
      <c r="H1592" s="24">
        <v>3</v>
      </c>
      <c r="I1592" s="24">
        <v>11</v>
      </c>
      <c r="J1592" s="24">
        <v>17.5</v>
      </c>
      <c r="K1592" s="24">
        <v>5</v>
      </c>
      <c r="L1592" s="27" t="s">
        <v>36</v>
      </c>
      <c r="M1592" s="24">
        <v>45</v>
      </c>
      <c r="N1592" s="24">
        <v>4</v>
      </c>
      <c r="O1592" s="24">
        <v>6</v>
      </c>
      <c r="P1592" s="24">
        <v>2</v>
      </c>
      <c r="Q1592" s="24">
        <v>2</v>
      </c>
      <c r="R1592" s="24">
        <v>0</v>
      </c>
      <c r="S1592" s="28"/>
      <c r="Z1592" s="27" t="s">
        <v>166</v>
      </c>
      <c r="AA1592" s="23"/>
      <c r="AB1592" s="3" t="str">
        <f t="shared" si="13"/>
        <v>ANO_843_11_T4C2_vm</v>
      </c>
      <c r="AC1592" s="3" t="str">
        <f t="shared" si="12"/>
        <v>ANO_843_11_T4C2_vm_3</v>
      </c>
      <c r="AD1592" s="3" t="s">
        <v>37</v>
      </c>
    </row>
    <row r="1593" spans="1:31" ht="14">
      <c r="A1593" s="26"/>
      <c r="B1593" s="5"/>
      <c r="C1593" s="26"/>
      <c r="D1593" s="26"/>
      <c r="E1593" s="26"/>
      <c r="F1593" s="26"/>
      <c r="G1593" s="26"/>
      <c r="H1593" s="26"/>
      <c r="I1593" s="26"/>
      <c r="J1593" s="26"/>
      <c r="K1593" s="26"/>
      <c r="L1593" s="26" t="s">
        <v>38</v>
      </c>
      <c r="M1593" s="28">
        <v>30</v>
      </c>
      <c r="N1593" s="28">
        <v>0</v>
      </c>
      <c r="O1593" s="28">
        <v>4</v>
      </c>
      <c r="P1593" s="28">
        <v>3</v>
      </c>
      <c r="Q1593" s="28">
        <v>5</v>
      </c>
      <c r="R1593" s="28">
        <v>0</v>
      </c>
      <c r="S1593" s="28"/>
      <c r="Z1593" s="26"/>
      <c r="AA1593" s="23"/>
      <c r="AB1593" s="3" t="str">
        <f t="shared" si="13"/>
        <v>___</v>
      </c>
      <c r="AC1593" s="3" t="str">
        <f t="shared" si="12"/>
        <v>____</v>
      </c>
    </row>
    <row r="1594" spans="1:31" ht="14">
      <c r="A1594" s="29"/>
      <c r="B1594" s="30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 t="s">
        <v>39</v>
      </c>
      <c r="M1594" s="31">
        <v>27.9</v>
      </c>
      <c r="N1594" s="31">
        <v>0</v>
      </c>
      <c r="O1594" s="31">
        <v>2</v>
      </c>
      <c r="P1594" s="31">
        <v>3</v>
      </c>
      <c r="Q1594" s="31">
        <v>4</v>
      </c>
      <c r="R1594" s="31">
        <v>0</v>
      </c>
      <c r="S1594" s="28"/>
      <c r="Z1594" s="29"/>
      <c r="AA1594" s="23"/>
      <c r="AB1594" s="3" t="str">
        <f t="shared" si="13"/>
        <v>___</v>
      </c>
      <c r="AC1594" s="3" t="str">
        <f t="shared" si="12"/>
        <v>____</v>
      </c>
    </row>
    <row r="1595" spans="1:31" ht="14">
      <c r="A1595" s="23"/>
      <c r="B1595" s="32">
        <v>145</v>
      </c>
      <c r="C1595" s="32">
        <v>51</v>
      </c>
      <c r="D1595" s="23"/>
      <c r="E1595" s="23"/>
      <c r="F1595" s="23"/>
      <c r="G1595" s="32" t="s">
        <v>40</v>
      </c>
      <c r="H1595" s="33">
        <v>1</v>
      </c>
      <c r="I1595" s="32">
        <v>29.9</v>
      </c>
      <c r="J1595" s="32">
        <v>5.6</v>
      </c>
      <c r="K1595" s="32">
        <v>6</v>
      </c>
      <c r="L1595" s="32" t="s">
        <v>36</v>
      </c>
      <c r="M1595" s="33">
        <v>56</v>
      </c>
      <c r="N1595" s="33">
        <v>6</v>
      </c>
      <c r="O1595" s="33">
        <v>6</v>
      </c>
      <c r="P1595" s="32">
        <v>0</v>
      </c>
      <c r="Q1595" s="33">
        <v>0</v>
      </c>
      <c r="R1595" s="32">
        <v>1</v>
      </c>
      <c r="S1595" s="32"/>
      <c r="T1595" s="3">
        <v>4.061E-2</v>
      </c>
      <c r="U1595" s="3">
        <v>2.9360000000000001E-2</v>
      </c>
      <c r="V1595" s="3">
        <v>0</v>
      </c>
      <c r="W1595" s="3">
        <v>5.8199999999999997E-3</v>
      </c>
      <c r="X1595" s="3"/>
      <c r="Y1595" s="3">
        <v>0</v>
      </c>
      <c r="Z1595" s="23"/>
      <c r="AA1595" s="23"/>
      <c r="AB1595" s="3" t="str">
        <f t="shared" si="13"/>
        <v>145_51__vm</v>
      </c>
      <c r="AC1595" s="3" t="str">
        <f t="shared" si="12"/>
        <v>145_51__vm_1</v>
      </c>
      <c r="AE1595" s="3" t="s">
        <v>37</v>
      </c>
    </row>
    <row r="1596" spans="1:31" ht="14">
      <c r="A1596" s="23"/>
      <c r="B1596" s="23"/>
      <c r="C1596" s="23"/>
      <c r="D1596" s="23"/>
      <c r="E1596" s="23"/>
      <c r="F1596" s="23"/>
      <c r="G1596" s="23"/>
      <c r="H1596" s="33"/>
      <c r="I1596" s="23"/>
      <c r="J1596" s="23"/>
      <c r="K1596" s="23"/>
      <c r="L1596" s="32" t="s">
        <v>38</v>
      </c>
      <c r="M1596" s="33">
        <v>85</v>
      </c>
      <c r="N1596" s="33">
        <v>0</v>
      </c>
      <c r="O1596" s="33">
        <v>3</v>
      </c>
      <c r="P1596" s="32">
        <v>3</v>
      </c>
      <c r="Q1596" s="33">
        <v>3</v>
      </c>
      <c r="R1596" s="32">
        <v>0</v>
      </c>
      <c r="S1596" s="32"/>
      <c r="T1596" s="3">
        <v>0</v>
      </c>
      <c r="U1596" s="3">
        <v>0.11081000000000001</v>
      </c>
      <c r="V1596" s="34">
        <v>0.28026000000000001</v>
      </c>
      <c r="W1596" s="3">
        <v>0</v>
      </c>
      <c r="X1596" s="3"/>
      <c r="Y1596" s="3">
        <v>0</v>
      </c>
      <c r="Z1596" s="32" t="s">
        <v>219</v>
      </c>
      <c r="AA1596" s="23"/>
      <c r="AB1596" s="3" t="str">
        <f t="shared" si="13"/>
        <v>___</v>
      </c>
      <c r="AC1596" s="3" t="str">
        <f t="shared" si="12"/>
        <v>____</v>
      </c>
    </row>
    <row r="1597" spans="1:31" ht="14">
      <c r="A1597" s="23"/>
      <c r="B1597" s="23"/>
      <c r="C1597" s="23"/>
      <c r="D1597" s="23"/>
      <c r="E1597" s="23"/>
      <c r="F1597" s="23"/>
      <c r="G1597" s="23"/>
      <c r="H1597" s="22"/>
      <c r="I1597" s="23"/>
      <c r="J1597" s="23"/>
      <c r="K1597" s="23"/>
      <c r="L1597" s="32" t="s">
        <v>39</v>
      </c>
      <c r="M1597" s="33">
        <v>82</v>
      </c>
      <c r="N1597" s="33">
        <v>0</v>
      </c>
      <c r="O1597" s="33">
        <v>5</v>
      </c>
      <c r="P1597" s="32">
        <v>2</v>
      </c>
      <c r="Q1597" s="33">
        <v>2</v>
      </c>
      <c r="R1597" s="32">
        <v>0</v>
      </c>
      <c r="S1597" s="32"/>
      <c r="T1597" s="3">
        <v>0</v>
      </c>
      <c r="U1597" s="3">
        <v>0.17484</v>
      </c>
      <c r="V1597" s="3">
        <v>0.19531000000000001</v>
      </c>
      <c r="W1597" s="3">
        <v>0</v>
      </c>
      <c r="X1597" s="3"/>
      <c r="Y1597" s="3">
        <v>0</v>
      </c>
      <c r="Z1597" s="32" t="s">
        <v>220</v>
      </c>
      <c r="AA1597" s="23"/>
      <c r="AB1597" s="3" t="str">
        <f t="shared" si="13"/>
        <v>___</v>
      </c>
      <c r="AC1597" s="3" t="str">
        <f t="shared" si="12"/>
        <v>____</v>
      </c>
    </row>
    <row r="1598" spans="1:31" ht="14">
      <c r="A1598" s="23"/>
      <c r="B1598" s="32">
        <v>145</v>
      </c>
      <c r="C1598" s="32">
        <v>51</v>
      </c>
      <c r="D1598" s="23"/>
      <c r="E1598" s="23"/>
      <c r="F1598" s="23"/>
      <c r="G1598" s="32" t="s">
        <v>40</v>
      </c>
      <c r="H1598" s="33">
        <v>2</v>
      </c>
      <c r="I1598" s="32">
        <v>29.4</v>
      </c>
      <c r="J1598" s="32">
        <v>27.7</v>
      </c>
      <c r="K1598" s="32">
        <v>5</v>
      </c>
      <c r="L1598" s="32" t="s">
        <v>36</v>
      </c>
      <c r="M1598" s="33">
        <v>57</v>
      </c>
      <c r="N1598" s="33">
        <v>7</v>
      </c>
      <c r="O1598" s="33">
        <v>7</v>
      </c>
      <c r="P1598" s="32">
        <v>0</v>
      </c>
      <c r="Q1598" s="33">
        <v>0</v>
      </c>
      <c r="R1598" s="32">
        <v>0</v>
      </c>
      <c r="S1598" s="32"/>
      <c r="T1598" s="3">
        <v>4.845E-2</v>
      </c>
      <c r="U1598" s="3">
        <v>3.4610000000000002E-2</v>
      </c>
      <c r="V1598" s="3">
        <v>0</v>
      </c>
      <c r="W1598" s="3">
        <v>0</v>
      </c>
      <c r="X1598" s="3"/>
      <c r="Y1598" s="3">
        <v>0</v>
      </c>
      <c r="Z1598" s="23"/>
      <c r="AA1598" s="23"/>
      <c r="AB1598" s="3" t="str">
        <f t="shared" si="13"/>
        <v>145_51__vm</v>
      </c>
      <c r="AC1598" s="3" t="str">
        <f t="shared" si="12"/>
        <v>145_51__vm_2</v>
      </c>
      <c r="AE1598" s="3" t="s">
        <v>37</v>
      </c>
    </row>
    <row r="1599" spans="1:31" ht="14">
      <c r="A1599" s="23"/>
      <c r="B1599" s="23"/>
      <c r="C1599" s="23"/>
      <c r="D1599" s="23"/>
      <c r="E1599" s="23"/>
      <c r="F1599" s="23"/>
      <c r="G1599" s="23"/>
      <c r="H1599" s="22"/>
      <c r="I1599" s="23"/>
      <c r="J1599" s="23"/>
      <c r="K1599" s="23"/>
      <c r="L1599" s="32" t="s">
        <v>38</v>
      </c>
      <c r="M1599" s="33">
        <v>80</v>
      </c>
      <c r="N1599" s="33">
        <v>0</v>
      </c>
      <c r="O1599" s="33">
        <v>3</v>
      </c>
      <c r="P1599" s="32">
        <v>3</v>
      </c>
      <c r="Q1599" s="33">
        <v>3</v>
      </c>
      <c r="R1599" s="32">
        <v>0</v>
      </c>
      <c r="S1599" s="32"/>
      <c r="T1599" s="3">
        <v>0</v>
      </c>
      <c r="U1599" s="3">
        <v>9.9419999999999994E-2</v>
      </c>
      <c r="V1599" s="3">
        <v>0.17627000000000001</v>
      </c>
      <c r="W1599" s="3">
        <v>0</v>
      </c>
      <c r="X1599" s="3"/>
      <c r="Y1599" s="3">
        <v>0</v>
      </c>
      <c r="Z1599" s="23"/>
      <c r="AA1599" s="23"/>
      <c r="AB1599" s="3" t="str">
        <f t="shared" si="13"/>
        <v>___</v>
      </c>
      <c r="AC1599" s="3" t="str">
        <f t="shared" si="12"/>
        <v>____</v>
      </c>
    </row>
    <row r="1600" spans="1:31" ht="14">
      <c r="A1600" s="23"/>
      <c r="B1600" s="23"/>
      <c r="C1600" s="23"/>
      <c r="D1600" s="23"/>
      <c r="E1600" s="23"/>
      <c r="F1600" s="23"/>
      <c r="G1600" s="23"/>
      <c r="H1600" s="22"/>
      <c r="I1600" s="23"/>
      <c r="J1600" s="23"/>
      <c r="K1600" s="23"/>
      <c r="L1600" s="32" t="s">
        <v>39</v>
      </c>
      <c r="M1600" s="33">
        <v>117</v>
      </c>
      <c r="N1600" s="33">
        <v>0</v>
      </c>
      <c r="O1600" s="33">
        <v>7</v>
      </c>
      <c r="P1600" s="32">
        <v>3</v>
      </c>
      <c r="Q1600" s="33">
        <v>3</v>
      </c>
      <c r="R1600" s="32">
        <v>0</v>
      </c>
      <c r="S1600" s="32"/>
      <c r="T1600" s="3">
        <v>0</v>
      </c>
      <c r="U1600" s="3">
        <v>0.32507999999999998</v>
      </c>
      <c r="V1600" s="3">
        <v>0.41632000000000002</v>
      </c>
      <c r="W1600" s="3">
        <v>0</v>
      </c>
      <c r="X1600" s="3"/>
      <c r="Y1600" s="3">
        <v>0</v>
      </c>
      <c r="Z1600" s="23"/>
      <c r="AA1600" s="23"/>
      <c r="AB1600" s="3" t="str">
        <f t="shared" si="13"/>
        <v>___</v>
      </c>
      <c r="AC1600" s="3" t="str">
        <f t="shared" si="12"/>
        <v>____</v>
      </c>
    </row>
    <row r="1601" spans="1:31" ht="14">
      <c r="A1601" s="23"/>
      <c r="B1601" s="32">
        <v>145</v>
      </c>
      <c r="C1601" s="32">
        <v>51</v>
      </c>
      <c r="D1601" s="23"/>
      <c r="E1601" s="23"/>
      <c r="F1601" s="23"/>
      <c r="G1601" s="32" t="s">
        <v>40</v>
      </c>
      <c r="H1601" s="33">
        <v>3</v>
      </c>
      <c r="I1601" s="32">
        <v>27.8</v>
      </c>
      <c r="J1601" s="32">
        <v>38.700000000000003</v>
      </c>
      <c r="K1601" s="32">
        <v>6</v>
      </c>
      <c r="L1601" s="32" t="s">
        <v>36</v>
      </c>
      <c r="M1601" s="33">
        <v>64</v>
      </c>
      <c r="N1601" s="33">
        <v>8</v>
      </c>
      <c r="O1601" s="33">
        <v>8</v>
      </c>
      <c r="P1601" s="32">
        <v>0</v>
      </c>
      <c r="Q1601" s="33">
        <v>0</v>
      </c>
      <c r="R1601" s="32">
        <v>1</v>
      </c>
      <c r="S1601" s="32"/>
      <c r="T1601" s="3">
        <v>5.4980000000000001E-2</v>
      </c>
      <c r="U1601" s="3">
        <v>2.9850000000000002E-2</v>
      </c>
      <c r="V1601" s="3">
        <v>0</v>
      </c>
      <c r="W1601" s="3">
        <v>8.7389999999999995E-2</v>
      </c>
      <c r="X1601" s="3"/>
      <c r="Y1601" s="3">
        <v>0</v>
      </c>
      <c r="Z1601" s="32" t="s">
        <v>221</v>
      </c>
      <c r="AA1601" s="23"/>
      <c r="AB1601" s="3" t="str">
        <f t="shared" si="13"/>
        <v>145_51__vm</v>
      </c>
      <c r="AC1601" s="3" t="str">
        <f t="shared" si="12"/>
        <v>145_51__vm_3</v>
      </c>
      <c r="AE1601" s="3" t="s">
        <v>37</v>
      </c>
    </row>
    <row r="1602" spans="1:31" ht="14">
      <c r="A1602" s="23"/>
      <c r="B1602" s="23"/>
      <c r="C1602" s="23"/>
      <c r="D1602" s="23"/>
      <c r="E1602" s="23"/>
      <c r="F1602" s="23"/>
      <c r="G1602" s="23"/>
      <c r="H1602" s="22"/>
      <c r="I1602" s="23"/>
      <c r="J1602" s="23"/>
      <c r="K1602" s="23"/>
      <c r="L1602" s="32" t="s">
        <v>38</v>
      </c>
      <c r="M1602" s="33">
        <v>114</v>
      </c>
      <c r="N1602" s="33">
        <v>0</v>
      </c>
      <c r="O1602" s="33">
        <v>4</v>
      </c>
      <c r="P1602" s="32">
        <v>5</v>
      </c>
      <c r="Q1602" s="33">
        <v>2</v>
      </c>
      <c r="R1602" s="32">
        <v>0</v>
      </c>
      <c r="S1602" s="32"/>
      <c r="T1602" s="3">
        <v>0</v>
      </c>
      <c r="U1602" s="3">
        <v>0.13547999999999999</v>
      </c>
      <c r="V1602" s="3">
        <v>0.14984</v>
      </c>
      <c r="W1602" s="3">
        <v>0</v>
      </c>
      <c r="X1602" s="3"/>
      <c r="Y1602" s="3">
        <v>0</v>
      </c>
      <c r="Z1602" s="23"/>
      <c r="AA1602" s="23"/>
      <c r="AB1602" s="3" t="str">
        <f t="shared" si="13"/>
        <v>___</v>
      </c>
      <c r="AC1602" s="3" t="str">
        <f t="shared" si="12"/>
        <v>____</v>
      </c>
    </row>
    <row r="1603" spans="1:31" ht="14">
      <c r="A1603" s="23"/>
      <c r="B1603" s="23"/>
      <c r="C1603" s="23"/>
      <c r="D1603" s="23"/>
      <c r="E1603" s="23"/>
      <c r="F1603" s="23"/>
      <c r="G1603" s="23"/>
      <c r="H1603" s="22"/>
      <c r="I1603" s="23"/>
      <c r="J1603" s="23"/>
      <c r="K1603" s="23"/>
      <c r="L1603" s="32" t="s">
        <v>39</v>
      </c>
      <c r="M1603" s="33">
        <v>137</v>
      </c>
      <c r="N1603" s="33">
        <v>0</v>
      </c>
      <c r="O1603" s="33">
        <v>8</v>
      </c>
      <c r="P1603" s="32">
        <v>4</v>
      </c>
      <c r="Q1603" s="33">
        <v>3</v>
      </c>
      <c r="R1603" s="32">
        <v>0</v>
      </c>
      <c r="S1603" s="32"/>
      <c r="T1603" s="3">
        <v>0</v>
      </c>
      <c r="U1603" s="3">
        <v>0.48899999999999999</v>
      </c>
      <c r="V1603" s="3">
        <v>0.90815000000000001</v>
      </c>
      <c r="W1603" s="3">
        <v>0</v>
      </c>
      <c r="X1603" s="3"/>
      <c r="Y1603" s="3">
        <v>0</v>
      </c>
      <c r="Z1603" s="23"/>
      <c r="AA1603" s="23"/>
      <c r="AB1603" s="3" t="str">
        <f t="shared" si="13"/>
        <v>___</v>
      </c>
      <c r="AC1603" s="3" t="str">
        <f t="shared" si="12"/>
        <v>____</v>
      </c>
    </row>
    <row r="1604" spans="1:31" ht="14">
      <c r="A1604" s="23"/>
      <c r="B1604" s="32">
        <v>145</v>
      </c>
      <c r="C1604" s="32">
        <v>51</v>
      </c>
      <c r="D1604" s="23"/>
      <c r="E1604" s="23"/>
      <c r="F1604" s="23"/>
      <c r="G1604" s="32" t="s">
        <v>35</v>
      </c>
      <c r="H1604" s="33">
        <v>1</v>
      </c>
      <c r="I1604" s="32">
        <v>28.2</v>
      </c>
      <c r="J1604" s="32">
        <v>38.6</v>
      </c>
      <c r="K1604" s="32">
        <v>5</v>
      </c>
      <c r="L1604" s="32" t="s">
        <v>36</v>
      </c>
      <c r="M1604" s="33">
        <v>43</v>
      </c>
      <c r="N1604" s="33">
        <v>13</v>
      </c>
      <c r="O1604" s="33">
        <v>13</v>
      </c>
      <c r="P1604" s="32">
        <v>0</v>
      </c>
      <c r="Q1604" s="33">
        <v>0</v>
      </c>
      <c r="R1604" s="32">
        <v>0</v>
      </c>
      <c r="S1604" s="32"/>
      <c r="T1604" s="3">
        <v>5.5579999999999997E-2</v>
      </c>
      <c r="U1604" s="3">
        <v>1.244E-2</v>
      </c>
      <c r="V1604" s="3">
        <v>0</v>
      </c>
      <c r="W1604" s="3">
        <v>0</v>
      </c>
      <c r="X1604" s="3"/>
      <c r="Y1604" s="3">
        <v>0</v>
      </c>
      <c r="Z1604" s="23"/>
      <c r="AA1604" s="23"/>
      <c r="AB1604" s="3" t="str">
        <f t="shared" si="13"/>
        <v>145_51__vv</v>
      </c>
      <c r="AC1604" s="3" t="str">
        <f t="shared" si="12"/>
        <v>145_51__vv_1</v>
      </c>
      <c r="AE1604" s="3" t="s">
        <v>37</v>
      </c>
    </row>
    <row r="1605" spans="1:31" ht="14">
      <c r="A1605" s="23"/>
      <c r="B1605" s="23"/>
      <c r="C1605" s="23"/>
      <c r="D1605" s="23"/>
      <c r="E1605" s="23"/>
      <c r="F1605" s="23"/>
      <c r="G1605" s="23"/>
      <c r="H1605" s="22"/>
      <c r="I1605" s="23"/>
      <c r="J1605" s="23"/>
      <c r="K1605" s="23"/>
      <c r="L1605" s="32" t="s">
        <v>38</v>
      </c>
      <c r="M1605" s="33">
        <v>57</v>
      </c>
      <c r="N1605" s="33">
        <v>7</v>
      </c>
      <c r="O1605" s="33">
        <v>15</v>
      </c>
      <c r="P1605" s="32">
        <v>0</v>
      </c>
      <c r="Q1605" s="33">
        <v>0</v>
      </c>
      <c r="R1605" s="32">
        <v>0</v>
      </c>
      <c r="S1605" s="32"/>
      <c r="T1605" s="3">
        <v>8.6260000000000003E-2</v>
      </c>
      <c r="U1605" s="3">
        <v>2.9669999999999998E-2</v>
      </c>
      <c r="V1605" s="3">
        <v>0</v>
      </c>
      <c r="W1605" s="3">
        <v>0</v>
      </c>
      <c r="X1605" s="3"/>
      <c r="Y1605" s="3">
        <v>0</v>
      </c>
      <c r="Z1605" s="23"/>
      <c r="AA1605" s="23"/>
      <c r="AB1605" s="3" t="str">
        <f t="shared" si="13"/>
        <v>___</v>
      </c>
      <c r="AC1605" s="3" t="str">
        <f t="shared" si="12"/>
        <v>____</v>
      </c>
    </row>
    <row r="1606" spans="1:31" ht="14">
      <c r="A1606" s="23"/>
      <c r="B1606" s="23"/>
      <c r="C1606" s="23"/>
      <c r="D1606" s="23"/>
      <c r="E1606" s="23"/>
      <c r="F1606" s="23"/>
      <c r="G1606" s="23"/>
      <c r="H1606" s="22"/>
      <c r="I1606" s="23"/>
      <c r="J1606" s="23"/>
      <c r="K1606" s="23"/>
      <c r="L1606" s="32" t="s">
        <v>39</v>
      </c>
      <c r="M1606" s="33">
        <v>78</v>
      </c>
      <c r="N1606" s="33">
        <v>1</v>
      </c>
      <c r="O1606" s="33">
        <v>14</v>
      </c>
      <c r="P1606" s="32">
        <v>1</v>
      </c>
      <c r="Q1606" s="33">
        <v>1</v>
      </c>
      <c r="R1606" s="32">
        <v>0</v>
      </c>
      <c r="S1606" s="32"/>
      <c r="T1606" s="3">
        <v>1.222E-2</v>
      </c>
      <c r="U1606" s="3">
        <v>6.93E-2</v>
      </c>
      <c r="V1606" s="3">
        <v>2.9260000000000001E-2</v>
      </c>
      <c r="W1606" s="3">
        <v>0</v>
      </c>
      <c r="X1606" s="3"/>
      <c r="Y1606" s="3">
        <v>0</v>
      </c>
      <c r="Z1606" s="23"/>
      <c r="AA1606" s="23"/>
      <c r="AB1606" s="3" t="str">
        <f t="shared" si="13"/>
        <v>___</v>
      </c>
      <c r="AC1606" s="3" t="str">
        <f t="shared" si="12"/>
        <v>____</v>
      </c>
    </row>
    <row r="1607" spans="1:31" ht="14">
      <c r="A1607" s="23"/>
      <c r="B1607" s="32">
        <v>145</v>
      </c>
      <c r="C1607" s="32">
        <v>51</v>
      </c>
      <c r="D1607" s="23"/>
      <c r="E1607" s="23"/>
      <c r="F1607" s="23"/>
      <c r="G1607" s="32" t="s">
        <v>35</v>
      </c>
      <c r="H1607" s="33">
        <v>2</v>
      </c>
      <c r="I1607" s="32">
        <v>29</v>
      </c>
      <c r="J1607" s="32">
        <v>26.2</v>
      </c>
      <c r="K1607" s="32">
        <v>4</v>
      </c>
      <c r="L1607" s="32" t="s">
        <v>36</v>
      </c>
      <c r="M1607" s="33">
        <v>62</v>
      </c>
      <c r="N1607" s="33">
        <v>15</v>
      </c>
      <c r="O1607" s="33">
        <v>18</v>
      </c>
      <c r="P1607" s="32">
        <v>0</v>
      </c>
      <c r="Q1607" s="33">
        <v>0</v>
      </c>
      <c r="R1607" s="32" t="s">
        <v>177</v>
      </c>
      <c r="S1607" s="32"/>
      <c r="T1607" s="3">
        <v>0.15087</v>
      </c>
      <c r="U1607" s="3">
        <v>3.0380000000000001E-2</v>
      </c>
      <c r="V1607" s="3">
        <v>0</v>
      </c>
      <c r="W1607" s="3" t="s">
        <v>177</v>
      </c>
      <c r="X1607" s="3"/>
      <c r="Y1607" s="3">
        <v>0</v>
      </c>
      <c r="Z1607" s="32" t="s">
        <v>222</v>
      </c>
      <c r="AA1607" s="23"/>
      <c r="AB1607" s="3" t="str">
        <f t="shared" si="13"/>
        <v>145_51__vv</v>
      </c>
      <c r="AC1607" s="3" t="str">
        <f t="shared" si="12"/>
        <v>145_51__vv_2</v>
      </c>
      <c r="AE1607" s="3" t="s">
        <v>37</v>
      </c>
    </row>
    <row r="1608" spans="1:31" ht="14">
      <c r="A1608" s="23"/>
      <c r="B1608" s="23"/>
      <c r="C1608" s="23"/>
      <c r="D1608" s="23"/>
      <c r="E1608" s="23"/>
      <c r="F1608" s="23"/>
      <c r="G1608" s="23"/>
      <c r="H1608" s="22"/>
      <c r="I1608" s="23"/>
      <c r="J1608" s="23"/>
      <c r="K1608" s="23"/>
      <c r="L1608" s="32" t="s">
        <v>38</v>
      </c>
      <c r="M1608" s="33">
        <v>61</v>
      </c>
      <c r="N1608" s="33">
        <v>7</v>
      </c>
      <c r="O1608" s="33">
        <v>16</v>
      </c>
      <c r="P1608" s="32">
        <v>0</v>
      </c>
      <c r="Q1608" s="33">
        <v>0</v>
      </c>
      <c r="R1608" s="32">
        <v>0</v>
      </c>
      <c r="S1608" s="32"/>
      <c r="T1608" s="3">
        <v>6.8190000000000001E-2</v>
      </c>
      <c r="U1608" s="3">
        <v>4.1189999999999997E-2</v>
      </c>
      <c r="V1608" s="3">
        <v>0</v>
      </c>
      <c r="W1608" s="3">
        <v>0</v>
      </c>
      <c r="X1608" s="3"/>
      <c r="Y1608" s="3">
        <v>0</v>
      </c>
      <c r="Z1608" s="23"/>
      <c r="AA1608" s="23"/>
      <c r="AB1608" s="3" t="str">
        <f t="shared" si="13"/>
        <v>___</v>
      </c>
      <c r="AC1608" s="3" t="str">
        <f t="shared" si="12"/>
        <v>____</v>
      </c>
    </row>
    <row r="1609" spans="1:31" ht="14">
      <c r="A1609" s="23"/>
      <c r="B1609" s="23"/>
      <c r="C1609" s="23"/>
      <c r="D1609" s="23"/>
      <c r="E1609" s="23"/>
      <c r="F1609" s="23"/>
      <c r="G1609" s="23"/>
      <c r="H1609" s="22"/>
      <c r="I1609" s="23"/>
      <c r="J1609" s="23"/>
      <c r="K1609" s="23"/>
      <c r="L1609" s="32" t="s">
        <v>39</v>
      </c>
      <c r="M1609" s="33">
        <v>48</v>
      </c>
      <c r="N1609" s="33">
        <v>0</v>
      </c>
      <c r="O1609" s="33">
        <v>9</v>
      </c>
      <c r="P1609" s="32">
        <v>1</v>
      </c>
      <c r="Q1609" s="33">
        <v>1</v>
      </c>
      <c r="R1609" s="32">
        <v>0</v>
      </c>
      <c r="S1609" s="32"/>
      <c r="T1609" s="3">
        <v>0</v>
      </c>
      <c r="U1609" s="3">
        <v>3.823E-2</v>
      </c>
      <c r="V1609" s="3">
        <v>4.2399999999999998E-3</v>
      </c>
      <c r="W1609" s="3">
        <v>0</v>
      </c>
      <c r="X1609" s="3"/>
      <c r="Y1609" s="3">
        <v>0</v>
      </c>
      <c r="Z1609" s="23"/>
      <c r="AA1609" s="23"/>
      <c r="AB1609" s="3" t="str">
        <f t="shared" si="13"/>
        <v>___</v>
      </c>
      <c r="AC1609" s="3" t="str">
        <f t="shared" si="12"/>
        <v>____</v>
      </c>
    </row>
    <row r="1610" spans="1:31" ht="14">
      <c r="A1610" s="23"/>
      <c r="B1610" s="32">
        <v>145</v>
      </c>
      <c r="C1610" s="32">
        <v>51</v>
      </c>
      <c r="D1610" s="23"/>
      <c r="E1610" s="23"/>
      <c r="F1610" s="23"/>
      <c r="G1610" s="32" t="s">
        <v>35</v>
      </c>
      <c r="H1610" s="33">
        <v>3</v>
      </c>
      <c r="I1610" s="32">
        <v>27.8</v>
      </c>
      <c r="J1610" s="32">
        <v>20.5</v>
      </c>
      <c r="K1610" s="32">
        <v>4</v>
      </c>
      <c r="L1610" s="32" t="s">
        <v>36</v>
      </c>
      <c r="M1610" s="33">
        <v>45</v>
      </c>
      <c r="N1610" s="33">
        <v>7</v>
      </c>
      <c r="O1610" s="33">
        <v>11</v>
      </c>
      <c r="P1610" s="32">
        <v>0</v>
      </c>
      <c r="Q1610" s="33">
        <v>0</v>
      </c>
      <c r="R1610" s="32">
        <v>0</v>
      </c>
      <c r="S1610" s="32"/>
      <c r="T1610" s="3">
        <v>7.8530000000000003E-2</v>
      </c>
      <c r="U1610" s="3">
        <v>1.4659999999999999E-2</v>
      </c>
      <c r="V1610" s="3">
        <v>0</v>
      </c>
      <c r="W1610" s="3">
        <v>0</v>
      </c>
      <c r="X1610" s="3"/>
      <c r="Y1610" s="3">
        <v>0</v>
      </c>
      <c r="Z1610" s="23"/>
      <c r="AA1610" s="23"/>
      <c r="AB1610" s="3" t="str">
        <f t="shared" si="13"/>
        <v>145_51__vv</v>
      </c>
      <c r="AC1610" s="3" t="str">
        <f t="shared" si="12"/>
        <v>145_51__vv_3</v>
      </c>
      <c r="AE1610" s="3" t="s">
        <v>37</v>
      </c>
    </row>
    <row r="1611" spans="1:31" ht="14">
      <c r="A1611" s="23"/>
      <c r="B1611" s="23"/>
      <c r="C1611" s="23"/>
      <c r="D1611" s="23"/>
      <c r="E1611" s="23"/>
      <c r="F1611" s="23"/>
      <c r="G1611" s="23"/>
      <c r="H1611" s="22"/>
      <c r="I1611" s="23"/>
      <c r="J1611" s="23"/>
      <c r="K1611" s="23"/>
      <c r="L1611" s="32" t="s">
        <v>38</v>
      </c>
      <c r="M1611" s="33">
        <v>77</v>
      </c>
      <c r="N1611" s="33">
        <v>0</v>
      </c>
      <c r="O1611" s="33">
        <v>12</v>
      </c>
      <c r="P1611" s="32">
        <v>0</v>
      </c>
      <c r="Q1611" s="33">
        <v>0</v>
      </c>
      <c r="R1611" s="32">
        <v>0</v>
      </c>
      <c r="S1611" s="32"/>
      <c r="T1611" s="3">
        <v>0</v>
      </c>
      <c r="U1611" s="3">
        <v>3.9280000000000002E-2</v>
      </c>
      <c r="V1611" s="3">
        <v>0</v>
      </c>
      <c r="W1611" s="3">
        <v>0</v>
      </c>
      <c r="X1611" s="3"/>
      <c r="Y1611" s="3">
        <v>0</v>
      </c>
      <c r="Z1611" s="23"/>
      <c r="AA1611" s="23"/>
      <c r="AB1611" s="3" t="str">
        <f t="shared" si="13"/>
        <v>___</v>
      </c>
      <c r="AC1611" s="3" t="str">
        <f t="shared" si="12"/>
        <v>____</v>
      </c>
    </row>
    <row r="1612" spans="1:31" ht="14">
      <c r="A1612" s="23"/>
      <c r="B1612" s="23"/>
      <c r="C1612" s="23"/>
      <c r="D1612" s="23"/>
      <c r="E1612" s="23"/>
      <c r="F1612" s="23"/>
      <c r="G1612" s="23"/>
      <c r="H1612" s="22"/>
      <c r="I1612" s="23"/>
      <c r="J1612" s="23"/>
      <c r="K1612" s="23"/>
      <c r="L1612" s="32" t="s">
        <v>39</v>
      </c>
      <c r="M1612" s="33">
        <v>66</v>
      </c>
      <c r="N1612" s="33">
        <v>0</v>
      </c>
      <c r="O1612" s="33">
        <v>10</v>
      </c>
      <c r="P1612" s="32">
        <v>0</v>
      </c>
      <c r="Q1612" s="33">
        <v>0</v>
      </c>
      <c r="R1612" s="32">
        <v>0</v>
      </c>
      <c r="S1612" s="32"/>
      <c r="T1612" s="3">
        <v>0</v>
      </c>
      <c r="U1612" s="3">
        <v>3.2289999999999999E-2</v>
      </c>
      <c r="V1612" s="3">
        <v>0</v>
      </c>
      <c r="W1612" s="3">
        <v>0</v>
      </c>
      <c r="X1612" s="3"/>
      <c r="Y1612" s="3">
        <v>0</v>
      </c>
      <c r="Z1612" s="23"/>
      <c r="AA1612" s="23"/>
      <c r="AB1612" s="3" t="str">
        <f t="shared" si="13"/>
        <v>___</v>
      </c>
      <c r="AC1612" s="3" t="str">
        <f t="shared" si="12"/>
        <v>____</v>
      </c>
    </row>
    <row r="1613" spans="1:31" ht="14">
      <c r="A1613" s="23"/>
      <c r="B1613" s="32">
        <v>1382</v>
      </c>
      <c r="C1613" s="32">
        <v>42</v>
      </c>
      <c r="D1613" s="23"/>
      <c r="E1613" s="23"/>
      <c r="F1613" s="23"/>
      <c r="G1613" s="32" t="s">
        <v>40</v>
      </c>
      <c r="H1613" s="33">
        <v>1</v>
      </c>
      <c r="I1613" s="32">
        <v>15.1</v>
      </c>
      <c r="J1613" s="32">
        <v>16.100000000000001</v>
      </c>
      <c r="K1613" s="32">
        <v>5</v>
      </c>
      <c r="L1613" s="32" t="s">
        <v>36</v>
      </c>
      <c r="M1613" s="33">
        <v>49</v>
      </c>
      <c r="N1613" s="33">
        <v>7</v>
      </c>
      <c r="O1613" s="33">
        <v>7</v>
      </c>
      <c r="P1613" s="32">
        <v>0</v>
      </c>
      <c r="Q1613" s="33">
        <v>0</v>
      </c>
      <c r="R1613" s="32">
        <v>0</v>
      </c>
      <c r="S1613" s="32"/>
      <c r="T1613" s="3">
        <v>2.3060000000000001E-2</v>
      </c>
      <c r="U1613" s="3">
        <v>2.179E-2</v>
      </c>
      <c r="V1613" s="3">
        <v>0</v>
      </c>
      <c r="W1613" s="3">
        <v>0</v>
      </c>
      <c r="X1613" s="3"/>
      <c r="Y1613" s="3">
        <v>0</v>
      </c>
      <c r="Z1613" s="23"/>
      <c r="AA1613" s="23"/>
      <c r="AB1613" s="3" t="str">
        <f t="shared" si="13"/>
        <v>1382_42__vm</v>
      </c>
      <c r="AC1613" s="3" t="str">
        <f t="shared" si="12"/>
        <v>1382_42__vm_1</v>
      </c>
      <c r="AE1613" s="3" t="s">
        <v>37</v>
      </c>
    </row>
    <row r="1614" spans="1:31" ht="14">
      <c r="A1614" s="23"/>
      <c r="B1614" s="23"/>
      <c r="C1614" s="23"/>
      <c r="D1614" s="23"/>
      <c r="E1614" s="23"/>
      <c r="F1614" s="23"/>
      <c r="G1614" s="23"/>
      <c r="H1614" s="22"/>
      <c r="I1614" s="23"/>
      <c r="J1614" s="23"/>
      <c r="K1614" s="23"/>
      <c r="L1614" s="32" t="s">
        <v>38</v>
      </c>
      <c r="M1614" s="33">
        <v>41</v>
      </c>
      <c r="N1614" s="33">
        <v>0</v>
      </c>
      <c r="O1614" s="33">
        <v>6</v>
      </c>
      <c r="P1614" s="32">
        <v>0</v>
      </c>
      <c r="Q1614" s="33">
        <v>2</v>
      </c>
      <c r="R1614" s="32">
        <v>0</v>
      </c>
      <c r="S1614" s="32"/>
      <c r="T1614" s="3">
        <v>0</v>
      </c>
      <c r="U1614" s="3">
        <v>2.4889999999999999E-2</v>
      </c>
      <c r="V1614" s="3">
        <v>3.1649999999999998E-2</v>
      </c>
      <c r="W1614" s="3">
        <v>0</v>
      </c>
      <c r="X1614" s="3"/>
      <c r="Y1614" s="3">
        <v>0</v>
      </c>
      <c r="Z1614" s="23"/>
      <c r="AA1614" s="23"/>
      <c r="AB1614" s="3" t="str">
        <f t="shared" si="13"/>
        <v>___</v>
      </c>
      <c r="AC1614" s="3" t="str">
        <f t="shared" si="12"/>
        <v>____</v>
      </c>
    </row>
    <row r="1615" spans="1:31" ht="14">
      <c r="A1615" s="23"/>
      <c r="B1615" s="23"/>
      <c r="C1615" s="23"/>
      <c r="D1615" s="23"/>
      <c r="E1615" s="23"/>
      <c r="F1615" s="23"/>
      <c r="G1615" s="23"/>
      <c r="H1615" s="22"/>
      <c r="I1615" s="23"/>
      <c r="J1615" s="23"/>
      <c r="K1615" s="23"/>
      <c r="L1615" s="32" t="s">
        <v>39</v>
      </c>
      <c r="M1615" s="33">
        <v>44</v>
      </c>
      <c r="N1615" s="33">
        <v>0</v>
      </c>
      <c r="O1615" s="33">
        <v>8</v>
      </c>
      <c r="P1615" s="32">
        <v>0</v>
      </c>
      <c r="Q1615" s="33">
        <v>0</v>
      </c>
      <c r="R1615" s="32">
        <v>0</v>
      </c>
      <c r="S1615" s="32"/>
      <c r="T1615" s="3">
        <v>0</v>
      </c>
      <c r="U1615" s="3">
        <v>3.508E-2</v>
      </c>
      <c r="V1615" s="3">
        <v>0</v>
      </c>
      <c r="W1615" s="3">
        <v>0</v>
      </c>
      <c r="X1615" s="3"/>
      <c r="Y1615" s="3">
        <v>0</v>
      </c>
      <c r="Z1615" s="23"/>
      <c r="AA1615" s="23"/>
      <c r="AB1615" s="3" t="str">
        <f t="shared" si="13"/>
        <v>___</v>
      </c>
      <c r="AC1615" s="3" t="str">
        <f t="shared" si="12"/>
        <v>____</v>
      </c>
    </row>
    <row r="1616" spans="1:31" ht="14">
      <c r="A1616" s="23"/>
      <c r="B1616" s="32">
        <v>1382</v>
      </c>
      <c r="C1616" s="32">
        <v>42</v>
      </c>
      <c r="D1616" s="23"/>
      <c r="E1616" s="23"/>
      <c r="F1616" s="23"/>
      <c r="G1616" s="32" t="s">
        <v>40</v>
      </c>
      <c r="H1616" s="33">
        <v>2</v>
      </c>
      <c r="I1616" s="32">
        <v>13.1</v>
      </c>
      <c r="J1616" s="32">
        <v>15.2</v>
      </c>
      <c r="K1616" s="32">
        <v>5</v>
      </c>
      <c r="L1616" s="32" t="s">
        <v>36</v>
      </c>
      <c r="M1616" s="33">
        <v>6</v>
      </c>
      <c r="N1616" s="33">
        <v>5</v>
      </c>
      <c r="O1616" s="33">
        <v>5</v>
      </c>
      <c r="P1616" s="32">
        <v>0</v>
      </c>
      <c r="Q1616" s="33">
        <v>0</v>
      </c>
      <c r="R1616" s="32">
        <v>0</v>
      </c>
      <c r="S1616" s="32"/>
      <c r="T1616" s="3">
        <v>1.44E-2</v>
      </c>
      <c r="U1616" s="3">
        <v>1.89E-3</v>
      </c>
      <c r="V1616" s="3">
        <v>0</v>
      </c>
      <c r="W1616" s="3">
        <v>0</v>
      </c>
      <c r="X1616" s="3"/>
      <c r="Y1616" s="3">
        <v>0</v>
      </c>
      <c r="Z1616" s="23"/>
      <c r="AA1616" s="23"/>
      <c r="AB1616" s="3" t="str">
        <f t="shared" si="13"/>
        <v>1382_42__vm</v>
      </c>
      <c r="AC1616" s="3" t="str">
        <f t="shared" si="12"/>
        <v>1382_42__vm_2</v>
      </c>
      <c r="AE1616" s="3" t="s">
        <v>37</v>
      </c>
    </row>
    <row r="1617" spans="1:31" ht="14">
      <c r="A1617" s="23"/>
      <c r="B1617" s="23"/>
      <c r="C1617" s="23"/>
      <c r="D1617" s="23"/>
      <c r="E1617" s="23"/>
      <c r="F1617" s="23"/>
      <c r="G1617" s="23"/>
      <c r="H1617" s="22"/>
      <c r="I1617" s="23"/>
      <c r="J1617" s="23"/>
      <c r="K1617" s="23"/>
      <c r="L1617" s="32" t="s">
        <v>38</v>
      </c>
      <c r="M1617" s="33">
        <v>54</v>
      </c>
      <c r="N1617" s="33">
        <v>0</v>
      </c>
      <c r="O1617" s="33">
        <v>8</v>
      </c>
      <c r="P1617" s="32">
        <v>0</v>
      </c>
      <c r="Q1617" s="33">
        <v>4</v>
      </c>
      <c r="R1617" s="32">
        <v>0</v>
      </c>
      <c r="S1617" s="32"/>
      <c r="T1617" s="3">
        <v>0</v>
      </c>
      <c r="U1617" s="3">
        <v>3.014E-2</v>
      </c>
      <c r="V1617" s="3">
        <v>5.3010000000000002E-2</v>
      </c>
      <c r="W1617" s="3">
        <v>0</v>
      </c>
      <c r="X1617" s="3"/>
      <c r="Y1617" s="3">
        <v>0</v>
      </c>
      <c r="Z1617" s="23"/>
      <c r="AA1617" s="23"/>
      <c r="AB1617" s="3" t="str">
        <f t="shared" si="13"/>
        <v>___</v>
      </c>
      <c r="AC1617" s="3" t="str">
        <f t="shared" si="12"/>
        <v>____</v>
      </c>
    </row>
    <row r="1618" spans="1:31" ht="14">
      <c r="A1618" s="23"/>
      <c r="B1618" s="23"/>
      <c r="C1618" s="23"/>
      <c r="D1618" s="23"/>
      <c r="E1618" s="23"/>
      <c r="F1618" s="23"/>
      <c r="G1618" s="23"/>
      <c r="H1618" s="22"/>
      <c r="I1618" s="23"/>
      <c r="J1618" s="23"/>
      <c r="K1618" s="23"/>
      <c r="L1618" s="32" t="s">
        <v>39</v>
      </c>
      <c r="M1618" s="33">
        <v>55</v>
      </c>
      <c r="N1618" s="33">
        <v>0</v>
      </c>
      <c r="O1618" s="33">
        <v>9</v>
      </c>
      <c r="P1618" s="32">
        <v>0</v>
      </c>
      <c r="Q1618" s="33">
        <v>1</v>
      </c>
      <c r="R1618" s="32">
        <v>0</v>
      </c>
      <c r="S1618" s="32"/>
      <c r="T1618" s="3">
        <v>0</v>
      </c>
      <c r="U1618" s="3">
        <v>5.0659999999999997E-2</v>
      </c>
      <c r="V1618" s="3">
        <v>6.0069999999999998E-2</v>
      </c>
      <c r="W1618" s="3">
        <v>0</v>
      </c>
      <c r="X1618" s="3"/>
      <c r="Y1618" s="3">
        <v>0</v>
      </c>
      <c r="Z1618" s="23"/>
      <c r="AA1618" s="23"/>
      <c r="AB1618" s="3" t="str">
        <f t="shared" si="13"/>
        <v>___</v>
      </c>
      <c r="AC1618" s="3" t="str">
        <f t="shared" si="12"/>
        <v>____</v>
      </c>
    </row>
    <row r="1619" spans="1:31" ht="14">
      <c r="A1619" s="23"/>
      <c r="B1619" s="32">
        <v>1382</v>
      </c>
      <c r="C1619" s="32">
        <v>42</v>
      </c>
      <c r="D1619" s="23"/>
      <c r="E1619" s="23"/>
      <c r="F1619" s="23"/>
      <c r="G1619" s="32" t="s">
        <v>40</v>
      </c>
      <c r="H1619" s="33">
        <v>3</v>
      </c>
      <c r="I1619" s="32">
        <v>13.5</v>
      </c>
      <c r="J1619" s="32">
        <v>15.7</v>
      </c>
      <c r="K1619" s="32">
        <v>5</v>
      </c>
      <c r="L1619" s="32" t="s">
        <v>36</v>
      </c>
      <c r="M1619" s="33">
        <v>19</v>
      </c>
      <c r="N1619" s="33">
        <v>5</v>
      </c>
      <c r="O1619" s="33">
        <v>5</v>
      </c>
      <c r="P1619" s="32">
        <v>0</v>
      </c>
      <c r="Q1619" s="33">
        <v>0</v>
      </c>
      <c r="R1619" s="32">
        <v>0</v>
      </c>
      <c r="S1619" s="32"/>
      <c r="T1619" s="3">
        <v>1.051E-2</v>
      </c>
      <c r="U1619" s="3">
        <v>4.2399999999999998E-3</v>
      </c>
      <c r="V1619" s="3">
        <v>0</v>
      </c>
      <c r="W1619" s="3">
        <v>0</v>
      </c>
      <c r="X1619" s="3"/>
      <c r="Y1619" s="3">
        <v>0</v>
      </c>
      <c r="Z1619" s="23"/>
      <c r="AA1619" s="23"/>
      <c r="AB1619" s="3" t="str">
        <f t="shared" si="13"/>
        <v>1382_42__vm</v>
      </c>
      <c r="AC1619" s="3" t="str">
        <f t="shared" si="12"/>
        <v>1382_42__vm_3</v>
      </c>
      <c r="AE1619" s="3" t="s">
        <v>37</v>
      </c>
    </row>
    <row r="1620" spans="1:31" ht="14">
      <c r="A1620" s="23"/>
      <c r="B1620" s="23"/>
      <c r="C1620" s="23"/>
      <c r="D1620" s="23"/>
      <c r="E1620" s="23"/>
      <c r="F1620" s="23"/>
      <c r="G1620" s="23"/>
      <c r="H1620" s="22"/>
      <c r="I1620" s="23"/>
      <c r="J1620" s="23"/>
      <c r="K1620" s="23"/>
      <c r="L1620" s="32" t="s">
        <v>38</v>
      </c>
      <c r="M1620" s="33">
        <v>31</v>
      </c>
      <c r="N1620" s="33">
        <v>2</v>
      </c>
      <c r="O1620" s="33">
        <v>6</v>
      </c>
      <c r="P1620" s="32">
        <v>0</v>
      </c>
      <c r="Q1620" s="33">
        <v>0</v>
      </c>
      <c r="R1620" s="32">
        <v>0</v>
      </c>
      <c r="S1620" s="32"/>
      <c r="T1620" s="3">
        <v>2.3400000000000001E-3</v>
      </c>
      <c r="U1620" s="3">
        <v>1.026E-2</v>
      </c>
      <c r="V1620" s="3">
        <v>0</v>
      </c>
      <c r="W1620" s="3">
        <v>0</v>
      </c>
      <c r="X1620" s="3"/>
      <c r="Y1620" s="3">
        <v>0</v>
      </c>
      <c r="Z1620" s="32" t="s">
        <v>223</v>
      </c>
      <c r="AA1620" s="23"/>
      <c r="AB1620" s="3" t="str">
        <f t="shared" si="13"/>
        <v>___</v>
      </c>
      <c r="AC1620" s="3" t="str">
        <f t="shared" si="12"/>
        <v>____</v>
      </c>
    </row>
    <row r="1621" spans="1:31" ht="14">
      <c r="A1621" s="23"/>
      <c r="B1621" s="23"/>
      <c r="C1621" s="23"/>
      <c r="D1621" s="23"/>
      <c r="E1621" s="23"/>
      <c r="F1621" s="23"/>
      <c r="G1621" s="23"/>
      <c r="H1621" s="22"/>
      <c r="I1621" s="23"/>
      <c r="J1621" s="23"/>
      <c r="K1621" s="23"/>
      <c r="L1621" s="32" t="s">
        <v>39</v>
      </c>
      <c r="M1621" s="33">
        <v>51</v>
      </c>
      <c r="N1621" s="33">
        <v>0</v>
      </c>
      <c r="O1621" s="33">
        <v>9</v>
      </c>
      <c r="P1621" s="32">
        <v>0</v>
      </c>
      <c r="Q1621" s="33">
        <v>5</v>
      </c>
      <c r="R1621" s="32">
        <v>0</v>
      </c>
      <c r="S1621" s="32"/>
      <c r="T1621" s="3">
        <v>0</v>
      </c>
      <c r="U1621" s="3">
        <v>3.1469999999999998E-2</v>
      </c>
      <c r="V1621" s="3">
        <v>3.7920000000000002E-2</v>
      </c>
      <c r="W1621" s="3">
        <v>0</v>
      </c>
      <c r="X1621" s="3"/>
      <c r="Y1621" s="3">
        <v>0</v>
      </c>
      <c r="Z1621" s="23"/>
      <c r="AA1621" s="23"/>
      <c r="AB1621" s="3" t="str">
        <f t="shared" si="13"/>
        <v>___</v>
      </c>
      <c r="AC1621" s="3" t="str">
        <f t="shared" si="12"/>
        <v>____</v>
      </c>
    </row>
    <row r="1622" spans="1:31" ht="14">
      <c r="A1622" s="23"/>
      <c r="B1622" s="32">
        <v>1382</v>
      </c>
      <c r="C1622" s="32">
        <v>42</v>
      </c>
      <c r="D1622" s="23"/>
      <c r="E1622" s="23"/>
      <c r="F1622" s="23"/>
      <c r="G1622" s="32" t="s">
        <v>35</v>
      </c>
      <c r="H1622" s="33">
        <v>1</v>
      </c>
      <c r="I1622" s="32">
        <v>10.6</v>
      </c>
      <c r="J1622" s="32">
        <v>10.7</v>
      </c>
      <c r="K1622" s="32">
        <v>3</v>
      </c>
      <c r="L1622" s="32" t="s">
        <v>36</v>
      </c>
      <c r="M1622" s="33">
        <v>35</v>
      </c>
      <c r="N1622" s="33">
        <v>11</v>
      </c>
      <c r="O1622" s="33">
        <v>12</v>
      </c>
      <c r="P1622" s="32">
        <v>0</v>
      </c>
      <c r="Q1622" s="33">
        <v>0</v>
      </c>
      <c r="R1622" s="32">
        <v>0</v>
      </c>
      <c r="S1622" s="32"/>
      <c r="T1622" s="3">
        <v>2.3300000000000001E-2</v>
      </c>
      <c r="U1622" s="3">
        <v>6.5399999999999998E-3</v>
      </c>
      <c r="V1622" s="3">
        <v>0</v>
      </c>
      <c r="W1622" s="3">
        <v>0</v>
      </c>
      <c r="X1622" s="3"/>
      <c r="Y1622" s="3">
        <v>0</v>
      </c>
      <c r="Z1622" s="23"/>
      <c r="AA1622" s="23"/>
      <c r="AB1622" s="3" t="str">
        <f t="shared" si="13"/>
        <v>1382_42__vv</v>
      </c>
      <c r="AC1622" s="3" t="str">
        <f t="shared" si="12"/>
        <v>1382_42__vv_1</v>
      </c>
      <c r="AE1622" s="3" t="s">
        <v>37</v>
      </c>
    </row>
    <row r="1623" spans="1:31" ht="14">
      <c r="A1623" s="23"/>
      <c r="B1623" s="23"/>
      <c r="C1623" s="23"/>
      <c r="D1623" s="23"/>
      <c r="E1623" s="23"/>
      <c r="F1623" s="23"/>
      <c r="G1623" s="23"/>
      <c r="H1623" s="22"/>
      <c r="I1623" s="23"/>
      <c r="J1623" s="23"/>
      <c r="K1623" s="23"/>
      <c r="L1623" s="32" t="s">
        <v>38</v>
      </c>
      <c r="M1623" s="33">
        <v>28</v>
      </c>
      <c r="N1623" s="33">
        <v>3</v>
      </c>
      <c r="O1623" s="33">
        <v>13</v>
      </c>
      <c r="P1623" s="32">
        <v>0</v>
      </c>
      <c r="Q1623" s="33">
        <v>1</v>
      </c>
      <c r="R1623" s="32">
        <v>0</v>
      </c>
      <c r="S1623" s="32"/>
      <c r="T1623" s="3">
        <v>2.9389999999999999E-2</v>
      </c>
      <c r="U1623" s="3">
        <v>1.593E-2</v>
      </c>
      <c r="V1623" s="3">
        <v>1.7590000000000001E-2</v>
      </c>
      <c r="W1623" s="3">
        <v>0</v>
      </c>
      <c r="X1623" s="3"/>
      <c r="Y1623" s="3">
        <v>0</v>
      </c>
      <c r="Z1623" s="23"/>
      <c r="AA1623" s="23"/>
      <c r="AB1623" s="3" t="str">
        <f t="shared" si="13"/>
        <v>___</v>
      </c>
      <c r="AC1623" s="3" t="str">
        <f t="shared" si="12"/>
        <v>____</v>
      </c>
    </row>
    <row r="1624" spans="1:31" ht="14">
      <c r="A1624" s="23"/>
      <c r="B1624" s="23"/>
      <c r="C1624" s="23"/>
      <c r="D1624" s="23"/>
      <c r="E1624" s="23"/>
      <c r="F1624" s="23"/>
      <c r="G1624" s="23"/>
      <c r="H1624" s="22"/>
      <c r="I1624" s="23"/>
      <c r="J1624" s="23"/>
      <c r="K1624" s="23"/>
      <c r="L1624" s="32" t="s">
        <v>39</v>
      </c>
      <c r="M1624" s="33">
        <v>39</v>
      </c>
      <c r="N1624" s="33">
        <v>0</v>
      </c>
      <c r="O1624" s="33">
        <v>7</v>
      </c>
      <c r="P1624" s="32">
        <v>0</v>
      </c>
      <c r="Q1624" s="33">
        <v>0</v>
      </c>
      <c r="R1624" s="32">
        <v>0</v>
      </c>
      <c r="S1624" s="32"/>
      <c r="T1624" s="3">
        <v>0</v>
      </c>
      <c r="U1624" s="3">
        <v>2.0930000000000001E-2</v>
      </c>
      <c r="V1624" s="3">
        <v>0</v>
      </c>
      <c r="W1624" s="3">
        <v>0</v>
      </c>
      <c r="X1624" s="3"/>
      <c r="Y1624" s="3">
        <v>0</v>
      </c>
      <c r="Z1624" s="23"/>
      <c r="AA1624" s="23"/>
      <c r="AB1624" s="3" t="str">
        <f t="shared" si="13"/>
        <v>___</v>
      </c>
      <c r="AC1624" s="3" t="str">
        <f t="shared" si="12"/>
        <v>____</v>
      </c>
    </row>
    <row r="1625" spans="1:31" ht="14">
      <c r="A1625" s="23"/>
      <c r="B1625" s="32">
        <v>1382</v>
      </c>
      <c r="C1625" s="32">
        <v>42</v>
      </c>
      <c r="D1625" s="23"/>
      <c r="E1625" s="23"/>
      <c r="F1625" s="23"/>
      <c r="G1625" s="32" t="s">
        <v>35</v>
      </c>
      <c r="H1625" s="33">
        <v>2</v>
      </c>
      <c r="I1625" s="32">
        <v>13.8</v>
      </c>
      <c r="J1625" s="32">
        <v>13.8</v>
      </c>
      <c r="K1625" s="32">
        <v>3</v>
      </c>
      <c r="L1625" s="32" t="s">
        <v>36</v>
      </c>
      <c r="M1625" s="33">
        <v>28</v>
      </c>
      <c r="N1625" s="33">
        <v>10</v>
      </c>
      <c r="O1625" s="33">
        <v>12</v>
      </c>
      <c r="P1625" s="32">
        <v>0</v>
      </c>
      <c r="Q1625" s="33">
        <v>0</v>
      </c>
      <c r="R1625" s="32">
        <v>0</v>
      </c>
      <c r="S1625" s="32"/>
      <c r="T1625" s="3">
        <v>3.2870000000000003E-2</v>
      </c>
      <c r="U1625" s="3">
        <v>4.4999999999999997E-3</v>
      </c>
      <c r="V1625" s="3">
        <v>0</v>
      </c>
      <c r="W1625" s="3">
        <v>0</v>
      </c>
      <c r="X1625" s="3"/>
      <c r="Y1625" s="3">
        <v>0</v>
      </c>
      <c r="Z1625" s="23"/>
      <c r="AA1625" s="23"/>
      <c r="AB1625" s="3" t="str">
        <f t="shared" si="13"/>
        <v>1382_42__vv</v>
      </c>
      <c r="AC1625" s="3" t="str">
        <f t="shared" si="12"/>
        <v>1382_42__vv_2</v>
      </c>
      <c r="AE1625" s="3" t="s">
        <v>37</v>
      </c>
    </row>
    <row r="1626" spans="1:31" ht="14">
      <c r="A1626" s="23"/>
      <c r="B1626" s="23"/>
      <c r="C1626" s="23"/>
      <c r="D1626" s="23"/>
      <c r="E1626" s="23"/>
      <c r="F1626" s="23"/>
      <c r="G1626" s="23"/>
      <c r="H1626" s="22"/>
      <c r="I1626" s="23"/>
      <c r="J1626" s="23"/>
      <c r="K1626" s="23"/>
      <c r="L1626" s="32" t="s">
        <v>38</v>
      </c>
      <c r="M1626" s="33">
        <v>41</v>
      </c>
      <c r="N1626" s="33">
        <v>9</v>
      </c>
      <c r="O1626" s="33">
        <v>15</v>
      </c>
      <c r="P1626" s="32">
        <v>0</v>
      </c>
      <c r="Q1626" s="33">
        <v>0</v>
      </c>
      <c r="R1626" s="32">
        <v>0</v>
      </c>
      <c r="S1626" s="32"/>
      <c r="T1626" s="3">
        <v>7.7799999999999994E-2</v>
      </c>
      <c r="U1626" s="3">
        <v>1.9939999999999999E-2</v>
      </c>
      <c r="V1626" s="3">
        <v>0</v>
      </c>
      <c r="W1626" s="3">
        <v>0</v>
      </c>
      <c r="X1626" s="3"/>
      <c r="Y1626" s="3">
        <v>0</v>
      </c>
      <c r="Z1626" s="23"/>
      <c r="AA1626" s="23"/>
      <c r="AB1626" s="3" t="str">
        <f t="shared" si="13"/>
        <v>___</v>
      </c>
      <c r="AC1626" s="3" t="str">
        <f t="shared" si="12"/>
        <v>____</v>
      </c>
    </row>
    <row r="1627" spans="1:31" ht="14">
      <c r="A1627" s="23"/>
      <c r="B1627" s="23"/>
      <c r="C1627" s="23"/>
      <c r="D1627" s="23"/>
      <c r="E1627" s="23"/>
      <c r="F1627" s="23"/>
      <c r="G1627" s="23"/>
      <c r="H1627" s="22"/>
      <c r="I1627" s="23"/>
      <c r="J1627" s="23"/>
      <c r="K1627" s="23"/>
      <c r="L1627" s="32" t="s">
        <v>39</v>
      </c>
      <c r="M1627" s="33">
        <v>33</v>
      </c>
      <c r="N1627" s="33">
        <v>5</v>
      </c>
      <c r="O1627" s="33">
        <v>12</v>
      </c>
      <c r="P1627" s="32">
        <v>0</v>
      </c>
      <c r="Q1627" s="33">
        <v>1</v>
      </c>
      <c r="R1627" s="32">
        <v>0</v>
      </c>
      <c r="S1627" s="32"/>
      <c r="T1627" s="3">
        <v>4.1020000000000001E-2</v>
      </c>
      <c r="U1627" s="3">
        <v>2.103E-2</v>
      </c>
      <c r="V1627" s="3">
        <v>1.2200000000000001E-2</v>
      </c>
      <c r="W1627" s="3">
        <v>0</v>
      </c>
      <c r="X1627" s="3"/>
      <c r="Y1627" s="3">
        <v>0</v>
      </c>
      <c r="Z1627" s="23"/>
      <c r="AA1627" s="23"/>
      <c r="AB1627" s="3" t="str">
        <f t="shared" si="13"/>
        <v>___</v>
      </c>
      <c r="AC1627" s="3" t="str">
        <f t="shared" si="12"/>
        <v>____</v>
      </c>
    </row>
    <row r="1628" spans="1:31" ht="14">
      <c r="A1628" s="23"/>
      <c r="B1628" s="32">
        <v>1382</v>
      </c>
      <c r="C1628" s="32">
        <v>42</v>
      </c>
      <c r="D1628" s="23"/>
      <c r="E1628" s="23"/>
      <c r="F1628" s="23"/>
      <c r="G1628" s="32" t="s">
        <v>35</v>
      </c>
      <c r="H1628" s="33">
        <v>3</v>
      </c>
      <c r="I1628" s="32">
        <v>11.1</v>
      </c>
      <c r="J1628" s="32">
        <v>14.7</v>
      </c>
      <c r="K1628" s="32">
        <v>5</v>
      </c>
      <c r="L1628" s="32" t="s">
        <v>36</v>
      </c>
      <c r="M1628" s="33">
        <v>16</v>
      </c>
      <c r="N1628" s="33">
        <v>9</v>
      </c>
      <c r="O1628" s="33">
        <v>9</v>
      </c>
      <c r="P1628" s="32">
        <v>0</v>
      </c>
      <c r="Q1628" s="33">
        <v>0</v>
      </c>
      <c r="R1628" s="32">
        <v>0</v>
      </c>
      <c r="S1628" s="32"/>
      <c r="T1628" s="3">
        <v>6.8360000000000004E-2</v>
      </c>
      <c r="U1628" s="3">
        <v>5.3200000000000001E-3</v>
      </c>
      <c r="V1628" s="3">
        <v>0</v>
      </c>
      <c r="W1628" s="3">
        <v>0</v>
      </c>
      <c r="X1628" s="3"/>
      <c r="Y1628" s="3">
        <v>0</v>
      </c>
      <c r="Z1628" s="32"/>
      <c r="AA1628" s="23"/>
      <c r="AB1628" s="3" t="str">
        <f t="shared" si="13"/>
        <v>1382_42__vv</v>
      </c>
      <c r="AC1628" s="3" t="str">
        <f t="shared" si="12"/>
        <v>1382_42__vv_3</v>
      </c>
      <c r="AE1628" s="3" t="s">
        <v>37</v>
      </c>
    </row>
    <row r="1629" spans="1:31" ht="14">
      <c r="A1629" s="23"/>
      <c r="B1629" s="23"/>
      <c r="C1629" s="23"/>
      <c r="D1629" s="23"/>
      <c r="E1629" s="23"/>
      <c r="F1629" s="23"/>
      <c r="G1629" s="23"/>
      <c r="H1629" s="22"/>
      <c r="I1629" s="23"/>
      <c r="J1629" s="23"/>
      <c r="K1629" s="23"/>
      <c r="L1629" s="32" t="s">
        <v>38</v>
      </c>
      <c r="M1629" s="33">
        <v>43</v>
      </c>
      <c r="N1629" s="33">
        <v>11</v>
      </c>
      <c r="O1629" s="33">
        <v>12</v>
      </c>
      <c r="P1629" s="32">
        <v>0</v>
      </c>
      <c r="Q1629" s="33">
        <v>0</v>
      </c>
      <c r="R1629" s="32">
        <v>0</v>
      </c>
      <c r="S1629" s="32"/>
      <c r="T1629" s="3">
        <v>0.17676</v>
      </c>
      <c r="U1629" s="3">
        <v>2.6530000000000001E-2</v>
      </c>
      <c r="V1629" s="3">
        <v>0</v>
      </c>
      <c r="W1629" s="3">
        <v>0</v>
      </c>
      <c r="X1629" s="3"/>
      <c r="Y1629" s="3">
        <v>0</v>
      </c>
      <c r="Z1629" s="23"/>
      <c r="AA1629" s="23"/>
      <c r="AB1629" s="3" t="str">
        <f t="shared" si="13"/>
        <v>___</v>
      </c>
      <c r="AC1629" s="3" t="str">
        <f t="shared" si="12"/>
        <v>____</v>
      </c>
    </row>
    <row r="1630" spans="1:31" ht="14">
      <c r="A1630" s="23"/>
      <c r="B1630" s="23"/>
      <c r="C1630" s="23"/>
      <c r="D1630" s="23"/>
      <c r="E1630" s="23"/>
      <c r="F1630" s="23"/>
      <c r="G1630" s="23"/>
      <c r="H1630" s="22"/>
      <c r="I1630" s="23"/>
      <c r="J1630" s="23"/>
      <c r="K1630" s="23"/>
      <c r="L1630" s="32" t="s">
        <v>39</v>
      </c>
      <c r="M1630" s="33">
        <v>46</v>
      </c>
      <c r="N1630" s="33">
        <v>7</v>
      </c>
      <c r="O1630" s="33">
        <v>9</v>
      </c>
      <c r="P1630" s="32">
        <v>0</v>
      </c>
      <c r="Q1630" s="33">
        <v>0</v>
      </c>
      <c r="R1630" s="32">
        <v>0</v>
      </c>
      <c r="S1630" s="32"/>
      <c r="T1630" s="3">
        <v>8.5739999999999997E-2</v>
      </c>
      <c r="U1630" s="3">
        <v>3.3309999999999999E-2</v>
      </c>
      <c r="V1630" s="3">
        <v>0</v>
      </c>
      <c r="W1630" s="3">
        <v>0</v>
      </c>
      <c r="X1630" s="3"/>
      <c r="Y1630" s="3">
        <v>0</v>
      </c>
      <c r="Z1630" s="23"/>
      <c r="AA1630" s="23"/>
      <c r="AB1630" s="3" t="str">
        <f t="shared" si="13"/>
        <v>___</v>
      </c>
      <c r="AC1630" s="3" t="str">
        <f t="shared" si="12"/>
        <v>____</v>
      </c>
    </row>
    <row r="1631" spans="1:31" ht="14">
      <c r="A1631" s="23"/>
      <c r="B1631" s="32">
        <v>926</v>
      </c>
      <c r="C1631" s="32">
        <v>51</v>
      </c>
      <c r="D1631" s="23"/>
      <c r="E1631" s="23"/>
      <c r="F1631" s="23"/>
      <c r="G1631" s="32" t="s">
        <v>35</v>
      </c>
      <c r="H1631" s="33">
        <v>1</v>
      </c>
      <c r="I1631" s="32">
        <v>14.8</v>
      </c>
      <c r="J1631" s="32">
        <v>20.5</v>
      </c>
      <c r="K1631" s="32">
        <v>5</v>
      </c>
      <c r="L1631" s="32" t="s">
        <v>36</v>
      </c>
      <c r="M1631" s="33">
        <v>23</v>
      </c>
      <c r="N1631" s="33">
        <v>10</v>
      </c>
      <c r="O1631" s="33">
        <v>12</v>
      </c>
      <c r="P1631" s="32">
        <v>0</v>
      </c>
      <c r="Q1631" s="33">
        <v>0</v>
      </c>
      <c r="R1631" s="32">
        <v>0</v>
      </c>
      <c r="S1631" s="32"/>
      <c r="T1631" s="3">
        <v>4.3209999999999998E-2</v>
      </c>
      <c r="U1631" s="3">
        <v>5.8399999999999997E-3</v>
      </c>
      <c r="V1631" s="3">
        <v>0</v>
      </c>
      <c r="W1631" s="3">
        <v>0</v>
      </c>
      <c r="X1631" s="3"/>
      <c r="Y1631" s="3">
        <v>0</v>
      </c>
      <c r="Z1631" s="23"/>
      <c r="AA1631" s="23"/>
      <c r="AB1631" s="3" t="str">
        <f t="shared" si="13"/>
        <v>926_51__vv</v>
      </c>
      <c r="AC1631" s="3" t="str">
        <f t="shared" si="12"/>
        <v>926_51__vv_1</v>
      </c>
      <c r="AE1631" s="3" t="s">
        <v>37</v>
      </c>
    </row>
    <row r="1632" spans="1:31" ht="14">
      <c r="A1632" s="23"/>
      <c r="B1632" s="23"/>
      <c r="C1632" s="23"/>
      <c r="D1632" s="23"/>
      <c r="E1632" s="23"/>
      <c r="F1632" s="23"/>
      <c r="G1632" s="23"/>
      <c r="H1632" s="22"/>
      <c r="I1632" s="23"/>
      <c r="J1632" s="23"/>
      <c r="K1632" s="23"/>
      <c r="L1632" s="32" t="s">
        <v>38</v>
      </c>
      <c r="M1632" s="33">
        <v>19</v>
      </c>
      <c r="N1632" s="33">
        <v>7</v>
      </c>
      <c r="O1632" s="33">
        <v>8</v>
      </c>
      <c r="P1632" s="32">
        <v>0</v>
      </c>
      <c r="Q1632" s="33">
        <v>0</v>
      </c>
      <c r="R1632" s="32">
        <v>0</v>
      </c>
      <c r="S1632" s="32"/>
      <c r="T1632" s="3">
        <v>5.2569999999999999E-2</v>
      </c>
      <c r="U1632" s="3">
        <v>7.79E-3</v>
      </c>
      <c r="V1632" s="3">
        <v>0</v>
      </c>
      <c r="W1632" s="3">
        <v>0</v>
      </c>
      <c r="X1632" s="3"/>
      <c r="Y1632" s="3">
        <v>0</v>
      </c>
      <c r="Z1632" s="23"/>
      <c r="AA1632" s="23"/>
      <c r="AB1632" s="3" t="str">
        <f t="shared" si="13"/>
        <v>___</v>
      </c>
      <c r="AC1632" s="3" t="str">
        <f t="shared" si="12"/>
        <v>____</v>
      </c>
    </row>
    <row r="1633" spans="1:31" ht="14">
      <c r="A1633" s="23"/>
      <c r="B1633" s="23"/>
      <c r="C1633" s="23"/>
      <c r="D1633" s="23"/>
      <c r="E1633" s="23"/>
      <c r="F1633" s="23"/>
      <c r="G1633" s="23"/>
      <c r="H1633" s="22"/>
      <c r="I1633" s="23"/>
      <c r="J1633" s="23"/>
      <c r="K1633" s="23"/>
      <c r="L1633" s="32" t="s">
        <v>39</v>
      </c>
      <c r="M1633" s="33">
        <v>38</v>
      </c>
      <c r="N1633" s="33">
        <v>9</v>
      </c>
      <c r="O1633" s="33">
        <v>14</v>
      </c>
      <c r="P1633" s="32">
        <v>0</v>
      </c>
      <c r="Q1633" s="33">
        <v>0</v>
      </c>
      <c r="R1633" s="32">
        <v>0</v>
      </c>
      <c r="S1633" s="32"/>
      <c r="T1633" s="3">
        <v>0.12199</v>
      </c>
      <c r="U1633" s="3">
        <v>2.3789999999999999E-2</v>
      </c>
      <c r="V1633" s="3">
        <v>0</v>
      </c>
      <c r="W1633" s="3">
        <v>0</v>
      </c>
      <c r="X1633" s="3"/>
      <c r="Y1633" s="3">
        <v>0</v>
      </c>
      <c r="Z1633" s="23"/>
      <c r="AA1633" s="23"/>
      <c r="AB1633" s="3" t="str">
        <f t="shared" si="13"/>
        <v>___</v>
      </c>
      <c r="AC1633" s="3" t="str">
        <f t="shared" si="12"/>
        <v>____</v>
      </c>
    </row>
    <row r="1634" spans="1:31" ht="14">
      <c r="A1634" s="23"/>
      <c r="B1634" s="32">
        <v>926</v>
      </c>
      <c r="C1634" s="32">
        <v>51</v>
      </c>
      <c r="D1634" s="23"/>
      <c r="E1634" s="23"/>
      <c r="F1634" s="23"/>
      <c r="G1634" s="32" t="s">
        <v>35</v>
      </c>
      <c r="H1634" s="33">
        <v>2</v>
      </c>
      <c r="I1634" s="32">
        <v>11.2</v>
      </c>
      <c r="J1634" s="32">
        <v>8.3000000000000007</v>
      </c>
      <c r="K1634" s="32">
        <v>2</v>
      </c>
      <c r="L1634" s="32" t="s">
        <v>36</v>
      </c>
      <c r="M1634" s="33">
        <v>44</v>
      </c>
      <c r="N1634" s="33">
        <v>12</v>
      </c>
      <c r="O1634" s="33">
        <v>13</v>
      </c>
      <c r="P1634" s="32">
        <v>0</v>
      </c>
      <c r="Q1634" s="33">
        <v>0</v>
      </c>
      <c r="R1634" s="32">
        <v>0</v>
      </c>
      <c r="S1634" s="32"/>
      <c r="T1634" s="3">
        <v>0.11151</v>
      </c>
      <c r="U1634" s="3">
        <v>1.7239999999999998E-2</v>
      </c>
      <c r="V1634" s="3">
        <v>0</v>
      </c>
      <c r="W1634" s="3">
        <v>0</v>
      </c>
      <c r="X1634" s="3"/>
      <c r="Y1634" s="3">
        <v>0</v>
      </c>
      <c r="Z1634" s="32" t="s">
        <v>224</v>
      </c>
      <c r="AA1634" s="23"/>
      <c r="AB1634" s="3" t="str">
        <f t="shared" si="13"/>
        <v>926_51__vv</v>
      </c>
      <c r="AC1634" s="3" t="str">
        <f t="shared" si="12"/>
        <v>926_51__vv_2</v>
      </c>
      <c r="AE1634" s="3" t="s">
        <v>37</v>
      </c>
    </row>
    <row r="1635" spans="1:31" ht="14">
      <c r="A1635" s="23"/>
      <c r="B1635" s="23"/>
      <c r="C1635" s="23"/>
      <c r="D1635" s="23"/>
      <c r="E1635" s="23"/>
      <c r="F1635" s="23"/>
      <c r="G1635" s="23"/>
      <c r="H1635" s="22"/>
      <c r="I1635" s="23"/>
      <c r="J1635" s="23"/>
      <c r="K1635" s="23"/>
      <c r="L1635" s="32" t="s">
        <v>38</v>
      </c>
      <c r="M1635" s="33">
        <v>37</v>
      </c>
      <c r="N1635" s="33">
        <v>8</v>
      </c>
      <c r="O1635" s="33">
        <v>12</v>
      </c>
      <c r="P1635" s="32">
        <v>0</v>
      </c>
      <c r="Q1635" s="33">
        <v>0</v>
      </c>
      <c r="R1635" s="32">
        <v>0</v>
      </c>
      <c r="S1635" s="32"/>
      <c r="T1635" s="3">
        <v>8.2309999999999994E-2</v>
      </c>
      <c r="U1635" s="3">
        <v>2.462E-2</v>
      </c>
      <c r="V1635" s="3">
        <v>0</v>
      </c>
      <c r="W1635" s="3">
        <v>0</v>
      </c>
      <c r="X1635" s="3"/>
      <c r="Y1635" s="3">
        <v>0</v>
      </c>
      <c r="Z1635" s="23"/>
      <c r="AA1635" s="23"/>
      <c r="AB1635" s="3" t="str">
        <f t="shared" si="13"/>
        <v>___</v>
      </c>
      <c r="AC1635" s="3" t="str">
        <f t="shared" si="12"/>
        <v>____</v>
      </c>
    </row>
    <row r="1636" spans="1:31" ht="14">
      <c r="A1636" s="23"/>
      <c r="B1636" s="32">
        <v>926</v>
      </c>
      <c r="C1636" s="32">
        <v>51</v>
      </c>
      <c r="D1636" s="23"/>
      <c r="E1636" s="23"/>
      <c r="F1636" s="23"/>
      <c r="G1636" s="32" t="s">
        <v>35</v>
      </c>
      <c r="H1636" s="33">
        <v>3</v>
      </c>
      <c r="I1636" s="32">
        <v>8.5</v>
      </c>
      <c r="J1636" s="32">
        <v>8.1999999999999993</v>
      </c>
      <c r="K1636" s="32">
        <v>3</v>
      </c>
      <c r="L1636" s="32" t="s">
        <v>36</v>
      </c>
      <c r="M1636" s="33">
        <v>34</v>
      </c>
      <c r="N1636" s="33">
        <v>10</v>
      </c>
      <c r="O1636" s="33">
        <v>12</v>
      </c>
      <c r="P1636" s="32">
        <v>0</v>
      </c>
      <c r="Q1636" s="33">
        <v>0</v>
      </c>
      <c r="R1636" s="32">
        <v>0</v>
      </c>
      <c r="S1636" s="32"/>
      <c r="T1636" s="3">
        <v>4.8439999999999997E-2</v>
      </c>
      <c r="U1636" s="3">
        <v>9.5700000000000004E-3</v>
      </c>
      <c r="V1636" s="3">
        <v>0</v>
      </c>
      <c r="W1636" s="3">
        <v>0</v>
      </c>
      <c r="X1636" s="3"/>
      <c r="Y1636" s="3">
        <v>0</v>
      </c>
      <c r="Z1636" s="23"/>
      <c r="AA1636" s="23"/>
      <c r="AB1636" s="3" t="str">
        <f t="shared" si="13"/>
        <v>926_51__vv</v>
      </c>
      <c r="AC1636" s="3" t="str">
        <f t="shared" si="12"/>
        <v>926_51__vv_3</v>
      </c>
      <c r="AE1636" s="3" t="s">
        <v>37</v>
      </c>
    </row>
    <row r="1637" spans="1:31" ht="14">
      <c r="A1637" s="23"/>
      <c r="B1637" s="23"/>
      <c r="C1637" s="23"/>
      <c r="D1637" s="23"/>
      <c r="E1637" s="23"/>
      <c r="F1637" s="23"/>
      <c r="G1637" s="23"/>
      <c r="H1637" s="22"/>
      <c r="I1637" s="23"/>
      <c r="J1637" s="23"/>
      <c r="K1637" s="23"/>
      <c r="L1637" s="32" t="s">
        <v>38</v>
      </c>
      <c r="M1637" s="33">
        <v>34</v>
      </c>
      <c r="N1637" s="33">
        <v>3</v>
      </c>
      <c r="O1637" s="33">
        <v>8</v>
      </c>
      <c r="P1637" s="32">
        <v>0</v>
      </c>
      <c r="Q1637" s="33">
        <v>0</v>
      </c>
      <c r="R1637" s="32">
        <v>0</v>
      </c>
      <c r="S1637" s="32"/>
      <c r="T1637" s="3">
        <v>7.1399999999999996E-3</v>
      </c>
      <c r="U1637" s="3">
        <v>1.6709999999999999E-2</v>
      </c>
      <c r="V1637" s="3">
        <v>0</v>
      </c>
      <c r="W1637" s="3">
        <v>0</v>
      </c>
      <c r="X1637" s="3"/>
      <c r="Y1637" s="3">
        <v>0</v>
      </c>
      <c r="Z1637" s="23"/>
      <c r="AA1637" s="23"/>
      <c r="AB1637" s="3" t="str">
        <f t="shared" si="13"/>
        <v>___</v>
      </c>
      <c r="AC1637" s="3" t="str">
        <f t="shared" si="12"/>
        <v>____</v>
      </c>
    </row>
    <row r="1638" spans="1:31" ht="14">
      <c r="A1638" s="23"/>
      <c r="B1638" s="23"/>
      <c r="C1638" s="23"/>
      <c r="D1638" s="23"/>
      <c r="E1638" s="23"/>
      <c r="F1638" s="23"/>
      <c r="G1638" s="23"/>
      <c r="H1638" s="22"/>
      <c r="I1638" s="23"/>
      <c r="J1638" s="23"/>
      <c r="K1638" s="23"/>
      <c r="L1638" s="32" t="s">
        <v>39</v>
      </c>
      <c r="M1638" s="33">
        <v>13</v>
      </c>
      <c r="N1638" s="33">
        <v>0</v>
      </c>
      <c r="O1638" s="33">
        <v>4</v>
      </c>
      <c r="P1638" s="32">
        <v>0</v>
      </c>
      <c r="Q1638" s="33">
        <v>0</v>
      </c>
      <c r="R1638" s="32">
        <v>0</v>
      </c>
      <c r="S1638" s="32"/>
      <c r="T1638" s="3">
        <v>0</v>
      </c>
      <c r="U1638" s="3">
        <v>5.3E-3</v>
      </c>
      <c r="V1638" s="3">
        <v>0</v>
      </c>
      <c r="W1638" s="3">
        <v>0</v>
      </c>
      <c r="X1638" s="3"/>
      <c r="Y1638" s="3">
        <v>0</v>
      </c>
      <c r="Z1638" s="23"/>
      <c r="AA1638" s="23"/>
      <c r="AB1638" s="3" t="str">
        <f t="shared" si="13"/>
        <v>___</v>
      </c>
      <c r="AC1638" s="3" t="str">
        <f t="shared" si="12"/>
        <v>____</v>
      </c>
    </row>
    <row r="1639" spans="1:31" ht="14">
      <c r="A1639" s="23"/>
      <c r="B1639" s="32">
        <v>926</v>
      </c>
      <c r="C1639" s="32">
        <v>51</v>
      </c>
      <c r="D1639" s="23"/>
      <c r="E1639" s="23"/>
      <c r="F1639" s="23"/>
      <c r="G1639" s="32" t="s">
        <v>40</v>
      </c>
      <c r="H1639" s="33">
        <v>1</v>
      </c>
      <c r="I1639" s="32">
        <v>14.7</v>
      </c>
      <c r="J1639" s="32">
        <v>15.4</v>
      </c>
      <c r="K1639" s="32">
        <v>4</v>
      </c>
      <c r="L1639" s="32" t="s">
        <v>36</v>
      </c>
      <c r="M1639" s="33">
        <v>27</v>
      </c>
      <c r="N1639" s="33">
        <v>6</v>
      </c>
      <c r="O1639" s="33">
        <v>0</v>
      </c>
      <c r="P1639" s="32">
        <v>0</v>
      </c>
      <c r="Q1639" s="33">
        <v>0</v>
      </c>
      <c r="R1639" s="32">
        <v>0</v>
      </c>
      <c r="S1639" s="32"/>
      <c r="T1639" s="3">
        <v>2.5180000000000001E-2</v>
      </c>
      <c r="U1639" s="3">
        <v>1.157E-2</v>
      </c>
      <c r="V1639" s="3">
        <v>0</v>
      </c>
      <c r="W1639" s="3">
        <v>0</v>
      </c>
      <c r="X1639" s="3"/>
      <c r="Y1639" s="3">
        <v>0</v>
      </c>
      <c r="Z1639" s="23"/>
      <c r="AA1639" s="23"/>
      <c r="AB1639" s="3" t="str">
        <f t="shared" si="13"/>
        <v>926_51__vm</v>
      </c>
      <c r="AC1639" s="3" t="str">
        <f t="shared" si="12"/>
        <v>926_51__vm_1</v>
      </c>
      <c r="AE1639" s="3" t="s">
        <v>37</v>
      </c>
    </row>
    <row r="1640" spans="1:31" ht="14">
      <c r="A1640" s="23"/>
      <c r="B1640" s="23"/>
      <c r="C1640" s="23"/>
      <c r="D1640" s="23"/>
      <c r="E1640" s="23"/>
      <c r="F1640" s="23"/>
      <c r="G1640" s="23"/>
      <c r="H1640" s="22"/>
      <c r="I1640" s="23"/>
      <c r="J1640" s="23"/>
      <c r="K1640" s="23"/>
      <c r="L1640" s="32" t="s">
        <v>38</v>
      </c>
      <c r="M1640" s="33">
        <v>59</v>
      </c>
      <c r="N1640" s="33">
        <v>0</v>
      </c>
      <c r="O1640" s="33">
        <v>10</v>
      </c>
      <c r="P1640" s="32">
        <v>0</v>
      </c>
      <c r="Q1640" s="33">
        <v>4</v>
      </c>
      <c r="R1640" s="32">
        <v>0</v>
      </c>
      <c r="S1640" s="32"/>
      <c r="T1640" s="3">
        <v>0</v>
      </c>
      <c r="U1640" s="3">
        <v>5.7000000000000002E-2</v>
      </c>
      <c r="V1640" s="3">
        <v>9.1609999999999997E-2</v>
      </c>
      <c r="W1640" s="3">
        <v>0</v>
      </c>
      <c r="X1640" s="3"/>
      <c r="Y1640" s="3">
        <v>0</v>
      </c>
      <c r="Z1640" s="23"/>
      <c r="AA1640" s="23"/>
      <c r="AB1640" s="3" t="str">
        <f t="shared" si="13"/>
        <v>___</v>
      </c>
      <c r="AC1640" s="3" t="str">
        <f t="shared" si="12"/>
        <v>____</v>
      </c>
    </row>
    <row r="1641" spans="1:31" ht="14">
      <c r="A1641" s="23"/>
      <c r="B1641" s="23"/>
      <c r="C1641" s="23"/>
      <c r="D1641" s="23"/>
      <c r="E1641" s="23"/>
      <c r="F1641" s="23"/>
      <c r="G1641" s="23"/>
      <c r="H1641" s="22"/>
      <c r="I1641" s="23"/>
      <c r="J1641" s="23"/>
      <c r="K1641" s="23"/>
      <c r="L1641" s="32" t="s">
        <v>39</v>
      </c>
      <c r="M1641" s="33">
        <v>51</v>
      </c>
      <c r="N1641" s="33">
        <v>0</v>
      </c>
      <c r="O1641" s="33">
        <v>8</v>
      </c>
      <c r="P1641" s="32">
        <v>0</v>
      </c>
      <c r="Q1641" s="33">
        <v>2</v>
      </c>
      <c r="R1641" s="32">
        <v>0</v>
      </c>
      <c r="S1641" s="32"/>
      <c r="T1641" s="3">
        <v>0</v>
      </c>
      <c r="U1641" s="3">
        <v>4.6330000000000003E-2</v>
      </c>
      <c r="V1641" s="3">
        <v>4.4220000000000002E-2</v>
      </c>
      <c r="W1641" s="3">
        <v>0</v>
      </c>
      <c r="X1641" s="3"/>
      <c r="Y1641" s="3">
        <v>0</v>
      </c>
      <c r="Z1641" s="23"/>
      <c r="AA1641" s="23"/>
      <c r="AB1641" s="3" t="str">
        <f t="shared" si="13"/>
        <v>___</v>
      </c>
      <c r="AC1641" s="3" t="str">
        <f t="shared" si="12"/>
        <v>____</v>
      </c>
    </row>
    <row r="1642" spans="1:31" ht="14">
      <c r="A1642" s="23"/>
      <c r="B1642" s="32">
        <v>926</v>
      </c>
      <c r="C1642" s="32">
        <v>51</v>
      </c>
      <c r="D1642" s="23"/>
      <c r="E1642" s="23"/>
      <c r="F1642" s="23"/>
      <c r="G1642" s="32" t="s">
        <v>40</v>
      </c>
      <c r="H1642" s="33">
        <v>2</v>
      </c>
      <c r="I1642" s="32">
        <v>13.7</v>
      </c>
      <c r="J1642" s="32">
        <v>24</v>
      </c>
      <c r="K1642" s="32">
        <v>7</v>
      </c>
      <c r="L1642" s="32" t="s">
        <v>36</v>
      </c>
      <c r="M1642" s="33">
        <v>12</v>
      </c>
      <c r="N1642" s="33">
        <v>5</v>
      </c>
      <c r="O1642" s="33">
        <v>6</v>
      </c>
      <c r="P1642" s="32">
        <v>0</v>
      </c>
      <c r="Q1642" s="33">
        <v>0</v>
      </c>
      <c r="R1642" s="32">
        <v>0</v>
      </c>
      <c r="S1642" s="32"/>
      <c r="T1642" s="3">
        <v>8.8500000000000002E-3</v>
      </c>
      <c r="U1642" s="3">
        <v>2.5899999999999999E-3</v>
      </c>
      <c r="V1642" s="3">
        <v>0</v>
      </c>
      <c r="W1642" s="3">
        <v>0</v>
      </c>
      <c r="X1642" s="3"/>
      <c r="Y1642" s="3">
        <v>0</v>
      </c>
      <c r="Z1642" s="23"/>
      <c r="AA1642" s="23"/>
      <c r="AB1642" s="3" t="str">
        <f t="shared" si="13"/>
        <v>926_51__vm</v>
      </c>
      <c r="AC1642" s="3" t="str">
        <f t="shared" si="12"/>
        <v>926_51__vm_2</v>
      </c>
      <c r="AE1642" s="3" t="s">
        <v>37</v>
      </c>
    </row>
    <row r="1643" spans="1:31" ht="14">
      <c r="A1643" s="23"/>
      <c r="B1643" s="23"/>
      <c r="C1643" s="23"/>
      <c r="D1643" s="23"/>
      <c r="E1643" s="23"/>
      <c r="F1643" s="23"/>
      <c r="G1643" s="23"/>
      <c r="H1643" s="22"/>
      <c r="I1643" s="23"/>
      <c r="J1643" s="23"/>
      <c r="K1643" s="23"/>
      <c r="L1643" s="32" t="s">
        <v>38</v>
      </c>
      <c r="M1643" s="33">
        <v>26</v>
      </c>
      <c r="N1643" s="33">
        <v>0</v>
      </c>
      <c r="O1643" s="33">
        <v>6</v>
      </c>
      <c r="P1643" s="32">
        <v>0</v>
      </c>
      <c r="Q1643" s="33">
        <v>2</v>
      </c>
      <c r="R1643" s="32">
        <v>0</v>
      </c>
      <c r="S1643" s="32"/>
      <c r="T1643" s="3">
        <v>0</v>
      </c>
      <c r="U1643" s="3">
        <v>1.142E-2</v>
      </c>
      <c r="V1643" s="3">
        <v>1.553E-2</v>
      </c>
      <c r="W1643" s="3">
        <v>0</v>
      </c>
      <c r="X1643" s="3"/>
      <c r="Y1643" s="3">
        <v>0</v>
      </c>
      <c r="Z1643" s="23"/>
      <c r="AA1643" s="23"/>
      <c r="AB1643" s="3" t="str">
        <f t="shared" si="13"/>
        <v>___</v>
      </c>
      <c r="AC1643" s="3" t="str">
        <f t="shared" si="12"/>
        <v>____</v>
      </c>
    </row>
    <row r="1644" spans="1:31" ht="14">
      <c r="A1644" s="23"/>
      <c r="B1644" s="23"/>
      <c r="C1644" s="23"/>
      <c r="D1644" s="23"/>
      <c r="E1644" s="23"/>
      <c r="F1644" s="23"/>
      <c r="G1644" s="23"/>
      <c r="H1644" s="22"/>
      <c r="I1644" s="23"/>
      <c r="J1644" s="23"/>
      <c r="K1644" s="23"/>
      <c r="L1644" s="32" t="s">
        <v>39</v>
      </c>
      <c r="M1644" s="33">
        <v>41</v>
      </c>
      <c r="N1644" s="33">
        <v>0</v>
      </c>
      <c r="O1644" s="33">
        <v>8</v>
      </c>
      <c r="P1644" s="32">
        <v>0</v>
      </c>
      <c r="Q1644" s="33">
        <v>2</v>
      </c>
      <c r="R1644" s="32">
        <v>0</v>
      </c>
      <c r="S1644" s="32"/>
      <c r="T1644" s="3">
        <v>0</v>
      </c>
      <c r="U1644" s="3">
        <v>2.7480000000000001E-2</v>
      </c>
      <c r="V1644" s="3">
        <v>3.4500000000000003E-2</v>
      </c>
      <c r="W1644" s="3">
        <v>0</v>
      </c>
      <c r="X1644" s="3"/>
      <c r="Y1644" s="3">
        <v>0</v>
      </c>
      <c r="Z1644" s="23"/>
      <c r="AA1644" s="23"/>
      <c r="AB1644" s="3" t="str">
        <f t="shared" si="13"/>
        <v>___</v>
      </c>
      <c r="AC1644" s="3" t="str">
        <f t="shared" si="12"/>
        <v>____</v>
      </c>
    </row>
    <row r="1645" spans="1:31" ht="14">
      <c r="A1645" s="23"/>
      <c r="B1645" s="32">
        <v>926</v>
      </c>
      <c r="C1645" s="32">
        <v>51</v>
      </c>
      <c r="D1645" s="23"/>
      <c r="E1645" s="23"/>
      <c r="F1645" s="23"/>
      <c r="G1645" s="32" t="s">
        <v>40</v>
      </c>
      <c r="H1645" s="33">
        <v>3</v>
      </c>
      <c r="I1645" s="32">
        <v>14.5</v>
      </c>
      <c r="J1645" s="32">
        <v>17</v>
      </c>
      <c r="K1645" s="32">
        <v>8</v>
      </c>
      <c r="L1645" s="32" t="s">
        <v>36</v>
      </c>
      <c r="M1645" s="33">
        <v>13</v>
      </c>
      <c r="N1645" s="33">
        <v>5</v>
      </c>
      <c r="O1645" s="33">
        <v>5</v>
      </c>
      <c r="P1645" s="32">
        <v>0</v>
      </c>
      <c r="Q1645" s="33">
        <v>0</v>
      </c>
      <c r="R1645" s="32">
        <v>0</v>
      </c>
      <c r="S1645" s="32"/>
      <c r="T1645" s="3">
        <v>1.039E-2</v>
      </c>
      <c r="U1645" s="3">
        <v>3.7200000000000002E-3</v>
      </c>
      <c r="V1645" s="3">
        <v>0</v>
      </c>
      <c r="W1645" s="3">
        <v>0</v>
      </c>
      <c r="X1645" s="3"/>
      <c r="Y1645" s="3">
        <v>0</v>
      </c>
      <c r="Z1645" s="23"/>
      <c r="AA1645" s="23"/>
      <c r="AB1645" s="3" t="str">
        <f t="shared" si="13"/>
        <v>926_51__vm</v>
      </c>
      <c r="AC1645" s="3" t="str">
        <f t="shared" si="12"/>
        <v>926_51__vm_3</v>
      </c>
      <c r="AE1645" s="3" t="s">
        <v>37</v>
      </c>
    </row>
    <row r="1646" spans="1:31" ht="14">
      <c r="A1646" s="23"/>
      <c r="B1646" s="23"/>
      <c r="C1646" s="23"/>
      <c r="D1646" s="23"/>
      <c r="E1646" s="23"/>
      <c r="F1646" s="23"/>
      <c r="G1646" s="23"/>
      <c r="H1646" s="22"/>
      <c r="I1646" s="23"/>
      <c r="J1646" s="23"/>
      <c r="K1646" s="23"/>
      <c r="L1646" s="32" t="s">
        <v>38</v>
      </c>
      <c r="M1646" s="33">
        <v>33</v>
      </c>
      <c r="N1646" s="33">
        <v>0</v>
      </c>
      <c r="O1646" s="33">
        <v>7</v>
      </c>
      <c r="P1646" s="32">
        <v>0</v>
      </c>
      <c r="Q1646" s="33">
        <v>3</v>
      </c>
      <c r="R1646" s="32">
        <v>0</v>
      </c>
      <c r="S1646" s="32"/>
      <c r="T1646" s="3">
        <v>0</v>
      </c>
      <c r="U1646" s="3">
        <v>1.669E-2</v>
      </c>
      <c r="V1646" s="3">
        <v>3.1919999999999997E-2</v>
      </c>
      <c r="W1646" s="3">
        <v>0</v>
      </c>
      <c r="X1646" s="3"/>
      <c r="Y1646" s="3">
        <v>0</v>
      </c>
      <c r="Z1646" s="32" t="s">
        <v>225</v>
      </c>
      <c r="AA1646" s="23"/>
      <c r="AB1646" s="3" t="str">
        <f t="shared" si="13"/>
        <v>___</v>
      </c>
      <c r="AC1646" s="3" t="str">
        <f t="shared" si="12"/>
        <v>____</v>
      </c>
    </row>
    <row r="1647" spans="1:31" ht="14">
      <c r="A1647" s="23"/>
      <c r="B1647" s="23"/>
      <c r="C1647" s="23"/>
      <c r="D1647" s="23"/>
      <c r="E1647" s="23"/>
      <c r="F1647" s="23"/>
      <c r="G1647" s="23"/>
      <c r="H1647" s="22"/>
      <c r="I1647" s="23"/>
      <c r="J1647" s="23"/>
      <c r="K1647" s="23"/>
      <c r="L1647" s="32" t="s">
        <v>39</v>
      </c>
      <c r="M1647" s="33">
        <v>51</v>
      </c>
      <c r="N1647" s="33">
        <v>0</v>
      </c>
      <c r="O1647" s="33">
        <v>7</v>
      </c>
      <c r="P1647" s="32">
        <v>0</v>
      </c>
      <c r="Q1647" s="33">
        <v>1</v>
      </c>
      <c r="R1647" s="32">
        <v>0</v>
      </c>
      <c r="S1647" s="32"/>
      <c r="T1647" s="3">
        <v>2.9100000000000001E-2</v>
      </c>
      <c r="U1647" s="3">
        <v>3.8269999999999998E-2</v>
      </c>
      <c r="V1647" s="3">
        <v>0</v>
      </c>
      <c r="W1647" s="3">
        <v>0</v>
      </c>
      <c r="X1647" s="3"/>
      <c r="Y1647" s="3">
        <v>0</v>
      </c>
      <c r="Z1647" s="23"/>
      <c r="AA1647" s="23"/>
      <c r="AB1647" s="3" t="str">
        <f t="shared" si="13"/>
        <v>___</v>
      </c>
      <c r="AC1647" s="3" t="str">
        <f t="shared" si="12"/>
        <v>____</v>
      </c>
    </row>
    <row r="1648" spans="1:31" ht="14">
      <c r="A1648" s="23"/>
      <c r="B1648" s="32">
        <v>926</v>
      </c>
      <c r="C1648" s="32">
        <v>64</v>
      </c>
      <c r="D1648" s="23"/>
      <c r="E1648" s="23"/>
      <c r="F1648" s="23"/>
      <c r="G1648" s="32" t="s">
        <v>35</v>
      </c>
      <c r="H1648" s="33">
        <v>1</v>
      </c>
      <c r="I1648" s="32">
        <v>14.3</v>
      </c>
      <c r="J1648" s="32">
        <v>10.8</v>
      </c>
      <c r="K1648" s="32">
        <v>4</v>
      </c>
      <c r="L1648" s="32" t="s">
        <v>36</v>
      </c>
      <c r="M1648" s="33">
        <v>37</v>
      </c>
      <c r="N1648" s="33">
        <v>8</v>
      </c>
      <c r="O1648" s="33">
        <v>8</v>
      </c>
      <c r="P1648" s="32">
        <v>0</v>
      </c>
      <c r="Q1648" s="33">
        <v>0</v>
      </c>
      <c r="R1648" s="32">
        <v>0</v>
      </c>
      <c r="S1648" s="32"/>
      <c r="T1648" s="3">
        <v>2.9010000000000001E-2</v>
      </c>
      <c r="U1648" s="3">
        <v>7.8899999999999994E-3</v>
      </c>
      <c r="V1648" s="3">
        <v>0</v>
      </c>
      <c r="W1648" s="3">
        <v>0</v>
      </c>
      <c r="X1648" s="3"/>
      <c r="Y1648" s="3">
        <v>0</v>
      </c>
      <c r="Z1648" s="23"/>
      <c r="AA1648" s="23"/>
      <c r="AB1648" s="3" t="str">
        <f t="shared" si="13"/>
        <v>926_64__vv</v>
      </c>
      <c r="AC1648" s="3" t="str">
        <f t="shared" si="12"/>
        <v>926_64__vv_1</v>
      </c>
      <c r="AE1648" s="3" t="s">
        <v>37</v>
      </c>
    </row>
    <row r="1649" spans="1:31" ht="14">
      <c r="A1649" s="23"/>
      <c r="B1649" s="23"/>
      <c r="C1649" s="23"/>
      <c r="D1649" s="23"/>
      <c r="E1649" s="23"/>
      <c r="F1649" s="23"/>
      <c r="G1649" s="23"/>
      <c r="H1649" s="22"/>
      <c r="I1649" s="23"/>
      <c r="J1649" s="23"/>
      <c r="K1649" s="23"/>
      <c r="L1649" s="32" t="s">
        <v>38</v>
      </c>
      <c r="M1649" s="33">
        <v>37</v>
      </c>
      <c r="N1649" s="33">
        <v>2</v>
      </c>
      <c r="O1649" s="33">
        <v>5</v>
      </c>
      <c r="P1649" s="32">
        <v>0</v>
      </c>
      <c r="Q1649" s="33">
        <v>0</v>
      </c>
      <c r="R1649" s="32">
        <v>0</v>
      </c>
      <c r="S1649" s="32"/>
      <c r="T1649" s="3">
        <v>2.2899999999999999E-3</v>
      </c>
      <c r="U1649" s="3">
        <v>9.3200000000000002E-3</v>
      </c>
      <c r="V1649" s="3">
        <v>0</v>
      </c>
      <c r="W1649" s="3">
        <v>0</v>
      </c>
      <c r="X1649" s="3"/>
      <c r="Y1649" s="3">
        <v>0</v>
      </c>
      <c r="Z1649" s="23"/>
      <c r="AA1649" s="23"/>
      <c r="AB1649" s="3" t="str">
        <f t="shared" si="13"/>
        <v>___</v>
      </c>
      <c r="AC1649" s="3" t="str">
        <f t="shared" si="12"/>
        <v>____</v>
      </c>
    </row>
    <row r="1650" spans="1:31" ht="14">
      <c r="A1650" s="23"/>
      <c r="B1650" s="23"/>
      <c r="C1650" s="23"/>
      <c r="D1650" s="23"/>
      <c r="E1650" s="23"/>
      <c r="F1650" s="23"/>
      <c r="G1650" s="23"/>
      <c r="H1650" s="22"/>
      <c r="I1650" s="23"/>
      <c r="J1650" s="23"/>
      <c r="K1650" s="23"/>
      <c r="L1650" s="32" t="s">
        <v>39</v>
      </c>
      <c r="M1650" s="33">
        <v>39</v>
      </c>
      <c r="N1650" s="33">
        <v>0</v>
      </c>
      <c r="O1650" s="33">
        <v>9</v>
      </c>
      <c r="P1650" s="32">
        <v>1</v>
      </c>
      <c r="Q1650" s="33">
        <v>1</v>
      </c>
      <c r="R1650" s="32">
        <v>0</v>
      </c>
      <c r="S1650" s="32"/>
      <c r="T1650" s="3">
        <v>0</v>
      </c>
      <c r="U1650" s="3">
        <v>2.5780000000000001E-2</v>
      </c>
      <c r="V1650" s="3">
        <v>0.11443</v>
      </c>
      <c r="W1650" s="3">
        <v>0</v>
      </c>
      <c r="X1650" s="3"/>
      <c r="Y1650" s="3">
        <v>0</v>
      </c>
      <c r="Z1650" s="23"/>
      <c r="AA1650" s="23"/>
      <c r="AB1650" s="3" t="str">
        <f t="shared" si="13"/>
        <v>___</v>
      </c>
      <c r="AC1650" s="3" t="str">
        <f t="shared" si="12"/>
        <v>____</v>
      </c>
    </row>
    <row r="1651" spans="1:31" ht="14">
      <c r="A1651" s="23"/>
      <c r="B1651" s="32">
        <v>926</v>
      </c>
      <c r="C1651" s="32">
        <v>64</v>
      </c>
      <c r="D1651" s="23"/>
      <c r="E1651" s="23"/>
      <c r="F1651" s="23"/>
      <c r="G1651" s="32" t="s">
        <v>35</v>
      </c>
      <c r="H1651" s="33">
        <v>2</v>
      </c>
      <c r="I1651" s="32">
        <v>13.8</v>
      </c>
      <c r="J1651" s="32">
        <v>18.7</v>
      </c>
      <c r="K1651" s="32">
        <v>7</v>
      </c>
      <c r="L1651" s="32" t="s">
        <v>36</v>
      </c>
      <c r="M1651" s="33">
        <v>22</v>
      </c>
      <c r="N1651" s="33">
        <v>11</v>
      </c>
      <c r="O1651" s="33">
        <v>11</v>
      </c>
      <c r="P1651" s="32">
        <v>0</v>
      </c>
      <c r="Q1651" s="33">
        <v>0</v>
      </c>
      <c r="R1651" s="32">
        <v>0</v>
      </c>
      <c r="S1651" s="32"/>
      <c r="T1651" s="3">
        <v>6.5699999999999995E-2</v>
      </c>
      <c r="U1651" s="3">
        <v>6.1000000000000004E-3</v>
      </c>
      <c r="V1651" s="3">
        <v>0</v>
      </c>
      <c r="W1651" s="3">
        <v>0</v>
      </c>
      <c r="X1651" s="3"/>
      <c r="Y1651" s="3">
        <v>0</v>
      </c>
      <c r="Z1651" s="23"/>
      <c r="AA1651" s="23"/>
      <c r="AB1651" s="3" t="str">
        <f t="shared" si="13"/>
        <v>926_64__vv</v>
      </c>
      <c r="AC1651" s="3" t="str">
        <f t="shared" si="12"/>
        <v>926_64__vv_2</v>
      </c>
      <c r="AE1651" s="3" t="s">
        <v>37</v>
      </c>
    </row>
    <row r="1652" spans="1:31" ht="14">
      <c r="A1652" s="23"/>
      <c r="B1652" s="23"/>
      <c r="C1652" s="23"/>
      <c r="D1652" s="23"/>
      <c r="E1652" s="23"/>
      <c r="F1652" s="23"/>
      <c r="G1652" s="23"/>
      <c r="H1652" s="22"/>
      <c r="I1652" s="23"/>
      <c r="J1652" s="23"/>
      <c r="K1652" s="23"/>
      <c r="L1652" s="32" t="s">
        <v>38</v>
      </c>
      <c r="M1652" s="33">
        <v>27</v>
      </c>
      <c r="N1652" s="33">
        <v>7</v>
      </c>
      <c r="O1652" s="33">
        <v>9</v>
      </c>
      <c r="P1652" s="32">
        <v>1</v>
      </c>
      <c r="Q1652" s="33">
        <v>1</v>
      </c>
      <c r="R1652" s="32">
        <v>0</v>
      </c>
      <c r="S1652" s="32"/>
      <c r="T1652" s="3">
        <v>7.3770000000000002E-2</v>
      </c>
      <c r="U1652" s="3">
        <v>5.0499999999999998E-3</v>
      </c>
      <c r="V1652" s="3">
        <v>1.941E-2</v>
      </c>
      <c r="W1652" s="3">
        <v>0</v>
      </c>
      <c r="X1652" s="3"/>
      <c r="Y1652" s="3">
        <v>0</v>
      </c>
      <c r="Z1652" s="23"/>
      <c r="AA1652" s="23"/>
      <c r="AB1652" s="3" t="str">
        <f t="shared" si="13"/>
        <v>___</v>
      </c>
      <c r="AC1652" s="3" t="str">
        <f t="shared" si="12"/>
        <v>____</v>
      </c>
    </row>
    <row r="1653" spans="1:31" ht="14">
      <c r="A1653" s="23"/>
      <c r="B1653" s="23"/>
      <c r="C1653" s="23"/>
      <c r="D1653" s="23"/>
      <c r="E1653" s="23"/>
      <c r="F1653" s="23"/>
      <c r="G1653" s="23"/>
      <c r="H1653" s="22"/>
      <c r="I1653" s="23"/>
      <c r="J1653" s="23"/>
      <c r="K1653" s="23"/>
      <c r="L1653" s="32" t="s">
        <v>39</v>
      </c>
      <c r="M1653" s="33">
        <v>47</v>
      </c>
      <c r="N1653" s="33">
        <v>9</v>
      </c>
      <c r="O1653" s="33">
        <v>13</v>
      </c>
      <c r="P1653" s="32">
        <v>0</v>
      </c>
      <c r="Q1653" s="33">
        <v>0</v>
      </c>
      <c r="R1653" s="32">
        <v>0</v>
      </c>
      <c r="S1653" s="32"/>
      <c r="T1653" s="3">
        <v>0.11990000000000001</v>
      </c>
      <c r="U1653" s="3">
        <v>2.6669999999999999E-2</v>
      </c>
      <c r="V1653" s="3">
        <v>0</v>
      </c>
      <c r="W1653" s="3">
        <v>0</v>
      </c>
      <c r="X1653" s="3"/>
      <c r="Y1653" s="3">
        <v>0</v>
      </c>
      <c r="Z1653" s="23"/>
      <c r="AA1653" s="23"/>
      <c r="AB1653" s="3" t="str">
        <f t="shared" si="13"/>
        <v>___</v>
      </c>
      <c r="AC1653" s="3" t="str">
        <f t="shared" si="12"/>
        <v>____</v>
      </c>
    </row>
    <row r="1654" spans="1:31" ht="14">
      <c r="A1654" s="23"/>
      <c r="B1654" s="32">
        <v>926</v>
      </c>
      <c r="C1654" s="32">
        <v>64</v>
      </c>
      <c r="D1654" s="23"/>
      <c r="E1654" s="23"/>
      <c r="F1654" s="23"/>
      <c r="G1654" s="32" t="s">
        <v>35</v>
      </c>
      <c r="H1654" s="33">
        <v>3</v>
      </c>
      <c r="I1654" s="32">
        <v>8</v>
      </c>
      <c r="J1654" s="32">
        <v>9.6</v>
      </c>
      <c r="K1654" s="32">
        <v>4</v>
      </c>
      <c r="L1654" s="32" t="s">
        <v>36</v>
      </c>
      <c r="M1654" s="33">
        <v>27</v>
      </c>
      <c r="N1654" s="33">
        <v>9</v>
      </c>
      <c r="O1654" s="33">
        <v>11</v>
      </c>
      <c r="P1654" s="32">
        <v>0</v>
      </c>
      <c r="Q1654" s="33">
        <v>0</v>
      </c>
      <c r="R1654" s="32">
        <v>0</v>
      </c>
      <c r="S1654" s="32"/>
      <c r="T1654" s="3">
        <v>3.322E-2</v>
      </c>
      <c r="U1654" s="3">
        <v>5.8399999999999997E-3</v>
      </c>
      <c r="V1654" s="3">
        <v>0</v>
      </c>
      <c r="W1654" s="3">
        <v>0</v>
      </c>
      <c r="X1654" s="3"/>
      <c r="Y1654" s="3">
        <v>0</v>
      </c>
      <c r="Z1654" s="23"/>
      <c r="AA1654" s="23"/>
      <c r="AB1654" s="3" t="str">
        <f t="shared" si="13"/>
        <v>926_64__vv</v>
      </c>
      <c r="AC1654" s="3" t="str">
        <f t="shared" si="12"/>
        <v>926_64__vv_3</v>
      </c>
      <c r="AE1654" s="3" t="s">
        <v>37</v>
      </c>
    </row>
    <row r="1655" spans="1:31" ht="14">
      <c r="A1655" s="23"/>
      <c r="B1655" s="23"/>
      <c r="C1655" s="23"/>
      <c r="D1655" s="23"/>
      <c r="E1655" s="23"/>
      <c r="F1655" s="23"/>
      <c r="G1655" s="23"/>
      <c r="H1655" s="22"/>
      <c r="I1655" s="23"/>
      <c r="J1655" s="23"/>
      <c r="K1655" s="23"/>
      <c r="L1655" s="32" t="s">
        <v>38</v>
      </c>
      <c r="M1655" s="33">
        <v>43</v>
      </c>
      <c r="N1655" s="33">
        <v>2</v>
      </c>
      <c r="O1655" s="33">
        <v>7</v>
      </c>
      <c r="P1655" s="32">
        <v>0</v>
      </c>
      <c r="Q1655" s="33">
        <v>0</v>
      </c>
      <c r="R1655" s="32">
        <v>0</v>
      </c>
      <c r="S1655" s="32"/>
      <c r="T1655" s="3">
        <v>1.162E-2</v>
      </c>
      <c r="U1655" s="3">
        <v>1.5810000000000001E-2</v>
      </c>
      <c r="V1655" s="3">
        <v>0</v>
      </c>
      <c r="W1655" s="3">
        <v>0</v>
      </c>
      <c r="X1655" s="3"/>
      <c r="Y1655" s="3">
        <v>0</v>
      </c>
      <c r="Z1655" s="23"/>
      <c r="AA1655" s="23"/>
      <c r="AB1655" s="3" t="str">
        <f t="shared" si="13"/>
        <v>___</v>
      </c>
      <c r="AC1655" s="3" t="str">
        <f t="shared" si="12"/>
        <v>____</v>
      </c>
    </row>
    <row r="1656" spans="1:31" ht="14">
      <c r="A1656" s="23"/>
      <c r="B1656" s="23"/>
      <c r="C1656" s="23"/>
      <c r="D1656" s="23"/>
      <c r="E1656" s="23"/>
      <c r="F1656" s="23"/>
      <c r="G1656" s="23"/>
      <c r="H1656" s="22"/>
      <c r="I1656" s="23"/>
      <c r="J1656" s="23"/>
      <c r="K1656" s="23"/>
      <c r="L1656" s="32" t="s">
        <v>39</v>
      </c>
      <c r="M1656" s="33">
        <v>19</v>
      </c>
      <c r="N1656" s="33">
        <v>0</v>
      </c>
      <c r="O1656" s="33">
        <v>6</v>
      </c>
      <c r="P1656" s="32">
        <v>0</v>
      </c>
      <c r="Q1656" s="33">
        <v>0</v>
      </c>
      <c r="R1656" s="32">
        <v>0</v>
      </c>
      <c r="S1656" s="32"/>
      <c r="T1656" s="3">
        <v>0</v>
      </c>
      <c r="U1656" s="3">
        <v>4.8199999999999996E-3</v>
      </c>
      <c r="V1656" s="3">
        <v>0</v>
      </c>
      <c r="W1656" s="3">
        <v>0</v>
      </c>
      <c r="X1656" s="3"/>
      <c r="Y1656" s="3">
        <v>0</v>
      </c>
      <c r="Z1656" s="23"/>
      <c r="AA1656" s="23"/>
      <c r="AB1656" s="3" t="str">
        <f t="shared" si="13"/>
        <v>___</v>
      </c>
      <c r="AC1656" s="3" t="str">
        <f t="shared" si="12"/>
        <v>____</v>
      </c>
    </row>
    <row r="1657" spans="1:31" ht="14">
      <c r="A1657" s="23"/>
      <c r="B1657" s="32">
        <v>926</v>
      </c>
      <c r="C1657" s="32">
        <v>64</v>
      </c>
      <c r="D1657" s="23"/>
      <c r="E1657" s="23"/>
      <c r="F1657" s="23"/>
      <c r="G1657" s="32" t="s">
        <v>40</v>
      </c>
      <c r="H1657" s="33">
        <v>1</v>
      </c>
      <c r="I1657" s="32">
        <v>14.4</v>
      </c>
      <c r="J1657" s="32">
        <v>20.5</v>
      </c>
      <c r="K1657" s="32">
        <v>7</v>
      </c>
      <c r="L1657" s="32" t="s">
        <v>36</v>
      </c>
      <c r="M1657" s="33">
        <v>19</v>
      </c>
      <c r="N1657" s="33">
        <v>5</v>
      </c>
      <c r="O1657" s="33">
        <v>5</v>
      </c>
      <c r="P1657" s="32">
        <v>0</v>
      </c>
      <c r="Q1657" s="33">
        <v>0</v>
      </c>
      <c r="R1657" s="32">
        <v>0</v>
      </c>
      <c r="S1657" s="32"/>
      <c r="T1657" s="3">
        <v>1.636E-2</v>
      </c>
      <c r="U1657" s="3">
        <v>4.2599999999999999E-3</v>
      </c>
      <c r="V1657" s="3">
        <v>0</v>
      </c>
      <c r="W1657" s="3">
        <v>0</v>
      </c>
      <c r="X1657" s="3"/>
      <c r="Y1657" s="3">
        <v>0</v>
      </c>
      <c r="Z1657" s="23"/>
      <c r="AA1657" s="23"/>
      <c r="AB1657" s="3" t="str">
        <f t="shared" si="13"/>
        <v>926_64__vm</v>
      </c>
      <c r="AC1657" s="3" t="str">
        <f t="shared" si="12"/>
        <v>926_64__vm_1</v>
      </c>
      <c r="AE1657" s="3" t="s">
        <v>37</v>
      </c>
    </row>
    <row r="1658" spans="1:31" ht="14">
      <c r="A1658" s="23"/>
      <c r="B1658" s="23"/>
      <c r="C1658" s="23"/>
      <c r="D1658" s="23"/>
      <c r="E1658" s="23"/>
      <c r="F1658" s="23"/>
      <c r="G1658" s="23"/>
      <c r="H1658" s="22"/>
      <c r="I1658" s="23"/>
      <c r="J1658" s="23"/>
      <c r="K1658" s="23"/>
      <c r="L1658" s="32" t="s">
        <v>38</v>
      </c>
      <c r="M1658" s="33">
        <v>19</v>
      </c>
      <c r="N1658" s="33">
        <v>0</v>
      </c>
      <c r="O1658" s="33">
        <v>2</v>
      </c>
      <c r="P1658" s="32">
        <v>1</v>
      </c>
      <c r="Q1658" s="33">
        <v>1</v>
      </c>
      <c r="R1658" s="32">
        <v>0</v>
      </c>
      <c r="S1658" s="32"/>
      <c r="T1658" s="3">
        <v>0</v>
      </c>
      <c r="U1658" s="3">
        <v>5.6699999999999997E-3</v>
      </c>
      <c r="V1658" s="3">
        <v>7.7299999999999999E-3</v>
      </c>
      <c r="W1658" s="3">
        <v>0</v>
      </c>
      <c r="X1658" s="3"/>
      <c r="Y1658" s="3">
        <v>0</v>
      </c>
      <c r="Z1658" s="23"/>
      <c r="AA1658" s="23"/>
      <c r="AB1658" s="3" t="str">
        <f t="shared" si="13"/>
        <v>___</v>
      </c>
      <c r="AC1658" s="3" t="str">
        <f t="shared" si="12"/>
        <v>____</v>
      </c>
    </row>
    <row r="1659" spans="1:31" ht="14">
      <c r="A1659" s="23"/>
      <c r="B1659" s="23"/>
      <c r="C1659" s="23"/>
      <c r="D1659" s="23"/>
      <c r="E1659" s="23"/>
      <c r="F1659" s="23"/>
      <c r="G1659" s="23"/>
      <c r="H1659" s="22"/>
      <c r="I1659" s="23"/>
      <c r="J1659" s="23"/>
      <c r="K1659" s="23"/>
      <c r="L1659" s="32" t="s">
        <v>39</v>
      </c>
      <c r="M1659" s="33">
        <v>24</v>
      </c>
      <c r="N1659" s="33">
        <v>0</v>
      </c>
      <c r="O1659" s="33">
        <v>2</v>
      </c>
      <c r="P1659" s="32">
        <v>2</v>
      </c>
      <c r="Q1659" s="33">
        <v>2</v>
      </c>
      <c r="R1659" s="32">
        <v>0</v>
      </c>
      <c r="S1659" s="32"/>
      <c r="T1659" s="3">
        <v>0</v>
      </c>
      <c r="U1659" s="3">
        <v>1.0279999999999999E-2</v>
      </c>
      <c r="V1659" s="3">
        <v>3.347E-2</v>
      </c>
      <c r="W1659" s="3">
        <v>0</v>
      </c>
      <c r="X1659" s="3"/>
      <c r="Y1659" s="3">
        <v>0</v>
      </c>
      <c r="Z1659" s="23"/>
      <c r="AA1659" s="23"/>
      <c r="AB1659" s="3" t="str">
        <f t="shared" si="13"/>
        <v>___</v>
      </c>
      <c r="AC1659" s="3" t="str">
        <f t="shared" si="12"/>
        <v>____</v>
      </c>
    </row>
    <row r="1660" spans="1:31" ht="14">
      <c r="A1660" s="23"/>
      <c r="B1660" s="32">
        <v>926</v>
      </c>
      <c r="C1660" s="32">
        <v>64</v>
      </c>
      <c r="D1660" s="23"/>
      <c r="E1660" s="23"/>
      <c r="F1660" s="23"/>
      <c r="G1660" s="32" t="s">
        <v>40</v>
      </c>
      <c r="H1660" s="33">
        <v>2</v>
      </c>
      <c r="I1660" s="32">
        <v>16.399999999999999</v>
      </c>
      <c r="J1660" s="32">
        <v>20.9</v>
      </c>
      <c r="K1660" s="32">
        <v>5</v>
      </c>
      <c r="L1660" s="32" t="s">
        <v>36</v>
      </c>
      <c r="M1660" s="33">
        <v>18</v>
      </c>
      <c r="N1660" s="33">
        <v>4</v>
      </c>
      <c r="O1660" s="33">
        <v>4</v>
      </c>
      <c r="P1660" s="32">
        <v>0</v>
      </c>
      <c r="Q1660" s="33">
        <v>0</v>
      </c>
      <c r="R1660" s="32">
        <v>0</v>
      </c>
      <c r="S1660" s="32"/>
      <c r="T1660" s="3">
        <v>1.5820000000000001E-2</v>
      </c>
      <c r="U1660" s="3">
        <v>4.1599999999999996E-3</v>
      </c>
      <c r="V1660" s="3">
        <v>0</v>
      </c>
      <c r="W1660" s="3">
        <v>0</v>
      </c>
      <c r="X1660" s="3"/>
      <c r="Y1660" s="3">
        <v>0</v>
      </c>
      <c r="Z1660" s="23"/>
      <c r="AA1660" s="23"/>
      <c r="AB1660" s="3" t="str">
        <f t="shared" si="13"/>
        <v>926_64__vm</v>
      </c>
      <c r="AC1660" s="3" t="str">
        <f t="shared" si="12"/>
        <v>926_64__vm_2</v>
      </c>
      <c r="AE1660" s="3" t="s">
        <v>37</v>
      </c>
    </row>
    <row r="1661" spans="1:31" ht="14">
      <c r="A1661" s="23"/>
      <c r="B1661" s="23"/>
      <c r="C1661" s="23"/>
      <c r="D1661" s="23"/>
      <c r="E1661" s="23"/>
      <c r="F1661" s="23"/>
      <c r="G1661" s="23"/>
      <c r="H1661" s="22"/>
      <c r="I1661" s="23"/>
      <c r="J1661" s="23"/>
      <c r="K1661" s="23"/>
      <c r="L1661" s="32" t="s">
        <v>38</v>
      </c>
      <c r="M1661" s="33">
        <v>34</v>
      </c>
      <c r="N1661" s="33">
        <v>0</v>
      </c>
      <c r="O1661" s="33">
        <v>3</v>
      </c>
      <c r="P1661" s="32">
        <v>3</v>
      </c>
      <c r="Q1661" s="33">
        <v>3</v>
      </c>
      <c r="R1661" s="32">
        <v>0</v>
      </c>
      <c r="S1661" s="32"/>
      <c r="T1661" s="3">
        <v>0</v>
      </c>
      <c r="U1661" s="3">
        <v>1.5699999999999999E-2</v>
      </c>
      <c r="V1661" s="3">
        <v>2.163E-2</v>
      </c>
      <c r="W1661" s="3">
        <v>0</v>
      </c>
      <c r="X1661" s="3"/>
      <c r="Y1661" s="3">
        <v>0</v>
      </c>
      <c r="Z1661" s="23"/>
      <c r="AA1661" s="23"/>
      <c r="AB1661" s="3" t="str">
        <f t="shared" si="13"/>
        <v>___</v>
      </c>
      <c r="AC1661" s="3" t="str">
        <f t="shared" si="12"/>
        <v>____</v>
      </c>
    </row>
    <row r="1662" spans="1:31" ht="14">
      <c r="A1662" s="23"/>
      <c r="B1662" s="23"/>
      <c r="C1662" s="23"/>
      <c r="D1662" s="23"/>
      <c r="E1662" s="23"/>
      <c r="F1662" s="23"/>
      <c r="G1662" s="23"/>
      <c r="H1662" s="22"/>
      <c r="I1662" s="23"/>
      <c r="J1662" s="23"/>
      <c r="K1662" s="23"/>
      <c r="L1662" s="32" t="s">
        <v>39</v>
      </c>
      <c r="M1662" s="33">
        <v>40</v>
      </c>
      <c r="N1662" s="33">
        <v>0</v>
      </c>
      <c r="O1662" s="33">
        <v>3</v>
      </c>
      <c r="P1662" s="32">
        <v>2</v>
      </c>
      <c r="Q1662" s="33">
        <v>2</v>
      </c>
      <c r="R1662" s="32">
        <v>0</v>
      </c>
      <c r="S1662" s="32"/>
      <c r="T1662" s="3">
        <v>0</v>
      </c>
      <c r="U1662" s="3">
        <v>3.227E-2</v>
      </c>
      <c r="V1662" s="3">
        <v>7.0319999999999994E-2</v>
      </c>
      <c r="W1662" s="3">
        <v>0</v>
      </c>
      <c r="X1662" s="3"/>
      <c r="Y1662" s="3">
        <v>0</v>
      </c>
      <c r="Z1662" s="23"/>
      <c r="AA1662" s="23"/>
      <c r="AB1662" s="3" t="str">
        <f t="shared" si="13"/>
        <v>___</v>
      </c>
      <c r="AC1662" s="3" t="str">
        <f t="shared" si="12"/>
        <v>____</v>
      </c>
    </row>
    <row r="1663" spans="1:31" ht="14">
      <c r="A1663" s="23"/>
      <c r="B1663" s="32">
        <v>925</v>
      </c>
      <c r="C1663" s="32">
        <v>64</v>
      </c>
      <c r="D1663" s="23"/>
      <c r="E1663" s="23"/>
      <c r="F1663" s="23"/>
      <c r="G1663" s="32" t="s">
        <v>40</v>
      </c>
      <c r="H1663" s="33">
        <v>3</v>
      </c>
      <c r="I1663" s="32">
        <v>14.8</v>
      </c>
      <c r="J1663" s="32">
        <v>14.8</v>
      </c>
      <c r="K1663" s="32">
        <v>8</v>
      </c>
      <c r="L1663" s="32" t="s">
        <v>36</v>
      </c>
      <c r="M1663" s="33">
        <v>9</v>
      </c>
      <c r="N1663" s="33">
        <v>4</v>
      </c>
      <c r="O1663" s="33">
        <v>4</v>
      </c>
      <c r="P1663" s="32">
        <v>0</v>
      </c>
      <c r="Q1663" s="33">
        <v>0</v>
      </c>
      <c r="R1663" s="32">
        <v>0</v>
      </c>
      <c r="S1663" s="32"/>
      <c r="T1663" s="3">
        <v>1.077E-2</v>
      </c>
      <c r="U1663" s="3">
        <v>2.2000000000000001E-3</v>
      </c>
      <c r="V1663" s="3">
        <v>0</v>
      </c>
      <c r="W1663" s="3">
        <v>0</v>
      </c>
      <c r="X1663" s="3"/>
      <c r="Y1663" s="3">
        <v>0</v>
      </c>
      <c r="Z1663" s="32"/>
      <c r="AA1663" s="23"/>
      <c r="AB1663" s="3" t="str">
        <f t="shared" si="13"/>
        <v>925_64__vm</v>
      </c>
      <c r="AC1663" s="3" t="str">
        <f t="shared" si="12"/>
        <v>925_64__vm_3</v>
      </c>
    </row>
    <row r="1664" spans="1:31" ht="14">
      <c r="A1664" s="23"/>
      <c r="B1664" s="23"/>
      <c r="C1664" s="23"/>
      <c r="D1664" s="23"/>
      <c r="E1664" s="23"/>
      <c r="F1664" s="23"/>
      <c r="G1664" s="23"/>
      <c r="H1664" s="22"/>
      <c r="I1664" s="23"/>
      <c r="J1664" s="23"/>
      <c r="K1664" s="23"/>
      <c r="L1664" s="32" t="s">
        <v>38</v>
      </c>
      <c r="M1664" s="33">
        <v>17</v>
      </c>
      <c r="N1664" s="33">
        <v>0</v>
      </c>
      <c r="O1664" s="33">
        <v>2</v>
      </c>
      <c r="P1664" s="32">
        <v>2</v>
      </c>
      <c r="Q1664" s="33">
        <v>2</v>
      </c>
      <c r="R1664" s="32">
        <v>0</v>
      </c>
      <c r="S1664" s="32"/>
      <c r="T1664" s="3">
        <v>0</v>
      </c>
      <c r="U1664" s="3">
        <v>8.3099999999999997E-3</v>
      </c>
      <c r="V1664" s="3">
        <v>1.8939999999999999E-2</v>
      </c>
      <c r="W1664" s="3">
        <v>0</v>
      </c>
      <c r="X1664" s="3"/>
      <c r="Y1664" s="3">
        <v>0</v>
      </c>
      <c r="Z1664" s="23"/>
      <c r="AA1664" s="23"/>
      <c r="AB1664" s="3" t="str">
        <f t="shared" si="13"/>
        <v>___</v>
      </c>
      <c r="AC1664" s="3" t="str">
        <f t="shared" si="12"/>
        <v>____</v>
      </c>
    </row>
    <row r="1665" spans="1:31" ht="14">
      <c r="A1665" s="23"/>
      <c r="B1665" s="23"/>
      <c r="C1665" s="23"/>
      <c r="D1665" s="23"/>
      <c r="E1665" s="23"/>
      <c r="F1665" s="23"/>
      <c r="G1665" s="23"/>
      <c r="H1665" s="22"/>
      <c r="I1665" s="23"/>
      <c r="J1665" s="23"/>
      <c r="K1665" s="23"/>
      <c r="L1665" s="32" t="s">
        <v>39</v>
      </c>
      <c r="M1665" s="33">
        <v>8</v>
      </c>
      <c r="N1665" s="33">
        <v>0</v>
      </c>
      <c r="O1665" s="33">
        <v>2</v>
      </c>
      <c r="P1665" s="32">
        <v>0</v>
      </c>
      <c r="Q1665" s="33">
        <v>0</v>
      </c>
      <c r="R1665" s="32">
        <v>0</v>
      </c>
      <c r="S1665" s="32"/>
      <c r="T1665" s="3">
        <v>0</v>
      </c>
      <c r="U1665" s="3">
        <v>2.66E-3</v>
      </c>
      <c r="V1665" s="3">
        <v>0</v>
      </c>
      <c r="W1665" s="3">
        <v>0</v>
      </c>
      <c r="X1665" s="3"/>
      <c r="Y1665" s="3">
        <v>0</v>
      </c>
      <c r="Z1665" s="23"/>
      <c r="AA1665" s="23"/>
      <c r="AB1665" s="3" t="str">
        <f t="shared" si="13"/>
        <v>___</v>
      </c>
      <c r="AC1665" s="3" t="str">
        <f t="shared" si="12"/>
        <v>____</v>
      </c>
    </row>
    <row r="1666" spans="1:31" ht="14">
      <c r="A1666" s="23"/>
      <c r="B1666" s="32">
        <v>926</v>
      </c>
      <c r="C1666" s="32">
        <v>46</v>
      </c>
      <c r="D1666" s="23"/>
      <c r="E1666" s="23"/>
      <c r="F1666" s="23"/>
      <c r="G1666" s="32" t="s">
        <v>40</v>
      </c>
      <c r="H1666" s="33">
        <v>1</v>
      </c>
      <c r="I1666" s="32">
        <v>13.8</v>
      </c>
      <c r="J1666" s="32">
        <v>14.3</v>
      </c>
      <c r="K1666" s="32">
        <v>5</v>
      </c>
      <c r="L1666" s="32" t="s">
        <v>36</v>
      </c>
      <c r="M1666" s="33">
        <v>19</v>
      </c>
      <c r="N1666" s="33">
        <v>3</v>
      </c>
      <c r="O1666" s="33">
        <v>4</v>
      </c>
      <c r="P1666" s="32">
        <v>0</v>
      </c>
      <c r="Q1666" s="33">
        <v>0</v>
      </c>
      <c r="R1666" s="32">
        <v>0</v>
      </c>
      <c r="S1666" s="32"/>
      <c r="T1666" s="3">
        <v>1.0970000000000001E-2</v>
      </c>
      <c r="U1666" s="3">
        <v>4.3499999999999997E-3</v>
      </c>
      <c r="V1666" s="3">
        <v>0</v>
      </c>
      <c r="W1666" s="3">
        <v>0</v>
      </c>
      <c r="X1666" s="3"/>
      <c r="Y1666" s="3">
        <v>0</v>
      </c>
      <c r="Z1666" s="23"/>
      <c r="AA1666" s="23"/>
      <c r="AB1666" s="3" t="str">
        <f t="shared" si="13"/>
        <v>926_46__vm</v>
      </c>
      <c r="AC1666" s="3" t="str">
        <f t="shared" si="12"/>
        <v>926_46__vm_1</v>
      </c>
      <c r="AE1666" s="3" t="s">
        <v>37</v>
      </c>
    </row>
    <row r="1667" spans="1:31" ht="14">
      <c r="A1667" s="23"/>
      <c r="B1667" s="23"/>
      <c r="C1667" s="23"/>
      <c r="D1667" s="23"/>
      <c r="E1667" s="23"/>
      <c r="F1667" s="23"/>
      <c r="G1667" s="23"/>
      <c r="H1667" s="22"/>
      <c r="I1667" s="23"/>
      <c r="J1667" s="23"/>
      <c r="K1667" s="23"/>
      <c r="L1667" s="32" t="s">
        <v>38</v>
      </c>
      <c r="M1667" s="33">
        <v>39</v>
      </c>
      <c r="N1667" s="33">
        <v>0</v>
      </c>
      <c r="O1667" s="33">
        <v>8</v>
      </c>
      <c r="P1667" s="32">
        <v>0</v>
      </c>
      <c r="Q1667" s="33">
        <v>2</v>
      </c>
      <c r="R1667" s="32">
        <v>0</v>
      </c>
      <c r="S1667" s="32"/>
      <c r="T1667" s="3">
        <v>0</v>
      </c>
      <c r="U1667" s="3">
        <v>2.8119999999999999E-2</v>
      </c>
      <c r="V1667" s="3">
        <v>3.6600000000000001E-2</v>
      </c>
      <c r="W1667" s="3">
        <v>0</v>
      </c>
      <c r="X1667" s="3"/>
      <c r="Y1667" s="3">
        <v>0</v>
      </c>
      <c r="Z1667" s="35" t="s">
        <v>226</v>
      </c>
      <c r="AA1667" s="32"/>
      <c r="AB1667" s="3" t="str">
        <f t="shared" si="13"/>
        <v>___</v>
      </c>
      <c r="AC1667" s="3" t="str">
        <f t="shared" si="12"/>
        <v>____</v>
      </c>
    </row>
    <row r="1668" spans="1:31" ht="14">
      <c r="A1668" s="23"/>
      <c r="B1668" s="23"/>
      <c r="C1668" s="23"/>
      <c r="D1668" s="23"/>
      <c r="E1668" s="23"/>
      <c r="F1668" s="23"/>
      <c r="G1668" s="23"/>
      <c r="H1668" s="22"/>
      <c r="I1668" s="23"/>
      <c r="J1668" s="23"/>
      <c r="K1668" s="23"/>
      <c r="L1668" s="32" t="s">
        <v>39</v>
      </c>
      <c r="M1668" s="33">
        <v>35</v>
      </c>
      <c r="N1668" s="33">
        <v>0</v>
      </c>
      <c r="O1668" s="33">
        <v>7</v>
      </c>
      <c r="P1668" s="32">
        <v>0</v>
      </c>
      <c r="Q1668" s="33">
        <v>1</v>
      </c>
      <c r="R1668" s="32">
        <v>0</v>
      </c>
      <c r="S1668" s="32"/>
      <c r="T1668" s="3">
        <v>0</v>
      </c>
      <c r="U1668" s="3">
        <v>3.3529999999999997E-2</v>
      </c>
      <c r="V1668" s="3">
        <v>4.5060000000000003E-2</v>
      </c>
      <c r="W1668" s="3">
        <v>0</v>
      </c>
      <c r="X1668" s="3"/>
      <c r="Y1668" s="3">
        <v>0</v>
      </c>
      <c r="Z1668" s="23"/>
      <c r="AA1668" s="23"/>
      <c r="AB1668" s="3" t="str">
        <f t="shared" si="13"/>
        <v>___</v>
      </c>
      <c r="AC1668" s="3" t="str">
        <f t="shared" si="12"/>
        <v>____</v>
      </c>
    </row>
    <row r="1669" spans="1:31" ht="14">
      <c r="A1669" s="23"/>
      <c r="B1669" s="32">
        <v>926</v>
      </c>
      <c r="C1669" s="32">
        <v>46</v>
      </c>
      <c r="D1669" s="23"/>
      <c r="E1669" s="23"/>
      <c r="F1669" s="23"/>
      <c r="G1669" s="32" t="s">
        <v>40</v>
      </c>
      <c r="H1669" s="33">
        <v>2</v>
      </c>
      <c r="I1669" s="32">
        <v>14.2</v>
      </c>
      <c r="J1669" s="32">
        <v>13.4</v>
      </c>
      <c r="K1669" s="32">
        <v>5</v>
      </c>
      <c r="L1669" s="32" t="s">
        <v>36</v>
      </c>
      <c r="M1669" s="33">
        <v>16</v>
      </c>
      <c r="N1669" s="33">
        <v>5</v>
      </c>
      <c r="O1669" s="33">
        <v>5</v>
      </c>
      <c r="P1669" s="32">
        <v>0</v>
      </c>
      <c r="Q1669" s="33">
        <v>0</v>
      </c>
      <c r="R1669" s="32">
        <v>0</v>
      </c>
      <c r="S1669" s="32"/>
      <c r="T1669" s="3">
        <v>1.41E-2</v>
      </c>
      <c r="U1669" s="3">
        <v>5.77E-3</v>
      </c>
      <c r="V1669" s="3">
        <v>0</v>
      </c>
      <c r="W1669" s="3">
        <v>0</v>
      </c>
      <c r="X1669" s="3"/>
      <c r="Y1669" s="3">
        <v>0</v>
      </c>
      <c r="Z1669" s="23"/>
      <c r="AA1669" s="23"/>
      <c r="AB1669" s="3" t="str">
        <f t="shared" si="13"/>
        <v>926_46__vm</v>
      </c>
      <c r="AC1669" s="3" t="str">
        <f t="shared" si="12"/>
        <v>926_46__vm_2</v>
      </c>
      <c r="AE1669" s="3" t="s">
        <v>37</v>
      </c>
    </row>
    <row r="1670" spans="1:31" ht="14">
      <c r="A1670" s="23"/>
      <c r="B1670" s="23"/>
      <c r="C1670" s="23"/>
      <c r="D1670" s="23"/>
      <c r="E1670" s="23"/>
      <c r="F1670" s="23"/>
      <c r="G1670" s="23"/>
      <c r="H1670" s="22"/>
      <c r="I1670" s="23"/>
      <c r="J1670" s="23"/>
      <c r="K1670" s="23"/>
      <c r="L1670" s="32" t="s">
        <v>38</v>
      </c>
      <c r="M1670" s="33">
        <v>42</v>
      </c>
      <c r="N1670" s="33">
        <v>0</v>
      </c>
      <c r="O1670" s="33">
        <v>8</v>
      </c>
      <c r="P1670" s="32">
        <v>0</v>
      </c>
      <c r="Q1670" s="33">
        <v>2</v>
      </c>
      <c r="R1670" s="32">
        <v>0</v>
      </c>
      <c r="S1670" s="32"/>
      <c r="T1670" s="3">
        <v>0</v>
      </c>
      <c r="U1670" s="3">
        <v>3.0769999999999999E-2</v>
      </c>
      <c r="V1670" s="3">
        <v>5.6600000000000001E-3</v>
      </c>
      <c r="W1670" s="3">
        <v>0</v>
      </c>
      <c r="X1670" s="3"/>
      <c r="Y1670" s="3">
        <v>0</v>
      </c>
      <c r="Z1670" s="23"/>
      <c r="AA1670" s="23"/>
      <c r="AB1670" s="3" t="str">
        <f t="shared" si="13"/>
        <v>___</v>
      </c>
      <c r="AC1670" s="3" t="str">
        <f t="shared" si="12"/>
        <v>____</v>
      </c>
    </row>
    <row r="1671" spans="1:31" ht="14">
      <c r="A1671" s="23"/>
      <c r="B1671" s="23"/>
      <c r="C1671" s="23"/>
      <c r="D1671" s="23"/>
      <c r="E1671" s="23"/>
      <c r="F1671" s="23"/>
      <c r="G1671" s="23"/>
      <c r="H1671" s="22"/>
      <c r="I1671" s="23"/>
      <c r="J1671" s="23"/>
      <c r="K1671" s="23"/>
      <c r="L1671" s="32" t="s">
        <v>39</v>
      </c>
      <c r="M1671" s="33">
        <v>37</v>
      </c>
      <c r="N1671" s="33">
        <v>0</v>
      </c>
      <c r="O1671" s="33">
        <v>8</v>
      </c>
      <c r="P1671" s="32">
        <v>0</v>
      </c>
      <c r="Q1671" s="33">
        <v>1</v>
      </c>
      <c r="R1671" s="32">
        <v>0</v>
      </c>
      <c r="S1671" s="32"/>
      <c r="T1671" s="3">
        <v>0</v>
      </c>
      <c r="U1671" s="3">
        <v>3.4459999999999998E-2</v>
      </c>
      <c r="V1671" s="3">
        <v>3.5380000000000002E-2</v>
      </c>
      <c r="W1671" s="3">
        <v>0</v>
      </c>
      <c r="X1671" s="3"/>
      <c r="Y1671" s="3">
        <v>0</v>
      </c>
      <c r="Z1671" s="23"/>
      <c r="AA1671" s="23"/>
      <c r="AB1671" s="3" t="str">
        <f t="shared" si="13"/>
        <v>___</v>
      </c>
      <c r="AC1671" s="3" t="str">
        <f t="shared" si="12"/>
        <v>____</v>
      </c>
    </row>
    <row r="1672" spans="1:31" ht="14">
      <c r="A1672" s="23"/>
      <c r="B1672" s="32">
        <v>926</v>
      </c>
      <c r="C1672" s="32">
        <v>46</v>
      </c>
      <c r="D1672" s="23"/>
      <c r="E1672" s="23"/>
      <c r="F1672" s="23"/>
      <c r="G1672" s="32" t="s">
        <v>40</v>
      </c>
      <c r="H1672" s="33">
        <v>3</v>
      </c>
      <c r="I1672" s="32">
        <v>9.4</v>
      </c>
      <c r="J1672" s="32">
        <v>11.3</v>
      </c>
      <c r="K1672" s="32">
        <v>5</v>
      </c>
      <c r="L1672" s="32" t="s">
        <v>36</v>
      </c>
      <c r="M1672" s="33">
        <v>18</v>
      </c>
      <c r="N1672" s="33">
        <v>6</v>
      </c>
      <c r="O1672" s="33">
        <v>6</v>
      </c>
      <c r="P1672" s="32">
        <v>0</v>
      </c>
      <c r="Q1672" s="33">
        <v>0</v>
      </c>
      <c r="R1672" s="32">
        <v>0</v>
      </c>
      <c r="S1672" s="32"/>
      <c r="T1672" s="3">
        <v>4.3299999999999996E-3</v>
      </c>
      <c r="U1672" s="3">
        <v>5.2599999999999999E-3</v>
      </c>
      <c r="V1672" s="3">
        <v>0</v>
      </c>
      <c r="W1672" s="3">
        <v>0</v>
      </c>
      <c r="X1672" s="3"/>
      <c r="Y1672" s="3">
        <v>0</v>
      </c>
      <c r="Z1672" s="23"/>
      <c r="AA1672" s="23"/>
      <c r="AB1672" s="3" t="str">
        <f t="shared" si="13"/>
        <v>926_46__vm</v>
      </c>
      <c r="AC1672" s="3" t="str">
        <f t="shared" si="12"/>
        <v>926_46__vm_3</v>
      </c>
      <c r="AE1672" s="3" t="s">
        <v>37</v>
      </c>
    </row>
    <row r="1673" spans="1:31" ht="14">
      <c r="A1673" s="23"/>
      <c r="B1673" s="23"/>
      <c r="C1673" s="23"/>
      <c r="D1673" s="23"/>
      <c r="E1673" s="23"/>
      <c r="F1673" s="23"/>
      <c r="G1673" s="23"/>
      <c r="H1673" s="22"/>
      <c r="I1673" s="23"/>
      <c r="J1673" s="23"/>
      <c r="K1673" s="23"/>
      <c r="L1673" s="32" t="s">
        <v>38</v>
      </c>
      <c r="M1673" s="33">
        <v>46</v>
      </c>
      <c r="N1673" s="33">
        <v>0</v>
      </c>
      <c r="O1673" s="33">
        <v>14</v>
      </c>
      <c r="P1673" s="32">
        <v>0</v>
      </c>
      <c r="Q1673" s="33">
        <v>1</v>
      </c>
      <c r="R1673" s="32">
        <v>0</v>
      </c>
      <c r="S1673" s="32"/>
      <c r="T1673" s="3">
        <v>0</v>
      </c>
      <c r="U1673" s="3">
        <v>2.1350000000000001E-2</v>
      </c>
      <c r="V1673" s="3">
        <v>1.014E-2</v>
      </c>
      <c r="W1673" s="3">
        <v>0</v>
      </c>
      <c r="X1673" s="3"/>
      <c r="Y1673" s="3">
        <v>0</v>
      </c>
      <c r="Z1673" s="23"/>
      <c r="AA1673" s="23"/>
      <c r="AB1673" s="3" t="str">
        <f t="shared" si="13"/>
        <v>___</v>
      </c>
      <c r="AC1673" s="3" t="str">
        <f t="shared" si="12"/>
        <v>____</v>
      </c>
    </row>
    <row r="1674" spans="1:31" ht="14">
      <c r="A1674" s="23"/>
      <c r="B1674" s="23"/>
      <c r="C1674" s="23"/>
      <c r="D1674" s="23"/>
      <c r="E1674" s="23"/>
      <c r="F1674" s="23"/>
      <c r="G1674" s="23"/>
      <c r="H1674" s="22"/>
      <c r="I1674" s="23"/>
      <c r="J1674" s="23"/>
      <c r="K1674" s="23"/>
      <c r="L1674" s="32" t="s">
        <v>39</v>
      </c>
      <c r="M1674" s="33">
        <v>24</v>
      </c>
      <c r="N1674" s="33">
        <v>0</v>
      </c>
      <c r="O1674" s="33">
        <v>8</v>
      </c>
      <c r="P1674" s="32">
        <v>0</v>
      </c>
      <c r="Q1674" s="33">
        <v>0</v>
      </c>
      <c r="R1674" s="32">
        <v>0</v>
      </c>
      <c r="S1674" s="32"/>
      <c r="T1674" s="3">
        <v>0</v>
      </c>
      <c r="U1674" s="3">
        <v>1.3729999999999999E-2</v>
      </c>
      <c r="V1674" s="3">
        <v>0</v>
      </c>
      <c r="W1674" s="3">
        <v>0</v>
      </c>
      <c r="X1674" s="3"/>
      <c r="Y1674" s="3">
        <v>0</v>
      </c>
      <c r="Z1674" s="23"/>
      <c r="AA1674" s="23"/>
      <c r="AB1674" s="3" t="str">
        <f t="shared" si="13"/>
        <v>___</v>
      </c>
      <c r="AC1674" s="3" t="str">
        <f t="shared" si="12"/>
        <v>____</v>
      </c>
    </row>
    <row r="1675" spans="1:31" ht="14">
      <c r="A1675" s="23"/>
      <c r="B1675" s="32">
        <v>926</v>
      </c>
      <c r="C1675" s="32">
        <v>46</v>
      </c>
      <c r="D1675" s="23"/>
      <c r="E1675" s="23"/>
      <c r="F1675" s="23"/>
      <c r="G1675" s="32" t="s">
        <v>35</v>
      </c>
      <c r="H1675" s="33">
        <v>1</v>
      </c>
      <c r="I1675" s="32">
        <v>5.4</v>
      </c>
      <c r="J1675" s="32">
        <v>5.5</v>
      </c>
      <c r="K1675" s="32">
        <v>3</v>
      </c>
      <c r="L1675" s="32" t="s">
        <v>36</v>
      </c>
      <c r="M1675" s="33">
        <v>11</v>
      </c>
      <c r="N1675" s="33">
        <v>8</v>
      </c>
      <c r="O1675" s="33">
        <v>9</v>
      </c>
      <c r="P1675" s="32">
        <v>0</v>
      </c>
      <c r="Q1675" s="33">
        <v>0</v>
      </c>
      <c r="R1675" s="32">
        <v>0</v>
      </c>
      <c r="S1675" s="32"/>
      <c r="T1675" s="3">
        <v>2.5329999999999998E-2</v>
      </c>
      <c r="U1675" s="3">
        <v>1.5200000000000001E-3</v>
      </c>
      <c r="V1675" s="3">
        <v>0</v>
      </c>
      <c r="W1675" s="3">
        <v>0</v>
      </c>
      <c r="X1675" s="3"/>
      <c r="Y1675" s="3">
        <v>0</v>
      </c>
      <c r="Z1675" s="23"/>
      <c r="AA1675" s="23"/>
      <c r="AB1675" s="3" t="str">
        <f t="shared" si="13"/>
        <v>926_46__vv</v>
      </c>
      <c r="AC1675" s="3" t="str">
        <f t="shared" si="12"/>
        <v>926_46__vv_1</v>
      </c>
      <c r="AE1675" s="3" t="s">
        <v>37</v>
      </c>
    </row>
    <row r="1676" spans="1:31" ht="14">
      <c r="A1676" s="23"/>
      <c r="B1676" s="23"/>
      <c r="C1676" s="23"/>
      <c r="D1676" s="23"/>
      <c r="E1676" s="23"/>
      <c r="F1676" s="23"/>
      <c r="G1676" s="23"/>
      <c r="H1676" s="22"/>
      <c r="I1676" s="23"/>
      <c r="J1676" s="23"/>
      <c r="K1676" s="23"/>
      <c r="L1676" s="32" t="s">
        <v>38</v>
      </c>
      <c r="M1676" s="33">
        <v>14</v>
      </c>
      <c r="N1676" s="33">
        <v>4</v>
      </c>
      <c r="O1676" s="33">
        <v>8</v>
      </c>
      <c r="P1676" s="32">
        <v>0</v>
      </c>
      <c r="Q1676" s="33">
        <v>0</v>
      </c>
      <c r="R1676" s="32">
        <v>0</v>
      </c>
      <c r="S1676" s="32"/>
      <c r="T1676" s="3">
        <v>1.5429999999999999E-2</v>
      </c>
      <c r="U1676" s="3">
        <v>3.62E-3</v>
      </c>
      <c r="V1676" s="3">
        <v>0</v>
      </c>
      <c r="W1676" s="3">
        <v>0</v>
      </c>
      <c r="X1676" s="3"/>
      <c r="Y1676" s="3">
        <v>0</v>
      </c>
      <c r="Z1676" s="23"/>
      <c r="AA1676" s="23"/>
      <c r="AB1676" s="3" t="str">
        <f t="shared" si="13"/>
        <v>___</v>
      </c>
      <c r="AC1676" s="3" t="str">
        <f t="shared" si="12"/>
        <v>____</v>
      </c>
    </row>
    <row r="1677" spans="1:31" ht="14">
      <c r="A1677" s="23"/>
      <c r="B1677" s="23"/>
      <c r="C1677" s="23"/>
      <c r="D1677" s="23"/>
      <c r="E1677" s="23"/>
      <c r="F1677" s="23"/>
      <c r="G1677" s="23"/>
      <c r="H1677" s="22"/>
      <c r="I1677" s="23"/>
      <c r="J1677" s="23"/>
      <c r="K1677" s="23"/>
      <c r="L1677" s="32" t="s">
        <v>39</v>
      </c>
      <c r="M1677" s="33">
        <v>32</v>
      </c>
      <c r="N1677" s="33">
        <v>1</v>
      </c>
      <c r="O1677" s="33">
        <v>9</v>
      </c>
      <c r="P1677" s="32">
        <v>0</v>
      </c>
      <c r="Q1677" s="33">
        <v>0</v>
      </c>
      <c r="R1677" s="32">
        <v>0</v>
      </c>
      <c r="S1677" s="32"/>
      <c r="T1677" s="3">
        <v>2.2300000000000002E-3</v>
      </c>
      <c r="U1677" s="3">
        <v>1.1390000000000001E-2</v>
      </c>
      <c r="V1677" s="3">
        <v>0</v>
      </c>
      <c r="W1677" s="3">
        <v>0</v>
      </c>
      <c r="X1677" s="3"/>
      <c r="Y1677" s="3">
        <v>0</v>
      </c>
      <c r="Z1677" s="23"/>
      <c r="AA1677" s="23"/>
      <c r="AB1677" s="3" t="str">
        <f t="shared" si="13"/>
        <v>___</v>
      </c>
      <c r="AC1677" s="3" t="str">
        <f t="shared" si="12"/>
        <v>____</v>
      </c>
    </row>
    <row r="1678" spans="1:31" ht="14">
      <c r="A1678" s="23"/>
      <c r="B1678" s="32">
        <v>926</v>
      </c>
      <c r="C1678" s="32">
        <v>46</v>
      </c>
      <c r="D1678" s="23"/>
      <c r="E1678" s="23"/>
      <c r="F1678" s="23"/>
      <c r="G1678" s="32" t="s">
        <v>35</v>
      </c>
      <c r="H1678" s="33">
        <v>2</v>
      </c>
      <c r="I1678" s="32">
        <v>4.3</v>
      </c>
      <c r="J1678" s="32">
        <v>4.7</v>
      </c>
      <c r="K1678" s="32">
        <v>4</v>
      </c>
      <c r="L1678" s="32" t="s">
        <v>36</v>
      </c>
      <c r="M1678" s="33">
        <v>12</v>
      </c>
      <c r="N1678" s="33">
        <v>8</v>
      </c>
      <c r="O1678" s="33">
        <v>11</v>
      </c>
      <c r="P1678" s="32">
        <v>0</v>
      </c>
      <c r="Q1678" s="33">
        <v>0</v>
      </c>
      <c r="R1678" s="32">
        <v>4</v>
      </c>
      <c r="S1678" s="32"/>
      <c r="T1678" s="3">
        <v>2.963E-2</v>
      </c>
      <c r="U1678" s="3">
        <v>2.5400000000000002E-3</v>
      </c>
      <c r="V1678" s="3">
        <v>0</v>
      </c>
      <c r="W1678" s="3">
        <v>1.1310000000000001E-2</v>
      </c>
      <c r="X1678" s="3"/>
      <c r="Y1678" s="3">
        <v>0</v>
      </c>
      <c r="Z1678" s="32"/>
      <c r="AA1678" s="23"/>
      <c r="AB1678" s="3" t="str">
        <f t="shared" si="13"/>
        <v>926_46__vv</v>
      </c>
      <c r="AC1678" s="3" t="str">
        <f t="shared" si="12"/>
        <v>926_46__vv_2</v>
      </c>
      <c r="AE1678" s="3" t="s">
        <v>37</v>
      </c>
    </row>
    <row r="1679" spans="1:31" ht="14">
      <c r="A1679" s="23"/>
      <c r="B1679" s="23"/>
      <c r="C1679" s="23"/>
      <c r="D1679" s="23"/>
      <c r="E1679" s="23"/>
      <c r="F1679" s="23"/>
      <c r="G1679" s="23"/>
      <c r="H1679" s="22"/>
      <c r="I1679" s="23"/>
      <c r="J1679" s="23"/>
      <c r="K1679" s="23"/>
      <c r="L1679" s="32" t="s">
        <v>38</v>
      </c>
      <c r="M1679" s="33">
        <v>17</v>
      </c>
      <c r="N1679" s="33">
        <v>3</v>
      </c>
      <c r="O1679" s="33">
        <v>9</v>
      </c>
      <c r="P1679" s="32">
        <v>0</v>
      </c>
      <c r="Q1679" s="33">
        <v>0</v>
      </c>
      <c r="R1679" s="32">
        <v>0</v>
      </c>
      <c r="S1679" s="32"/>
      <c r="T1679" s="3">
        <v>2.6620000000000001E-2</v>
      </c>
      <c r="U1679" s="3">
        <v>5.4299999999999999E-3</v>
      </c>
      <c r="V1679" s="3">
        <v>0</v>
      </c>
      <c r="W1679" s="3">
        <v>0</v>
      </c>
      <c r="X1679" s="3"/>
      <c r="Y1679" s="3">
        <v>0</v>
      </c>
      <c r="Z1679" s="32"/>
      <c r="AA1679" s="23"/>
      <c r="AB1679" s="3" t="str">
        <f t="shared" si="13"/>
        <v>___</v>
      </c>
      <c r="AC1679" s="3" t="str">
        <f t="shared" si="12"/>
        <v>____</v>
      </c>
    </row>
    <row r="1680" spans="1:31" ht="14">
      <c r="A1680" s="23"/>
      <c r="B1680" s="23"/>
      <c r="C1680" s="23"/>
      <c r="D1680" s="23"/>
      <c r="E1680" s="23"/>
      <c r="F1680" s="23"/>
      <c r="G1680" s="23"/>
      <c r="H1680" s="22"/>
      <c r="I1680" s="23"/>
      <c r="J1680" s="23"/>
      <c r="K1680" s="23"/>
      <c r="L1680" s="32" t="s">
        <v>39</v>
      </c>
      <c r="M1680" s="33">
        <v>13</v>
      </c>
      <c r="N1680" s="33">
        <v>0</v>
      </c>
      <c r="O1680" s="33">
        <v>7</v>
      </c>
      <c r="P1680" s="32">
        <v>0</v>
      </c>
      <c r="Q1680" s="33">
        <v>0</v>
      </c>
      <c r="R1680" s="32">
        <v>0</v>
      </c>
      <c r="S1680" s="32"/>
      <c r="T1680" s="3">
        <v>0</v>
      </c>
      <c r="U1680" s="3">
        <v>5.5599999999999998E-3</v>
      </c>
      <c r="V1680" s="3">
        <v>0</v>
      </c>
      <c r="W1680" s="3">
        <v>0</v>
      </c>
      <c r="X1680" s="3"/>
      <c r="Y1680" s="3">
        <v>0</v>
      </c>
      <c r="Z1680" s="23"/>
      <c r="AA1680" s="23"/>
      <c r="AB1680" s="3" t="str">
        <f t="shared" si="13"/>
        <v>___</v>
      </c>
      <c r="AC1680" s="3" t="str">
        <f t="shared" si="12"/>
        <v>____</v>
      </c>
    </row>
    <row r="1681" spans="1:31" ht="14">
      <c r="A1681" s="23"/>
      <c r="B1681" s="32">
        <v>926</v>
      </c>
      <c r="C1681" s="32">
        <v>46</v>
      </c>
      <c r="D1681" s="32"/>
      <c r="E1681" s="23"/>
      <c r="F1681" s="23"/>
      <c r="G1681" s="32" t="s">
        <v>35</v>
      </c>
      <c r="H1681" s="33">
        <v>3</v>
      </c>
      <c r="I1681" s="32">
        <v>6.8</v>
      </c>
      <c r="J1681" s="32">
        <v>7.4</v>
      </c>
      <c r="K1681" s="32">
        <v>5</v>
      </c>
      <c r="L1681" s="32" t="s">
        <v>36</v>
      </c>
      <c r="M1681" s="33">
        <v>14</v>
      </c>
      <c r="N1681" s="33">
        <v>6</v>
      </c>
      <c r="O1681" s="33">
        <v>11</v>
      </c>
      <c r="P1681" s="32">
        <v>0</v>
      </c>
      <c r="Q1681" s="33">
        <v>0</v>
      </c>
      <c r="R1681" s="32">
        <v>0</v>
      </c>
      <c r="S1681" s="32"/>
      <c r="T1681" s="3">
        <v>4.4889999999999999E-2</v>
      </c>
      <c r="U1681" s="3">
        <v>1.239E-2</v>
      </c>
      <c r="V1681" s="3">
        <v>0</v>
      </c>
      <c r="W1681" s="3">
        <v>0</v>
      </c>
      <c r="X1681" s="3"/>
      <c r="Y1681" s="3">
        <v>0</v>
      </c>
      <c r="Z1681" s="23"/>
      <c r="AA1681" s="23"/>
      <c r="AB1681" s="3" t="str">
        <f t="shared" si="13"/>
        <v>926_46__vv</v>
      </c>
      <c r="AC1681" s="3" t="str">
        <f t="shared" si="12"/>
        <v>926_46__vv_3</v>
      </c>
      <c r="AE1681" s="3" t="s">
        <v>37</v>
      </c>
    </row>
    <row r="1682" spans="1:31" ht="14">
      <c r="A1682" s="23"/>
      <c r="B1682" s="23"/>
      <c r="C1682" s="23"/>
      <c r="D1682" s="23"/>
      <c r="E1682" s="23"/>
      <c r="F1682" s="23"/>
      <c r="G1682" s="23"/>
      <c r="H1682" s="22"/>
      <c r="I1682" s="23"/>
      <c r="J1682" s="23"/>
      <c r="K1682" s="23"/>
      <c r="L1682" s="32" t="s">
        <v>38</v>
      </c>
      <c r="M1682" s="33">
        <v>8</v>
      </c>
      <c r="N1682" s="33">
        <v>1</v>
      </c>
      <c r="O1682" s="33">
        <v>6</v>
      </c>
      <c r="P1682" s="32">
        <v>0</v>
      </c>
      <c r="Q1682" s="33">
        <v>0</v>
      </c>
      <c r="R1682" s="32">
        <v>0</v>
      </c>
      <c r="S1682" s="32"/>
      <c r="T1682" s="3">
        <v>5.6100000000000004E-3</v>
      </c>
      <c r="U1682" s="3">
        <v>2.2899999999999999E-3</v>
      </c>
      <c r="V1682" s="3">
        <v>0</v>
      </c>
      <c r="W1682" s="3">
        <v>0</v>
      </c>
      <c r="X1682" s="3"/>
      <c r="Y1682" s="3">
        <v>0</v>
      </c>
      <c r="Z1682" s="23"/>
      <c r="AA1682" s="23"/>
      <c r="AB1682" s="3" t="str">
        <f t="shared" si="13"/>
        <v>___</v>
      </c>
      <c r="AC1682" s="3" t="str">
        <f t="shared" si="12"/>
        <v>____</v>
      </c>
    </row>
    <row r="1683" spans="1:31" ht="14">
      <c r="A1683" s="23"/>
      <c r="B1683" s="23"/>
      <c r="C1683" s="23"/>
      <c r="D1683" s="23"/>
      <c r="E1683" s="23"/>
      <c r="F1683" s="23"/>
      <c r="G1683" s="23"/>
      <c r="H1683" s="22"/>
      <c r="I1683" s="23"/>
      <c r="J1683" s="23"/>
      <c r="K1683" s="23"/>
      <c r="L1683" s="32" t="s">
        <v>39</v>
      </c>
      <c r="M1683" s="33">
        <v>18</v>
      </c>
      <c r="N1683" s="33">
        <v>1</v>
      </c>
      <c r="O1683" s="33">
        <v>12</v>
      </c>
      <c r="P1683" s="32">
        <v>0</v>
      </c>
      <c r="Q1683" s="33">
        <v>0</v>
      </c>
      <c r="R1683" s="32">
        <v>0</v>
      </c>
      <c r="S1683" s="32"/>
      <c r="T1683" s="3">
        <v>5.0800000000000003E-3</v>
      </c>
      <c r="U1683" s="3">
        <v>7.5500000000000003E-3</v>
      </c>
      <c r="V1683" s="3">
        <v>0</v>
      </c>
      <c r="W1683" s="3">
        <v>0</v>
      </c>
      <c r="X1683" s="3"/>
      <c r="Y1683" s="3">
        <v>0</v>
      </c>
      <c r="Z1683" s="23"/>
      <c r="AA1683" s="23"/>
      <c r="AB1683" s="3" t="str">
        <f t="shared" si="13"/>
        <v>___</v>
      </c>
      <c r="AC1683" s="3" t="str">
        <f t="shared" si="12"/>
        <v>____</v>
      </c>
    </row>
    <row r="1684" spans="1:31" ht="14">
      <c r="A1684" s="23"/>
      <c r="B1684" s="32">
        <v>89</v>
      </c>
      <c r="C1684" s="32">
        <v>33</v>
      </c>
      <c r="D1684" s="23"/>
      <c r="E1684" s="23"/>
      <c r="F1684" s="23"/>
      <c r="G1684" s="32" t="s">
        <v>40</v>
      </c>
      <c r="H1684" s="33">
        <v>1</v>
      </c>
      <c r="I1684" s="32">
        <v>28.8</v>
      </c>
      <c r="J1684" s="32">
        <v>28.5</v>
      </c>
      <c r="K1684" s="32">
        <v>6</v>
      </c>
      <c r="L1684" s="32" t="s">
        <v>36</v>
      </c>
      <c r="M1684" s="33">
        <v>16</v>
      </c>
      <c r="N1684" s="33">
        <v>4</v>
      </c>
      <c r="O1684" s="33">
        <v>4</v>
      </c>
      <c r="P1684" s="32">
        <v>0</v>
      </c>
      <c r="Q1684" s="33">
        <v>0</v>
      </c>
      <c r="R1684" s="32">
        <v>0</v>
      </c>
      <c r="S1684" s="32"/>
      <c r="T1684" s="3">
        <v>1.635E-2</v>
      </c>
      <c r="U1684" s="3">
        <v>4.0299999999999997E-3</v>
      </c>
      <c r="V1684" s="3">
        <v>0</v>
      </c>
      <c r="W1684" s="3">
        <v>0</v>
      </c>
      <c r="X1684" s="3"/>
      <c r="Y1684" s="3">
        <v>0</v>
      </c>
      <c r="Z1684" s="23"/>
      <c r="AA1684" s="23"/>
      <c r="AB1684" s="3" t="str">
        <f t="shared" si="13"/>
        <v>89_33__vm</v>
      </c>
      <c r="AC1684" s="3" t="str">
        <f t="shared" si="12"/>
        <v>89_33__vm_1</v>
      </c>
      <c r="AE1684" s="3" t="s">
        <v>37</v>
      </c>
    </row>
    <row r="1685" spans="1:31" ht="14">
      <c r="A1685" s="23"/>
      <c r="B1685" s="23"/>
      <c r="C1685" s="23"/>
      <c r="D1685" s="23"/>
      <c r="E1685" s="23"/>
      <c r="F1685" s="23"/>
      <c r="G1685" s="23"/>
      <c r="H1685" s="22"/>
      <c r="I1685" s="23"/>
      <c r="J1685" s="23"/>
      <c r="K1685" s="23"/>
      <c r="L1685" s="32" t="s">
        <v>38</v>
      </c>
      <c r="M1685" s="33">
        <v>29</v>
      </c>
      <c r="N1685" s="33">
        <v>0</v>
      </c>
      <c r="O1685" s="33">
        <v>5</v>
      </c>
      <c r="P1685" s="32">
        <v>0</v>
      </c>
      <c r="Q1685" s="33">
        <v>1</v>
      </c>
      <c r="R1685" s="32">
        <v>0</v>
      </c>
      <c r="S1685" s="32"/>
      <c r="T1685" s="3">
        <v>0</v>
      </c>
      <c r="U1685" s="3">
        <v>1.1220000000000001E-2</v>
      </c>
      <c r="V1685" s="3">
        <v>8.6300000000000005E-3</v>
      </c>
      <c r="W1685" s="3">
        <v>0</v>
      </c>
      <c r="X1685" s="3"/>
      <c r="Y1685" s="3">
        <v>0</v>
      </c>
      <c r="Z1685" s="23"/>
      <c r="AA1685" s="23"/>
      <c r="AB1685" s="3" t="str">
        <f t="shared" si="13"/>
        <v>___</v>
      </c>
      <c r="AC1685" s="3" t="str">
        <f t="shared" si="12"/>
        <v>____</v>
      </c>
    </row>
    <row r="1686" spans="1:31" ht="14">
      <c r="A1686" s="23"/>
      <c r="B1686" s="23"/>
      <c r="C1686" s="23"/>
      <c r="D1686" s="23"/>
      <c r="E1686" s="23"/>
      <c r="F1686" s="23"/>
      <c r="G1686" s="23"/>
      <c r="H1686" s="22"/>
      <c r="I1686" s="23"/>
      <c r="J1686" s="23"/>
      <c r="K1686" s="23"/>
      <c r="L1686" s="32" t="s">
        <v>39</v>
      </c>
      <c r="M1686" s="33">
        <v>56</v>
      </c>
      <c r="N1686" s="33">
        <v>0</v>
      </c>
      <c r="O1686" s="33">
        <v>8</v>
      </c>
      <c r="P1686" s="32">
        <v>0</v>
      </c>
      <c r="Q1686" s="33">
        <v>2</v>
      </c>
      <c r="R1686" s="32">
        <v>0</v>
      </c>
      <c r="S1686" s="32"/>
      <c r="T1686" s="3">
        <v>0</v>
      </c>
      <c r="U1686" s="3">
        <v>3.5740000000000001E-2</v>
      </c>
      <c r="V1686" s="3">
        <v>6.3780000000000003E-2</v>
      </c>
      <c r="W1686" s="3">
        <v>0</v>
      </c>
      <c r="X1686" s="3"/>
      <c r="Y1686" s="3">
        <v>0</v>
      </c>
      <c r="Z1686" s="23"/>
      <c r="AA1686" s="23"/>
      <c r="AB1686" s="3" t="str">
        <f t="shared" si="13"/>
        <v>___</v>
      </c>
      <c r="AC1686" s="3" t="str">
        <f t="shared" si="12"/>
        <v>____</v>
      </c>
    </row>
    <row r="1687" spans="1:31" ht="14">
      <c r="A1687" s="23"/>
      <c r="B1687" s="32">
        <v>89</v>
      </c>
      <c r="C1687" s="32">
        <v>33</v>
      </c>
      <c r="D1687" s="23"/>
      <c r="E1687" s="23"/>
      <c r="F1687" s="23"/>
      <c r="G1687" s="32" t="s">
        <v>40</v>
      </c>
      <c r="H1687" s="33">
        <v>2</v>
      </c>
      <c r="I1687" s="32">
        <v>28</v>
      </c>
      <c r="J1687" s="32">
        <v>28.8</v>
      </c>
      <c r="K1687" s="32">
        <v>5</v>
      </c>
      <c r="L1687" s="32" t="s">
        <v>36</v>
      </c>
      <c r="M1687" s="33">
        <v>51</v>
      </c>
      <c r="N1687" s="33">
        <v>7</v>
      </c>
      <c r="O1687" s="33">
        <v>7</v>
      </c>
      <c r="P1687" s="32">
        <v>0</v>
      </c>
      <c r="Q1687" s="33">
        <v>0</v>
      </c>
      <c r="R1687" s="32">
        <v>0</v>
      </c>
      <c r="S1687" s="32"/>
      <c r="T1687" s="3">
        <v>5.1810000000000002E-2</v>
      </c>
      <c r="U1687" s="3">
        <v>2.6880000000000001E-2</v>
      </c>
      <c r="V1687" s="3">
        <v>0</v>
      </c>
      <c r="W1687" s="3">
        <v>0</v>
      </c>
      <c r="X1687" s="3"/>
      <c r="Y1687" s="3">
        <v>0</v>
      </c>
      <c r="Z1687" s="23"/>
      <c r="AA1687" s="23"/>
      <c r="AB1687" s="3" t="str">
        <f t="shared" si="13"/>
        <v>89_33__vm</v>
      </c>
      <c r="AC1687" s="3" t="str">
        <f t="shared" si="12"/>
        <v>89_33__vm_2</v>
      </c>
      <c r="AE1687" s="3" t="s">
        <v>37</v>
      </c>
    </row>
    <row r="1688" spans="1:31" ht="14">
      <c r="A1688" s="23"/>
      <c r="B1688" s="23"/>
      <c r="C1688" s="23"/>
      <c r="D1688" s="23"/>
      <c r="E1688" s="23"/>
      <c r="F1688" s="23"/>
      <c r="G1688" s="23"/>
      <c r="H1688" s="22"/>
      <c r="I1688" s="23"/>
      <c r="J1688" s="23"/>
      <c r="K1688" s="23"/>
      <c r="L1688" s="32" t="s">
        <v>38</v>
      </c>
      <c r="M1688" s="33">
        <v>89</v>
      </c>
      <c r="N1688" s="33">
        <v>0</v>
      </c>
      <c r="O1688" s="33">
        <v>10</v>
      </c>
      <c r="P1688" s="32">
        <v>0</v>
      </c>
      <c r="Q1688" s="33">
        <v>4</v>
      </c>
      <c r="R1688" s="32">
        <v>0</v>
      </c>
      <c r="S1688" s="32"/>
      <c r="T1688" s="3">
        <v>0</v>
      </c>
      <c r="U1688" s="3">
        <v>0.12681000000000001</v>
      </c>
      <c r="V1688" s="3">
        <v>0.18451999999999999</v>
      </c>
      <c r="W1688" s="3">
        <v>0</v>
      </c>
      <c r="X1688" s="3"/>
      <c r="Y1688" s="3">
        <v>0</v>
      </c>
      <c r="Z1688" s="23"/>
      <c r="AA1688" s="23"/>
      <c r="AB1688" s="3" t="str">
        <f t="shared" si="13"/>
        <v>___</v>
      </c>
      <c r="AC1688" s="3" t="str">
        <f t="shared" si="12"/>
        <v>____</v>
      </c>
    </row>
    <row r="1689" spans="1:31" ht="14">
      <c r="A1689" s="23"/>
      <c r="B1689" s="23"/>
      <c r="C1689" s="23"/>
      <c r="D1689" s="23"/>
      <c r="E1689" s="23"/>
      <c r="F1689" s="23"/>
      <c r="G1689" s="23"/>
      <c r="H1689" s="22"/>
      <c r="I1689" s="23"/>
      <c r="J1689" s="23"/>
      <c r="K1689" s="23"/>
      <c r="L1689" s="32" t="s">
        <v>39</v>
      </c>
      <c r="M1689" s="33">
        <v>87</v>
      </c>
      <c r="N1689" s="33">
        <v>0</v>
      </c>
      <c r="O1689" s="33">
        <v>7</v>
      </c>
      <c r="P1689" s="32">
        <v>0</v>
      </c>
      <c r="Q1689" s="33">
        <v>1</v>
      </c>
      <c r="R1689" s="32">
        <v>0</v>
      </c>
      <c r="S1689" s="32"/>
      <c r="T1689" s="3">
        <v>0</v>
      </c>
      <c r="U1689" s="3">
        <v>0.26163999999999998</v>
      </c>
      <c r="V1689" s="3">
        <v>0.37380999999999998</v>
      </c>
      <c r="W1689" s="3">
        <v>0</v>
      </c>
      <c r="X1689" s="3"/>
      <c r="Y1689" s="3">
        <v>0</v>
      </c>
      <c r="Z1689" s="23"/>
      <c r="AA1689" s="23"/>
      <c r="AB1689" s="3" t="str">
        <f t="shared" si="13"/>
        <v>___</v>
      </c>
      <c r="AC1689" s="3" t="str">
        <f t="shared" si="12"/>
        <v>____</v>
      </c>
    </row>
    <row r="1690" spans="1:31" ht="14">
      <c r="A1690" s="23"/>
      <c r="B1690" s="32">
        <v>89</v>
      </c>
      <c r="C1690" s="32">
        <v>33</v>
      </c>
      <c r="D1690" s="23"/>
      <c r="E1690" s="23"/>
      <c r="F1690" s="23"/>
      <c r="G1690" s="32" t="s">
        <v>40</v>
      </c>
      <c r="H1690" s="33">
        <v>3</v>
      </c>
      <c r="I1690" s="32">
        <v>35.5</v>
      </c>
      <c r="J1690" s="32">
        <v>33.200000000000003</v>
      </c>
      <c r="K1690" s="32">
        <v>5</v>
      </c>
      <c r="L1690" s="32" t="s">
        <v>36</v>
      </c>
      <c r="M1690" s="33">
        <v>91</v>
      </c>
      <c r="N1690" s="33">
        <v>10</v>
      </c>
      <c r="O1690" s="33">
        <v>10</v>
      </c>
      <c r="P1690" s="32">
        <v>0</v>
      </c>
      <c r="Q1690" s="33">
        <v>0</v>
      </c>
      <c r="R1690" s="32">
        <v>1</v>
      </c>
      <c r="S1690" s="32"/>
      <c r="T1690" s="3">
        <v>9.9460000000000007E-2</v>
      </c>
      <c r="U1690" s="3">
        <v>7.6810000000000003E-2</v>
      </c>
      <c r="V1690" s="3">
        <v>0</v>
      </c>
      <c r="W1690" s="3">
        <v>2.2239999999999999E-2</v>
      </c>
      <c r="X1690" s="3"/>
      <c r="Y1690" s="3">
        <v>0</v>
      </c>
      <c r="Z1690" s="23"/>
      <c r="AA1690" s="23"/>
      <c r="AB1690" s="3" t="str">
        <f t="shared" si="13"/>
        <v>89_33__vm</v>
      </c>
      <c r="AC1690" s="3" t="str">
        <f t="shared" si="12"/>
        <v>89_33__vm_3</v>
      </c>
      <c r="AE1690" s="3" t="s">
        <v>37</v>
      </c>
    </row>
    <row r="1691" spans="1:31" ht="14">
      <c r="A1691" s="23"/>
      <c r="B1691" s="23"/>
      <c r="C1691" s="23"/>
      <c r="D1691" s="23"/>
      <c r="E1691" s="23"/>
      <c r="F1691" s="23"/>
      <c r="G1691" s="23"/>
      <c r="H1691" s="22"/>
      <c r="I1691" s="23"/>
      <c r="J1691" s="23"/>
      <c r="K1691" s="23"/>
      <c r="L1691" s="32" t="s">
        <v>38</v>
      </c>
      <c r="M1691" s="33">
        <v>126</v>
      </c>
      <c r="N1691" s="33">
        <v>0</v>
      </c>
      <c r="O1691" s="33">
        <v>9</v>
      </c>
      <c r="P1691" s="32">
        <v>0</v>
      </c>
      <c r="Q1691" s="33">
        <v>3</v>
      </c>
      <c r="R1691" s="32">
        <v>0</v>
      </c>
      <c r="S1691" s="32"/>
      <c r="T1691" s="3">
        <v>0</v>
      </c>
      <c r="U1691" s="3">
        <v>0.28821000000000002</v>
      </c>
      <c r="V1691" s="3">
        <v>0.49297999999999997</v>
      </c>
      <c r="W1691" s="3">
        <v>0</v>
      </c>
      <c r="X1691" s="3"/>
      <c r="Y1691" s="3">
        <v>0</v>
      </c>
      <c r="Z1691" s="23"/>
      <c r="AA1691" s="23"/>
      <c r="AB1691" s="3" t="str">
        <f t="shared" si="13"/>
        <v>___</v>
      </c>
      <c r="AC1691" s="3" t="str">
        <f t="shared" si="12"/>
        <v>____</v>
      </c>
    </row>
    <row r="1692" spans="1:31" ht="14">
      <c r="A1692" s="23"/>
      <c r="B1692" s="23"/>
      <c r="C1692" s="23"/>
      <c r="D1692" s="23"/>
      <c r="E1692" s="23"/>
      <c r="F1692" s="23"/>
      <c r="G1692" s="23"/>
      <c r="H1692" s="22"/>
      <c r="I1692" s="23"/>
      <c r="J1692" s="23"/>
      <c r="K1692" s="23"/>
      <c r="L1692" s="32" t="s">
        <v>39</v>
      </c>
      <c r="M1692" s="33">
        <v>65</v>
      </c>
      <c r="N1692" s="33">
        <v>0</v>
      </c>
      <c r="O1692" s="33">
        <v>7</v>
      </c>
      <c r="P1692" s="32">
        <v>0</v>
      </c>
      <c r="Q1692" s="33">
        <v>1</v>
      </c>
      <c r="R1692" s="32">
        <v>0</v>
      </c>
      <c r="S1692" s="32"/>
      <c r="T1692" s="3">
        <v>0</v>
      </c>
      <c r="U1692" s="3">
        <v>0.23977999999999999</v>
      </c>
      <c r="V1692" s="3">
        <v>0.22692999999999999</v>
      </c>
      <c r="W1692" s="3">
        <v>0</v>
      </c>
      <c r="X1692" s="3"/>
      <c r="Y1692" s="3">
        <v>0</v>
      </c>
      <c r="Z1692" s="32" t="s">
        <v>227</v>
      </c>
      <c r="AA1692" s="23"/>
      <c r="AB1692" s="3" t="str">
        <f t="shared" si="13"/>
        <v>___</v>
      </c>
      <c r="AC1692" s="3" t="str">
        <f t="shared" si="12"/>
        <v>____</v>
      </c>
    </row>
    <row r="1693" spans="1:31" ht="14">
      <c r="A1693" s="23"/>
      <c r="B1693" s="32">
        <v>89</v>
      </c>
      <c r="C1693" s="32">
        <v>33</v>
      </c>
      <c r="D1693" s="23"/>
      <c r="E1693" s="23"/>
      <c r="F1693" s="23"/>
      <c r="G1693" s="32" t="s">
        <v>35</v>
      </c>
      <c r="H1693" s="33">
        <v>1</v>
      </c>
      <c r="I1693" s="32">
        <v>9.3000000000000007</v>
      </c>
      <c r="J1693" s="32">
        <v>11.1</v>
      </c>
      <c r="K1693" s="32">
        <v>3</v>
      </c>
      <c r="L1693" s="32" t="s">
        <v>36</v>
      </c>
      <c r="M1693" s="33">
        <v>44</v>
      </c>
      <c r="N1693" s="33">
        <v>11</v>
      </c>
      <c r="O1693" s="33">
        <v>11</v>
      </c>
      <c r="P1693" s="32">
        <v>0</v>
      </c>
      <c r="Q1693" s="33">
        <v>0</v>
      </c>
      <c r="R1693" s="32">
        <v>0</v>
      </c>
      <c r="S1693" s="32"/>
      <c r="T1693" s="3">
        <v>8.5300000000000001E-2</v>
      </c>
      <c r="U1693" s="3">
        <v>1.512E-2</v>
      </c>
      <c r="V1693" s="3">
        <v>0</v>
      </c>
      <c r="W1693" s="3">
        <v>0</v>
      </c>
      <c r="X1693" s="3"/>
      <c r="Y1693" s="3">
        <v>0</v>
      </c>
      <c r="Z1693" s="23"/>
      <c r="AA1693" s="23"/>
      <c r="AB1693" s="3" t="str">
        <f t="shared" si="13"/>
        <v>89_33__vv</v>
      </c>
      <c r="AC1693" s="3" t="str">
        <f t="shared" si="12"/>
        <v>89_33__vv_1</v>
      </c>
      <c r="AE1693" s="3" t="s">
        <v>37</v>
      </c>
    </row>
    <row r="1694" spans="1:31" ht="14">
      <c r="A1694" s="23"/>
      <c r="B1694" s="23"/>
      <c r="C1694" s="23"/>
      <c r="D1694" s="23"/>
      <c r="E1694" s="23"/>
      <c r="F1694" s="23"/>
      <c r="G1694" s="23"/>
      <c r="H1694" s="22"/>
      <c r="I1694" s="23"/>
      <c r="J1694" s="23"/>
      <c r="K1694" s="23"/>
      <c r="L1694" s="32" t="s">
        <v>38</v>
      </c>
      <c r="M1694" s="33">
        <v>42</v>
      </c>
      <c r="N1694" s="33">
        <v>4</v>
      </c>
      <c r="O1694" s="33">
        <v>7</v>
      </c>
      <c r="P1694" s="32">
        <v>0</v>
      </c>
      <c r="Q1694" s="33">
        <v>0</v>
      </c>
      <c r="R1694" s="32">
        <v>0</v>
      </c>
      <c r="S1694" s="32"/>
      <c r="T1694" s="3">
        <v>3.8539999999999998E-2</v>
      </c>
      <c r="U1694" s="3">
        <v>1.814E-2</v>
      </c>
      <c r="V1694" s="3">
        <v>0</v>
      </c>
      <c r="W1694" s="3">
        <v>0</v>
      </c>
      <c r="X1694" s="3"/>
      <c r="Y1694" s="3">
        <v>0</v>
      </c>
      <c r="Z1694" s="23"/>
      <c r="AA1694" s="23"/>
      <c r="AB1694" s="3" t="str">
        <f t="shared" si="13"/>
        <v>___</v>
      </c>
      <c r="AC1694" s="3" t="str">
        <f t="shared" si="12"/>
        <v>____</v>
      </c>
    </row>
    <row r="1695" spans="1:31" ht="14">
      <c r="A1695" s="23"/>
      <c r="B1695" s="23"/>
      <c r="C1695" s="23"/>
      <c r="D1695" s="23"/>
      <c r="E1695" s="23"/>
      <c r="F1695" s="23"/>
      <c r="G1695" s="23"/>
      <c r="H1695" s="22"/>
      <c r="I1695" s="23"/>
      <c r="J1695" s="23"/>
      <c r="K1695" s="23"/>
      <c r="L1695" s="32" t="s">
        <v>39</v>
      </c>
      <c r="M1695" s="33">
        <v>28</v>
      </c>
      <c r="N1695" s="33">
        <v>0</v>
      </c>
      <c r="O1695" s="33">
        <v>4</v>
      </c>
      <c r="P1695" s="32">
        <v>0</v>
      </c>
      <c r="Q1695" s="33">
        <v>0</v>
      </c>
      <c r="R1695" s="32">
        <v>0</v>
      </c>
      <c r="S1695" s="32"/>
      <c r="T1695" s="3">
        <v>0</v>
      </c>
      <c r="U1695" s="3">
        <v>1.0869999999999999E-2</v>
      </c>
      <c r="V1695" s="3">
        <v>0</v>
      </c>
      <c r="W1695" s="3">
        <v>0</v>
      </c>
      <c r="X1695" s="3"/>
      <c r="Y1695" s="3">
        <v>0</v>
      </c>
      <c r="Z1695" s="23"/>
      <c r="AA1695" s="23"/>
      <c r="AB1695" s="3" t="str">
        <f t="shared" si="13"/>
        <v>___</v>
      </c>
      <c r="AC1695" s="3" t="str">
        <f t="shared" si="12"/>
        <v>____</v>
      </c>
    </row>
    <row r="1696" spans="1:31" ht="14">
      <c r="A1696" s="23"/>
      <c r="B1696" s="32">
        <v>89</v>
      </c>
      <c r="C1696" s="32">
        <v>33</v>
      </c>
      <c r="D1696" s="23"/>
      <c r="E1696" s="23"/>
      <c r="F1696" s="23"/>
      <c r="G1696" s="32" t="s">
        <v>35</v>
      </c>
      <c r="H1696" s="33">
        <v>2</v>
      </c>
      <c r="I1696" s="32">
        <v>19.399999999999999</v>
      </c>
      <c r="J1696" s="32">
        <v>17.2</v>
      </c>
      <c r="K1696" s="32">
        <v>4</v>
      </c>
      <c r="L1696" s="32" t="s">
        <v>36</v>
      </c>
      <c r="M1696" s="33">
        <v>52</v>
      </c>
      <c r="N1696" s="33">
        <v>14</v>
      </c>
      <c r="O1696" s="33">
        <v>15</v>
      </c>
      <c r="P1696" s="32">
        <v>0</v>
      </c>
      <c r="Q1696" s="33">
        <v>0</v>
      </c>
      <c r="R1696" s="32">
        <v>0</v>
      </c>
      <c r="S1696" s="32"/>
      <c r="T1696" s="3">
        <v>0.18878</v>
      </c>
      <c r="U1696" s="3">
        <v>2.776E-2</v>
      </c>
      <c r="V1696" s="3">
        <v>0</v>
      </c>
      <c r="W1696" s="3">
        <v>0</v>
      </c>
      <c r="X1696" s="3"/>
      <c r="Y1696" s="3">
        <v>0</v>
      </c>
      <c r="Z1696" s="23"/>
      <c r="AA1696" s="23"/>
      <c r="AB1696" s="3" t="str">
        <f t="shared" si="13"/>
        <v>89_33__vv</v>
      </c>
      <c r="AC1696" s="3" t="str">
        <f t="shared" si="12"/>
        <v>89_33__vv_2</v>
      </c>
      <c r="AE1696" s="3" t="s">
        <v>37</v>
      </c>
    </row>
    <row r="1697" spans="1:31" ht="14">
      <c r="A1697" s="23"/>
      <c r="B1697" s="23"/>
      <c r="C1697" s="23"/>
      <c r="D1697" s="23"/>
      <c r="E1697" s="23"/>
      <c r="F1697" s="23"/>
      <c r="G1697" s="23"/>
      <c r="H1697" s="22"/>
      <c r="I1697" s="23"/>
      <c r="J1697" s="23"/>
      <c r="K1697" s="23"/>
      <c r="L1697" s="32" t="s">
        <v>38</v>
      </c>
      <c r="M1697" s="33">
        <v>64</v>
      </c>
      <c r="N1697" s="33">
        <v>10</v>
      </c>
      <c r="O1697" s="33">
        <v>13</v>
      </c>
      <c r="P1697" s="32">
        <v>0</v>
      </c>
      <c r="Q1697" s="33">
        <v>1</v>
      </c>
      <c r="R1697" s="32">
        <v>0</v>
      </c>
      <c r="S1697" s="32"/>
      <c r="T1697" s="3">
        <v>0.20319000000000001</v>
      </c>
      <c r="U1697" s="3">
        <v>5.8049999999999997E-2</v>
      </c>
      <c r="V1697" s="3">
        <v>3.388E-2</v>
      </c>
      <c r="W1697" s="3">
        <v>0</v>
      </c>
      <c r="X1697" s="3"/>
      <c r="Y1697" s="3">
        <v>0</v>
      </c>
      <c r="Z1697" s="23"/>
      <c r="AA1697" s="23"/>
      <c r="AB1697" s="3" t="str">
        <f t="shared" si="13"/>
        <v>___</v>
      </c>
      <c r="AC1697" s="3" t="str">
        <f t="shared" si="12"/>
        <v>____</v>
      </c>
    </row>
    <row r="1698" spans="1:31" ht="14">
      <c r="A1698" s="23"/>
      <c r="B1698" s="23"/>
      <c r="C1698" s="23"/>
      <c r="D1698" s="23"/>
      <c r="E1698" s="23"/>
      <c r="F1698" s="23"/>
      <c r="G1698" s="23"/>
      <c r="H1698" s="22"/>
      <c r="I1698" s="23"/>
      <c r="J1698" s="23"/>
      <c r="K1698" s="23"/>
      <c r="L1698" s="32" t="s">
        <v>39</v>
      </c>
      <c r="M1698" s="33">
        <v>47</v>
      </c>
      <c r="N1698" s="33">
        <v>0</v>
      </c>
      <c r="O1698" s="33">
        <v>11</v>
      </c>
      <c r="P1698" s="32">
        <v>0</v>
      </c>
      <c r="Q1698" s="33">
        <v>0</v>
      </c>
      <c r="R1698" s="32">
        <v>0</v>
      </c>
      <c r="S1698" s="32"/>
      <c r="T1698" s="3">
        <v>5.5700000000000003E-3</v>
      </c>
      <c r="U1698" s="3">
        <v>4.4499999999999998E-2</v>
      </c>
      <c r="V1698" s="3">
        <v>0</v>
      </c>
      <c r="W1698" s="3">
        <v>0</v>
      </c>
      <c r="X1698" s="3"/>
      <c r="Y1698" s="3">
        <v>0</v>
      </c>
      <c r="Z1698" s="32" t="s">
        <v>228</v>
      </c>
      <c r="AA1698" s="23"/>
      <c r="AB1698" s="3" t="str">
        <f t="shared" si="13"/>
        <v>___</v>
      </c>
      <c r="AC1698" s="3" t="str">
        <f t="shared" si="12"/>
        <v>____</v>
      </c>
    </row>
    <row r="1699" spans="1:31" ht="14">
      <c r="A1699" s="23"/>
      <c r="B1699" s="32">
        <v>89</v>
      </c>
      <c r="C1699" s="32">
        <v>33</v>
      </c>
      <c r="D1699" s="23"/>
      <c r="E1699" s="23"/>
      <c r="F1699" s="23"/>
      <c r="G1699" s="32" t="s">
        <v>35</v>
      </c>
      <c r="H1699" s="33">
        <v>3</v>
      </c>
      <c r="I1699" s="32">
        <v>12.7</v>
      </c>
      <c r="J1699" s="32">
        <v>13.6</v>
      </c>
      <c r="K1699" s="32">
        <v>3</v>
      </c>
      <c r="L1699" s="32" t="s">
        <v>36</v>
      </c>
      <c r="M1699" s="33">
        <v>56</v>
      </c>
      <c r="N1699" s="33">
        <v>11</v>
      </c>
      <c r="O1699" s="33">
        <v>14</v>
      </c>
      <c r="P1699" s="32">
        <v>0</v>
      </c>
      <c r="Q1699" s="33">
        <v>0</v>
      </c>
      <c r="R1699" s="32">
        <v>0</v>
      </c>
      <c r="S1699" s="32"/>
      <c r="T1699" s="3">
        <v>7.7160000000000006E-2</v>
      </c>
      <c r="U1699" s="3">
        <v>2.2530000000000001E-2</v>
      </c>
      <c r="V1699" s="3">
        <v>0</v>
      </c>
      <c r="W1699" s="3">
        <v>0</v>
      </c>
      <c r="X1699" s="3"/>
      <c r="Y1699" s="3">
        <v>0</v>
      </c>
      <c r="Z1699" s="23"/>
      <c r="AA1699" s="23"/>
      <c r="AB1699" s="3" t="str">
        <f t="shared" si="13"/>
        <v>89_33__vv</v>
      </c>
      <c r="AC1699" s="3" t="str">
        <f t="shared" si="12"/>
        <v>89_33__vv_3</v>
      </c>
      <c r="AE1699" s="3" t="s">
        <v>37</v>
      </c>
    </row>
    <row r="1700" spans="1:31" ht="14">
      <c r="A1700" s="23"/>
      <c r="B1700" s="23"/>
      <c r="C1700" s="23"/>
      <c r="D1700" s="23"/>
      <c r="E1700" s="23"/>
      <c r="F1700" s="23"/>
      <c r="G1700" s="23"/>
      <c r="H1700" s="22"/>
      <c r="I1700" s="23"/>
      <c r="J1700" s="23"/>
      <c r="K1700" s="23"/>
      <c r="L1700" s="32" t="s">
        <v>38</v>
      </c>
      <c r="M1700" s="33">
        <v>24</v>
      </c>
      <c r="N1700" s="33">
        <v>2</v>
      </c>
      <c r="O1700" s="33">
        <v>5</v>
      </c>
      <c r="P1700" s="32">
        <v>0</v>
      </c>
      <c r="Q1700" s="33">
        <v>0</v>
      </c>
      <c r="R1700" s="32">
        <v>0</v>
      </c>
      <c r="S1700" s="32"/>
      <c r="T1700" s="3">
        <v>1.0959999999999999E-2</v>
      </c>
      <c r="U1700" s="3">
        <v>1.312E-2</v>
      </c>
      <c r="V1700" s="3">
        <v>0</v>
      </c>
      <c r="W1700" s="3">
        <v>0</v>
      </c>
      <c r="X1700" s="3"/>
      <c r="Y1700" s="3">
        <v>0</v>
      </c>
      <c r="Z1700" s="23"/>
      <c r="AA1700" s="23"/>
      <c r="AB1700" s="3" t="str">
        <f t="shared" si="13"/>
        <v>___</v>
      </c>
      <c r="AC1700" s="3" t="str">
        <f t="shared" si="12"/>
        <v>____</v>
      </c>
    </row>
    <row r="1701" spans="1:31" ht="14">
      <c r="A1701" s="23"/>
      <c r="B1701" s="23"/>
      <c r="C1701" s="23"/>
      <c r="D1701" s="23"/>
      <c r="E1701" s="23"/>
      <c r="F1701" s="23"/>
      <c r="G1701" s="23"/>
      <c r="H1701" s="22"/>
      <c r="I1701" s="23"/>
      <c r="J1701" s="23"/>
      <c r="K1701" s="23"/>
      <c r="L1701" s="32" t="s">
        <v>39</v>
      </c>
      <c r="M1701" s="33">
        <v>57</v>
      </c>
      <c r="N1701" s="33">
        <v>0</v>
      </c>
      <c r="O1701" s="33">
        <v>9</v>
      </c>
      <c r="P1701" s="32">
        <v>0</v>
      </c>
      <c r="Q1701" s="33">
        <v>0</v>
      </c>
      <c r="R1701" s="32">
        <v>0</v>
      </c>
      <c r="S1701" s="32"/>
      <c r="T1701" s="3">
        <v>0</v>
      </c>
      <c r="U1701" s="3">
        <v>2.2380000000000001E-2</v>
      </c>
      <c r="V1701" s="3">
        <v>0</v>
      </c>
      <c r="W1701" s="3">
        <v>0</v>
      </c>
      <c r="X1701" s="3"/>
      <c r="Y1701" s="3">
        <v>0</v>
      </c>
      <c r="Z1701" s="23"/>
      <c r="AA1701" s="23"/>
      <c r="AB1701" s="3" t="str">
        <f t="shared" si="13"/>
        <v>___</v>
      </c>
      <c r="AC1701" s="3" t="str">
        <f t="shared" si="12"/>
        <v>____</v>
      </c>
    </row>
    <row r="1702" spans="1:31" ht="14">
      <c r="A1702" s="23"/>
      <c r="B1702" s="32">
        <v>926</v>
      </c>
      <c r="C1702" s="32">
        <v>53</v>
      </c>
      <c r="D1702" s="23"/>
      <c r="E1702" s="23"/>
      <c r="F1702" s="23"/>
      <c r="G1702" s="32" t="s">
        <v>40</v>
      </c>
      <c r="H1702" s="33">
        <v>1</v>
      </c>
      <c r="I1702" s="32">
        <v>10.7</v>
      </c>
      <c r="J1702" s="32">
        <v>12.8</v>
      </c>
      <c r="K1702" s="32">
        <v>5</v>
      </c>
      <c r="L1702" s="32" t="s">
        <v>36</v>
      </c>
      <c r="M1702" s="33">
        <v>16</v>
      </c>
      <c r="N1702" s="33">
        <v>4</v>
      </c>
      <c r="O1702" s="33">
        <v>4</v>
      </c>
      <c r="P1702" s="32">
        <v>0</v>
      </c>
      <c r="Q1702" s="33">
        <v>0</v>
      </c>
      <c r="R1702" s="32">
        <v>0</v>
      </c>
      <c r="S1702" s="32"/>
      <c r="T1702" s="3">
        <v>1.0279999999999999E-2</v>
      </c>
      <c r="U1702" s="3">
        <v>4.0800000000000003E-3</v>
      </c>
      <c r="V1702" s="3">
        <v>0</v>
      </c>
      <c r="W1702" s="3">
        <v>0</v>
      </c>
      <c r="X1702" s="3"/>
      <c r="Y1702" s="3">
        <v>0</v>
      </c>
      <c r="Z1702" s="23"/>
      <c r="AA1702" s="23"/>
      <c r="AB1702" s="3" t="str">
        <f t="shared" si="13"/>
        <v>926_53__vm</v>
      </c>
      <c r="AC1702" s="3" t="str">
        <f t="shared" si="12"/>
        <v>926_53__vm_1</v>
      </c>
      <c r="AE1702" s="3" t="s">
        <v>37</v>
      </c>
    </row>
    <row r="1703" spans="1:31" ht="14">
      <c r="A1703" s="23"/>
      <c r="B1703" s="23"/>
      <c r="C1703" s="23"/>
      <c r="D1703" s="23"/>
      <c r="E1703" s="23"/>
      <c r="F1703" s="23"/>
      <c r="G1703" s="23"/>
      <c r="H1703" s="22"/>
      <c r="I1703" s="23"/>
      <c r="J1703" s="23"/>
      <c r="K1703" s="23"/>
      <c r="L1703" s="32" t="s">
        <v>38</v>
      </c>
      <c r="M1703" s="33">
        <v>20</v>
      </c>
      <c r="N1703" s="33">
        <v>0</v>
      </c>
      <c r="O1703" s="33">
        <v>2</v>
      </c>
      <c r="P1703" s="32">
        <v>1</v>
      </c>
      <c r="Q1703" s="33">
        <v>1</v>
      </c>
      <c r="R1703" s="32">
        <v>0</v>
      </c>
      <c r="S1703" s="32"/>
      <c r="T1703" s="3">
        <v>0</v>
      </c>
      <c r="U1703" s="3">
        <v>7.8600000000000007E-3</v>
      </c>
      <c r="V1703" s="3">
        <v>8.0599999999999995E-3</v>
      </c>
      <c r="W1703" s="3">
        <v>0</v>
      </c>
      <c r="X1703" s="3"/>
      <c r="Y1703" s="3">
        <v>0</v>
      </c>
      <c r="Z1703" s="23"/>
      <c r="AA1703" s="23"/>
      <c r="AB1703" s="3" t="str">
        <f t="shared" si="13"/>
        <v>___</v>
      </c>
      <c r="AC1703" s="3" t="str">
        <f t="shared" si="12"/>
        <v>____</v>
      </c>
    </row>
    <row r="1704" spans="1:31" ht="14">
      <c r="A1704" s="23"/>
      <c r="B1704" s="23"/>
      <c r="C1704" s="23"/>
      <c r="D1704" s="23"/>
      <c r="E1704" s="23"/>
      <c r="F1704" s="23"/>
      <c r="G1704" s="23"/>
      <c r="H1704" s="22"/>
      <c r="I1704" s="23"/>
      <c r="J1704" s="23"/>
      <c r="K1704" s="23"/>
      <c r="L1704" s="32" t="s">
        <v>39</v>
      </c>
      <c r="M1704" s="33">
        <v>34</v>
      </c>
      <c r="N1704" s="33">
        <v>0</v>
      </c>
      <c r="O1704" s="33">
        <v>4</v>
      </c>
      <c r="P1704" s="32">
        <v>1</v>
      </c>
      <c r="Q1704" s="33">
        <v>1</v>
      </c>
      <c r="R1704" s="32">
        <v>0</v>
      </c>
      <c r="S1704" s="32"/>
      <c r="T1704" s="3">
        <v>0</v>
      </c>
      <c r="U1704" s="3">
        <v>1.7600000000000001E-2</v>
      </c>
      <c r="V1704" s="3">
        <v>1.6879999999999999E-2</v>
      </c>
      <c r="W1704" s="3">
        <v>0</v>
      </c>
      <c r="X1704" s="3"/>
      <c r="Y1704" s="3">
        <v>0</v>
      </c>
      <c r="Z1704" s="23"/>
      <c r="AA1704" s="23"/>
      <c r="AB1704" s="3" t="str">
        <f t="shared" si="13"/>
        <v>___</v>
      </c>
      <c r="AC1704" s="3" t="str">
        <f t="shared" si="12"/>
        <v>____</v>
      </c>
    </row>
    <row r="1705" spans="1:31" ht="14">
      <c r="A1705" s="23"/>
      <c r="B1705" s="32">
        <v>926</v>
      </c>
      <c r="C1705" s="32">
        <v>53</v>
      </c>
      <c r="D1705" s="23"/>
      <c r="E1705" s="23"/>
      <c r="F1705" s="23"/>
      <c r="G1705" s="32" t="s">
        <v>40</v>
      </c>
      <c r="H1705" s="33">
        <v>2</v>
      </c>
      <c r="I1705" s="32">
        <v>11.8</v>
      </c>
      <c r="J1705" s="32">
        <v>16.5</v>
      </c>
      <c r="K1705" s="32">
        <v>11</v>
      </c>
      <c r="L1705" s="32" t="s">
        <v>36</v>
      </c>
      <c r="M1705" s="33">
        <v>8</v>
      </c>
      <c r="N1705" s="33">
        <v>3</v>
      </c>
      <c r="O1705" s="33">
        <v>3</v>
      </c>
      <c r="P1705" s="32">
        <v>0</v>
      </c>
      <c r="Q1705" s="33">
        <v>0</v>
      </c>
      <c r="R1705" s="32">
        <v>0</v>
      </c>
      <c r="S1705" s="32"/>
      <c r="T1705" s="3">
        <v>7.8799999999999999E-3</v>
      </c>
      <c r="U1705" s="3">
        <v>1.41E-3</v>
      </c>
      <c r="V1705" s="3">
        <v>0</v>
      </c>
      <c r="W1705" s="3">
        <v>0</v>
      </c>
      <c r="X1705" s="3"/>
      <c r="Y1705" s="3">
        <v>0</v>
      </c>
      <c r="Z1705" s="23"/>
      <c r="AA1705" s="23"/>
      <c r="AB1705" s="3" t="str">
        <f t="shared" si="13"/>
        <v>926_53__vm</v>
      </c>
      <c r="AC1705" s="3" t="str">
        <f t="shared" si="12"/>
        <v>926_53__vm_2</v>
      </c>
      <c r="AE1705" s="3" t="s">
        <v>37</v>
      </c>
    </row>
    <row r="1706" spans="1:31" ht="14">
      <c r="A1706" s="23"/>
      <c r="B1706" s="23"/>
      <c r="C1706" s="23"/>
      <c r="D1706" s="23"/>
      <c r="E1706" s="23"/>
      <c r="F1706" s="23"/>
      <c r="G1706" s="23"/>
      <c r="H1706" s="22"/>
      <c r="I1706" s="23"/>
      <c r="J1706" s="23"/>
      <c r="K1706" s="23"/>
      <c r="L1706" s="32" t="s">
        <v>38</v>
      </c>
      <c r="M1706" s="33">
        <v>22</v>
      </c>
      <c r="N1706" s="33">
        <v>0</v>
      </c>
      <c r="O1706" s="33">
        <v>2</v>
      </c>
      <c r="P1706" s="32">
        <v>1</v>
      </c>
      <c r="Q1706" s="33">
        <v>1</v>
      </c>
      <c r="R1706" s="32">
        <v>0</v>
      </c>
      <c r="S1706" s="32"/>
      <c r="T1706" s="3">
        <v>0</v>
      </c>
      <c r="U1706" s="36">
        <v>1.1520000000000001E-2</v>
      </c>
      <c r="V1706" s="3">
        <v>5.8500000000000002E-3</v>
      </c>
      <c r="W1706" s="3">
        <v>0</v>
      </c>
      <c r="X1706" s="3"/>
      <c r="Y1706" s="3">
        <v>0</v>
      </c>
      <c r="Z1706" s="23"/>
      <c r="AA1706" s="23"/>
      <c r="AB1706" s="3" t="str">
        <f t="shared" si="13"/>
        <v>___</v>
      </c>
      <c r="AC1706" s="3" t="str">
        <f t="shared" si="12"/>
        <v>____</v>
      </c>
    </row>
    <row r="1707" spans="1:31" ht="14">
      <c r="A1707" s="23"/>
      <c r="B1707" s="23"/>
      <c r="C1707" s="23"/>
      <c r="D1707" s="23"/>
      <c r="E1707" s="23"/>
      <c r="F1707" s="23"/>
      <c r="G1707" s="23"/>
      <c r="H1707" s="22"/>
      <c r="I1707" s="23"/>
      <c r="J1707" s="23"/>
      <c r="K1707" s="23"/>
      <c r="L1707" s="32" t="s">
        <v>39</v>
      </c>
      <c r="M1707" s="33">
        <v>16</v>
      </c>
      <c r="N1707" s="33">
        <v>0</v>
      </c>
      <c r="O1707" s="33">
        <v>1</v>
      </c>
      <c r="P1707" s="32">
        <v>3</v>
      </c>
      <c r="Q1707" s="33">
        <v>1</v>
      </c>
      <c r="R1707" s="32">
        <v>0</v>
      </c>
      <c r="S1707" s="32"/>
      <c r="T1707" s="3">
        <v>0</v>
      </c>
      <c r="U1707" s="3">
        <v>5.45E-3</v>
      </c>
      <c r="V1707" s="3">
        <v>1.056E-2</v>
      </c>
      <c r="W1707" s="3">
        <v>0</v>
      </c>
      <c r="X1707" s="3"/>
      <c r="Y1707" s="3">
        <v>0</v>
      </c>
      <c r="Z1707" s="23"/>
      <c r="AA1707" s="23"/>
      <c r="AB1707" s="3" t="str">
        <f t="shared" si="13"/>
        <v>___</v>
      </c>
      <c r="AC1707" s="3" t="str">
        <f t="shared" si="12"/>
        <v>____</v>
      </c>
    </row>
    <row r="1708" spans="1:31" ht="14">
      <c r="A1708" s="23"/>
      <c r="B1708" s="32">
        <v>926</v>
      </c>
      <c r="C1708" s="32">
        <v>53</v>
      </c>
      <c r="D1708" s="23"/>
      <c r="E1708" s="23"/>
      <c r="F1708" s="23"/>
      <c r="G1708" s="32" t="s">
        <v>40</v>
      </c>
      <c r="H1708" s="33">
        <v>3</v>
      </c>
      <c r="I1708" s="32">
        <v>14</v>
      </c>
      <c r="J1708" s="32">
        <v>10.8</v>
      </c>
      <c r="K1708" s="32">
        <v>6</v>
      </c>
      <c r="L1708" s="32" t="s">
        <v>36</v>
      </c>
      <c r="M1708" s="33">
        <v>17</v>
      </c>
      <c r="N1708" s="33">
        <v>5</v>
      </c>
      <c r="O1708" s="33">
        <v>5</v>
      </c>
      <c r="P1708" s="32">
        <v>0</v>
      </c>
      <c r="Q1708" s="33">
        <v>0</v>
      </c>
      <c r="R1708" s="32">
        <v>0</v>
      </c>
      <c r="S1708" s="32"/>
      <c r="T1708" s="3">
        <v>1.3780000000000001E-2</v>
      </c>
      <c r="U1708" s="3">
        <v>4.7200000000000002E-3</v>
      </c>
      <c r="V1708" s="3">
        <v>0</v>
      </c>
      <c r="W1708" s="3">
        <v>0</v>
      </c>
      <c r="X1708" s="3"/>
      <c r="Y1708" s="3">
        <v>0</v>
      </c>
      <c r="Z1708" s="23"/>
      <c r="AA1708" s="23"/>
      <c r="AB1708" s="3" t="str">
        <f t="shared" si="13"/>
        <v>926_53__vm</v>
      </c>
      <c r="AC1708" s="3" t="str">
        <f t="shared" si="12"/>
        <v>926_53__vm_3</v>
      </c>
      <c r="AE1708" s="3" t="s">
        <v>37</v>
      </c>
    </row>
    <row r="1709" spans="1:31" ht="14">
      <c r="A1709" s="23"/>
      <c r="B1709" s="23"/>
      <c r="C1709" s="23"/>
      <c r="D1709" s="23"/>
      <c r="E1709" s="23"/>
      <c r="F1709" s="23"/>
      <c r="G1709" s="23"/>
      <c r="H1709" s="22"/>
      <c r="I1709" s="23"/>
      <c r="J1709" s="23"/>
      <c r="K1709" s="23"/>
      <c r="L1709" s="32" t="s">
        <v>38</v>
      </c>
      <c r="M1709" s="33">
        <v>40</v>
      </c>
      <c r="N1709" s="33">
        <v>0</v>
      </c>
      <c r="O1709" s="33">
        <v>3</v>
      </c>
      <c r="P1709" s="32">
        <v>3</v>
      </c>
      <c r="Q1709" s="33">
        <v>3</v>
      </c>
      <c r="R1709" s="32">
        <v>0</v>
      </c>
      <c r="S1709" s="32"/>
      <c r="T1709" s="3">
        <v>0</v>
      </c>
      <c r="U1709" s="3">
        <v>0.2283</v>
      </c>
      <c r="V1709" s="3">
        <v>2.5510000000000001E-2</v>
      </c>
      <c r="W1709" s="3">
        <v>0</v>
      </c>
      <c r="X1709" s="3"/>
      <c r="Y1709" s="3">
        <v>0</v>
      </c>
      <c r="Z1709" s="23"/>
      <c r="AA1709" s="23"/>
      <c r="AB1709" s="3" t="str">
        <f t="shared" si="13"/>
        <v>___</v>
      </c>
      <c r="AC1709" s="3" t="str">
        <f t="shared" si="12"/>
        <v>____</v>
      </c>
    </row>
    <row r="1710" spans="1:31" ht="14">
      <c r="A1710" s="23"/>
      <c r="B1710" s="23"/>
      <c r="C1710" s="23"/>
      <c r="D1710" s="23"/>
      <c r="E1710" s="23"/>
      <c r="F1710" s="23"/>
      <c r="G1710" s="23"/>
      <c r="H1710" s="22"/>
      <c r="I1710" s="23"/>
      <c r="J1710" s="23"/>
      <c r="K1710" s="23"/>
      <c r="L1710" s="32" t="s">
        <v>39</v>
      </c>
      <c r="M1710" s="33">
        <v>36</v>
      </c>
      <c r="N1710" s="33">
        <v>0</v>
      </c>
      <c r="O1710" s="33">
        <v>5</v>
      </c>
      <c r="P1710" s="32">
        <v>1</v>
      </c>
      <c r="Q1710" s="33">
        <v>1</v>
      </c>
      <c r="R1710" s="32">
        <v>0</v>
      </c>
      <c r="S1710" s="32"/>
      <c r="T1710" s="3">
        <v>0</v>
      </c>
      <c r="U1710" s="3">
        <v>3.576E-2</v>
      </c>
      <c r="V1710" s="3">
        <v>4.7890000000000002E-2</v>
      </c>
      <c r="W1710" s="3">
        <v>0</v>
      </c>
      <c r="X1710" s="3"/>
      <c r="Y1710" s="3">
        <v>0</v>
      </c>
      <c r="Z1710" s="23"/>
      <c r="AA1710" s="23"/>
      <c r="AB1710" s="3" t="str">
        <f t="shared" si="13"/>
        <v>___</v>
      </c>
      <c r="AC1710" s="3" t="str">
        <f t="shared" si="12"/>
        <v>____</v>
      </c>
    </row>
    <row r="1711" spans="1:31" ht="14">
      <c r="A1711" s="23"/>
      <c r="B1711" s="32">
        <v>238</v>
      </c>
      <c r="C1711" s="32">
        <v>35</v>
      </c>
      <c r="D1711" s="23"/>
      <c r="E1711" s="23"/>
      <c r="F1711" s="23"/>
      <c r="G1711" s="32" t="s">
        <v>35</v>
      </c>
      <c r="H1711" s="33">
        <v>1</v>
      </c>
      <c r="I1711" s="32">
        <v>15.3</v>
      </c>
      <c r="J1711" s="32">
        <v>12.9</v>
      </c>
      <c r="K1711" s="32">
        <v>2</v>
      </c>
      <c r="L1711" s="32" t="s">
        <v>36</v>
      </c>
      <c r="M1711" s="33">
        <v>92</v>
      </c>
      <c r="N1711" s="33">
        <v>12</v>
      </c>
      <c r="O1711" s="33">
        <v>15</v>
      </c>
      <c r="P1711" s="32">
        <v>0</v>
      </c>
      <c r="Q1711" s="33">
        <v>0</v>
      </c>
      <c r="R1711" s="32">
        <v>0</v>
      </c>
      <c r="S1711" s="32"/>
      <c r="T1711" s="3">
        <v>8.3019999999999997E-2</v>
      </c>
      <c r="U1711" s="3">
        <v>3.9419999999999997E-2</v>
      </c>
      <c r="V1711" s="3">
        <v>0</v>
      </c>
      <c r="W1711" s="3">
        <v>0</v>
      </c>
      <c r="X1711" s="3"/>
      <c r="Y1711" s="3">
        <v>0</v>
      </c>
      <c r="Z1711" s="23"/>
      <c r="AA1711" s="23"/>
      <c r="AB1711" s="3" t="str">
        <f t="shared" si="13"/>
        <v>238_35__vv</v>
      </c>
      <c r="AC1711" s="3" t="str">
        <f t="shared" si="12"/>
        <v>238_35__vv_1</v>
      </c>
      <c r="AD1711" s="3" t="s">
        <v>49</v>
      </c>
      <c r="AE1711" s="3" t="s">
        <v>37</v>
      </c>
    </row>
    <row r="1712" spans="1:31" ht="14">
      <c r="A1712" s="23"/>
      <c r="B1712" s="23"/>
      <c r="C1712" s="23"/>
      <c r="D1712" s="23"/>
      <c r="E1712" s="23"/>
      <c r="F1712" s="23"/>
      <c r="G1712" s="23"/>
      <c r="H1712" s="22"/>
      <c r="I1712" s="23"/>
      <c r="J1712" s="23"/>
      <c r="K1712" s="23"/>
      <c r="L1712" s="32" t="s">
        <v>38</v>
      </c>
      <c r="M1712" s="33">
        <v>44</v>
      </c>
      <c r="N1712" s="33">
        <v>0</v>
      </c>
      <c r="O1712" s="33">
        <v>10</v>
      </c>
      <c r="P1712" s="32">
        <v>0</v>
      </c>
      <c r="Q1712" s="33">
        <v>1</v>
      </c>
      <c r="R1712" s="32">
        <v>0</v>
      </c>
      <c r="S1712" s="32"/>
      <c r="T1712" s="3">
        <v>0</v>
      </c>
      <c r="U1712" s="3">
        <v>3.5749999999999997E-2</v>
      </c>
      <c r="V1712" s="3">
        <v>0.16802</v>
      </c>
      <c r="W1712" s="3">
        <v>0</v>
      </c>
      <c r="X1712" s="3"/>
      <c r="Y1712" s="3">
        <v>0</v>
      </c>
      <c r="Z1712" s="32" t="s">
        <v>229</v>
      </c>
      <c r="AA1712" s="23"/>
      <c r="AB1712" s="3" t="str">
        <f t="shared" si="13"/>
        <v>___</v>
      </c>
      <c r="AC1712" s="3" t="str">
        <f t="shared" si="12"/>
        <v>____</v>
      </c>
    </row>
    <row r="1713" spans="1:31" ht="14">
      <c r="A1713" s="23"/>
      <c r="B1713" s="32">
        <v>238</v>
      </c>
      <c r="C1713" s="32">
        <v>35</v>
      </c>
      <c r="D1713" s="23"/>
      <c r="E1713" s="23"/>
      <c r="F1713" s="23"/>
      <c r="G1713" s="32" t="s">
        <v>35</v>
      </c>
      <c r="H1713" s="33">
        <v>2</v>
      </c>
      <c r="I1713" s="32">
        <v>23.8</v>
      </c>
      <c r="J1713" s="32">
        <v>26.2</v>
      </c>
      <c r="K1713" s="32">
        <v>5</v>
      </c>
      <c r="L1713" s="32" t="s">
        <v>36</v>
      </c>
      <c r="M1713" s="33">
        <v>35</v>
      </c>
      <c r="N1713" s="33">
        <v>10</v>
      </c>
      <c r="O1713" s="33">
        <v>0</v>
      </c>
      <c r="P1713" s="32">
        <v>0</v>
      </c>
      <c r="Q1713" s="33">
        <v>0</v>
      </c>
      <c r="R1713" s="32">
        <v>0</v>
      </c>
      <c r="S1713" s="32"/>
      <c r="T1713" s="3">
        <v>5.2240000000000002E-2</v>
      </c>
      <c r="U1713" s="3">
        <v>8.77E-3</v>
      </c>
      <c r="V1713" s="3">
        <v>0</v>
      </c>
      <c r="W1713" s="3">
        <v>0</v>
      </c>
      <c r="X1713" s="3"/>
      <c r="Y1713" s="3">
        <v>0</v>
      </c>
      <c r="Z1713" s="23"/>
      <c r="AA1713" s="23"/>
      <c r="AB1713" s="3" t="str">
        <f t="shared" si="13"/>
        <v>238_35__vv</v>
      </c>
      <c r="AC1713" s="3" t="str">
        <f t="shared" si="12"/>
        <v>238_35__vv_2</v>
      </c>
      <c r="AD1713" s="3" t="s">
        <v>37</v>
      </c>
      <c r="AE1713" s="3" t="s">
        <v>37</v>
      </c>
    </row>
    <row r="1714" spans="1:31" ht="14">
      <c r="A1714" s="23"/>
      <c r="B1714" s="23"/>
      <c r="C1714" s="23"/>
      <c r="D1714" s="23"/>
      <c r="E1714" s="23"/>
      <c r="F1714" s="23"/>
      <c r="G1714" s="23"/>
      <c r="H1714" s="22"/>
      <c r="I1714" s="23"/>
      <c r="J1714" s="23"/>
      <c r="K1714" s="23"/>
      <c r="L1714" s="32" t="s">
        <v>38</v>
      </c>
      <c r="M1714" s="33">
        <v>58</v>
      </c>
      <c r="N1714" s="33">
        <v>11</v>
      </c>
      <c r="O1714" s="33">
        <v>14</v>
      </c>
      <c r="P1714" s="32">
        <v>0</v>
      </c>
      <c r="Q1714" s="33">
        <v>2</v>
      </c>
      <c r="R1714" s="32">
        <v>0</v>
      </c>
      <c r="S1714" s="32"/>
      <c r="T1714" s="3">
        <v>0.14802000000000001</v>
      </c>
      <c r="U1714" s="3">
        <v>4.3400000000000001E-2</v>
      </c>
      <c r="V1714" s="3">
        <v>3.1820000000000001E-2</v>
      </c>
      <c r="W1714" s="3">
        <v>0</v>
      </c>
      <c r="X1714" s="3"/>
      <c r="Y1714" s="3">
        <v>0</v>
      </c>
      <c r="Z1714" s="23"/>
      <c r="AA1714" s="23"/>
      <c r="AB1714" s="3" t="str">
        <f t="shared" si="13"/>
        <v>___</v>
      </c>
      <c r="AC1714" s="3" t="str">
        <f t="shared" si="12"/>
        <v>____</v>
      </c>
    </row>
    <row r="1715" spans="1:31" ht="14">
      <c r="A1715" s="23"/>
      <c r="B1715" s="23"/>
      <c r="C1715" s="23"/>
      <c r="D1715" s="23"/>
      <c r="E1715" s="23"/>
      <c r="F1715" s="23"/>
      <c r="G1715" s="23"/>
      <c r="H1715" s="22"/>
      <c r="I1715" s="23"/>
      <c r="J1715" s="23"/>
      <c r="K1715" s="23"/>
      <c r="L1715" s="32" t="s">
        <v>39</v>
      </c>
      <c r="M1715" s="33">
        <v>45</v>
      </c>
      <c r="N1715" s="33">
        <v>4</v>
      </c>
      <c r="O1715" s="33">
        <v>11</v>
      </c>
      <c r="P1715" s="32">
        <v>0</v>
      </c>
      <c r="Q1715" s="33">
        <v>1</v>
      </c>
      <c r="R1715" s="32">
        <v>0</v>
      </c>
      <c r="S1715" s="32"/>
      <c r="T1715" s="3">
        <v>6.4140000000000003E-2</v>
      </c>
      <c r="U1715" s="3">
        <v>5.0070000000000003E-2</v>
      </c>
      <c r="V1715" s="3">
        <v>1.4880000000000001E-2</v>
      </c>
      <c r="W1715" s="3">
        <v>0</v>
      </c>
      <c r="X1715" s="3"/>
      <c r="Y1715" s="3">
        <v>0</v>
      </c>
      <c r="Z1715" s="23"/>
      <c r="AA1715" s="23"/>
      <c r="AB1715" s="3" t="str">
        <f t="shared" si="13"/>
        <v>___</v>
      </c>
      <c r="AC1715" s="3" t="str">
        <f t="shared" si="12"/>
        <v>____</v>
      </c>
    </row>
    <row r="1716" spans="1:31" ht="14">
      <c r="A1716" s="23"/>
      <c r="B1716" s="32">
        <v>238</v>
      </c>
      <c r="C1716" s="32">
        <v>35</v>
      </c>
      <c r="D1716" s="23"/>
      <c r="E1716" s="23"/>
      <c r="F1716" s="23"/>
      <c r="G1716" s="32" t="s">
        <v>35</v>
      </c>
      <c r="H1716" s="33">
        <v>3</v>
      </c>
      <c r="I1716" s="32">
        <v>19.3</v>
      </c>
      <c r="J1716" s="32">
        <v>18.2</v>
      </c>
      <c r="K1716" s="32">
        <v>4</v>
      </c>
      <c r="L1716" s="32" t="s">
        <v>36</v>
      </c>
      <c r="M1716" s="33">
        <v>27</v>
      </c>
      <c r="N1716" s="33">
        <v>10</v>
      </c>
      <c r="O1716" s="33">
        <v>10</v>
      </c>
      <c r="P1716" s="32">
        <v>0</v>
      </c>
      <c r="Q1716" s="33">
        <v>0</v>
      </c>
      <c r="R1716" s="32">
        <v>0</v>
      </c>
      <c r="S1716" s="32"/>
      <c r="T1716" s="3">
        <v>2.3380000000000001E-2</v>
      </c>
      <c r="U1716" s="3">
        <v>5.64E-3</v>
      </c>
      <c r="V1716" s="3">
        <v>0</v>
      </c>
      <c r="W1716" s="3">
        <v>0</v>
      </c>
      <c r="X1716" s="3"/>
      <c r="Y1716" s="3">
        <v>0</v>
      </c>
      <c r="Z1716" s="23"/>
      <c r="AA1716" s="23"/>
      <c r="AB1716" s="3" t="str">
        <f t="shared" si="13"/>
        <v>238_35__vv</v>
      </c>
      <c r="AC1716" s="3" t="str">
        <f t="shared" si="12"/>
        <v>238_35__vv_3</v>
      </c>
      <c r="AD1716" s="3" t="s">
        <v>37</v>
      </c>
      <c r="AE1716" s="3" t="s">
        <v>37</v>
      </c>
    </row>
    <row r="1717" spans="1:31" ht="14">
      <c r="A1717" s="23"/>
      <c r="B1717" s="23"/>
      <c r="C1717" s="23"/>
      <c r="D1717" s="23"/>
      <c r="E1717" s="23"/>
      <c r="F1717" s="23"/>
      <c r="G1717" s="23"/>
      <c r="H1717" s="22"/>
      <c r="I1717" s="23"/>
      <c r="J1717" s="23"/>
      <c r="K1717" s="23"/>
      <c r="L1717" s="32" t="s">
        <v>38</v>
      </c>
      <c r="M1717" s="33">
        <v>87</v>
      </c>
      <c r="N1717" s="33">
        <v>9</v>
      </c>
      <c r="O1717" s="33">
        <v>14</v>
      </c>
      <c r="P1717" s="32">
        <v>0</v>
      </c>
      <c r="Q1717" s="33">
        <v>3</v>
      </c>
      <c r="R1717" s="32">
        <v>0</v>
      </c>
      <c r="S1717" s="32"/>
      <c r="T1717" s="3">
        <v>0.10592</v>
      </c>
      <c r="U1717" s="3">
        <v>6.8279999999999993E-2</v>
      </c>
      <c r="V1717" s="3">
        <v>3.1879999999999999E-2</v>
      </c>
      <c r="W1717" s="3">
        <v>0</v>
      </c>
      <c r="X1717" s="3"/>
      <c r="Y1717" s="3">
        <v>0</v>
      </c>
      <c r="Z1717" s="32" t="s">
        <v>230</v>
      </c>
      <c r="AA1717" s="23"/>
      <c r="AB1717" s="3" t="str">
        <f t="shared" si="13"/>
        <v>___</v>
      </c>
      <c r="AC1717" s="3" t="str">
        <f t="shared" si="12"/>
        <v>____</v>
      </c>
    </row>
    <row r="1718" spans="1:31" ht="14">
      <c r="A1718" s="23"/>
      <c r="B1718" s="23"/>
      <c r="C1718" s="23"/>
      <c r="D1718" s="23"/>
      <c r="E1718" s="23"/>
      <c r="F1718" s="23"/>
      <c r="G1718" s="23"/>
      <c r="H1718" s="22"/>
      <c r="I1718" s="23"/>
      <c r="J1718" s="23"/>
      <c r="K1718" s="23"/>
      <c r="L1718" s="32" t="s">
        <v>39</v>
      </c>
      <c r="M1718" s="33">
        <v>84</v>
      </c>
      <c r="N1718" s="33">
        <v>3</v>
      </c>
      <c r="O1718" s="33">
        <v>13</v>
      </c>
      <c r="P1718" s="32">
        <v>0</v>
      </c>
      <c r="Q1718" s="33">
        <v>2</v>
      </c>
      <c r="R1718" s="32">
        <v>0</v>
      </c>
      <c r="S1718" s="32"/>
      <c r="T1718" s="3">
        <v>4.3799999999999999E-2</v>
      </c>
      <c r="U1718" s="3">
        <v>0.11251</v>
      </c>
      <c r="V1718" s="3">
        <v>0.356018</v>
      </c>
      <c r="W1718" s="3">
        <v>0</v>
      </c>
      <c r="X1718" s="3"/>
      <c r="Y1718" s="3">
        <v>0</v>
      </c>
      <c r="Z1718" s="23"/>
      <c r="AA1718" s="23"/>
      <c r="AB1718" s="3" t="str">
        <f t="shared" si="13"/>
        <v>___</v>
      </c>
      <c r="AC1718" s="3" t="str">
        <f t="shared" si="12"/>
        <v>____</v>
      </c>
    </row>
    <row r="1719" spans="1:31" ht="14">
      <c r="A1719" s="23"/>
      <c r="B1719" s="32">
        <v>238</v>
      </c>
      <c r="C1719" s="32">
        <v>35</v>
      </c>
      <c r="D1719" s="23"/>
      <c r="E1719" s="23"/>
      <c r="F1719" s="23"/>
      <c r="G1719" s="32" t="s">
        <v>40</v>
      </c>
      <c r="H1719" s="33">
        <v>1</v>
      </c>
      <c r="I1719" s="32">
        <v>29.4</v>
      </c>
      <c r="J1719" s="32">
        <v>35.200000000000003</v>
      </c>
      <c r="K1719" s="32">
        <v>7</v>
      </c>
      <c r="L1719" s="32" t="s">
        <v>36</v>
      </c>
      <c r="M1719" s="33">
        <v>17</v>
      </c>
      <c r="N1719" s="33">
        <v>3</v>
      </c>
      <c r="O1719" s="33">
        <v>3</v>
      </c>
      <c r="P1719" s="32">
        <v>0</v>
      </c>
      <c r="Q1719" s="33">
        <v>0</v>
      </c>
      <c r="R1719" s="32">
        <v>0</v>
      </c>
      <c r="S1719" s="32"/>
      <c r="T1719" s="3">
        <v>1.6830000000000001E-2</v>
      </c>
      <c r="U1719" s="3">
        <v>5.5900000000000004E-3</v>
      </c>
      <c r="V1719" s="3">
        <v>0</v>
      </c>
      <c r="W1719" s="3">
        <v>0</v>
      </c>
      <c r="X1719" s="3"/>
      <c r="Y1719" s="3">
        <v>0</v>
      </c>
      <c r="Z1719" s="23"/>
      <c r="AA1719" s="23"/>
      <c r="AB1719" s="3" t="str">
        <f t="shared" si="13"/>
        <v>238_35__vm</v>
      </c>
      <c r="AC1719" s="3" t="str">
        <f t="shared" si="12"/>
        <v>238_35__vm_1</v>
      </c>
      <c r="AD1719" s="3" t="s">
        <v>37</v>
      </c>
      <c r="AE1719" s="3" t="s">
        <v>37</v>
      </c>
    </row>
    <row r="1720" spans="1:31" ht="14">
      <c r="A1720" s="23"/>
      <c r="B1720" s="23"/>
      <c r="C1720" s="23"/>
      <c r="D1720" s="23"/>
      <c r="E1720" s="23"/>
      <c r="F1720" s="23"/>
      <c r="G1720" s="23"/>
      <c r="H1720" s="22"/>
      <c r="I1720" s="23"/>
      <c r="J1720" s="23"/>
      <c r="K1720" s="23"/>
      <c r="L1720" s="32" t="s">
        <v>38</v>
      </c>
      <c r="M1720" s="33">
        <v>37</v>
      </c>
      <c r="N1720" s="33">
        <v>0</v>
      </c>
      <c r="O1720" s="33">
        <v>6</v>
      </c>
      <c r="P1720" s="32">
        <v>0</v>
      </c>
      <c r="Q1720" s="33">
        <v>2</v>
      </c>
      <c r="R1720" s="32">
        <v>0</v>
      </c>
      <c r="S1720" s="32"/>
      <c r="T1720" s="3">
        <v>0</v>
      </c>
      <c r="U1720" s="3">
        <v>1.9879999999999998E-2</v>
      </c>
      <c r="V1720" s="3">
        <v>2.1479999999999999E-2</v>
      </c>
      <c r="W1720" s="3">
        <v>0</v>
      </c>
      <c r="X1720" s="3"/>
      <c r="Y1720" s="3">
        <v>0</v>
      </c>
      <c r="Z1720" s="23"/>
      <c r="AA1720" s="23"/>
      <c r="AB1720" s="3" t="str">
        <f t="shared" si="13"/>
        <v>___</v>
      </c>
      <c r="AC1720" s="3" t="str">
        <f t="shared" si="12"/>
        <v>____</v>
      </c>
    </row>
    <row r="1721" spans="1:31" ht="14">
      <c r="A1721" s="23"/>
      <c r="B1721" s="23"/>
      <c r="C1721" s="23"/>
      <c r="D1721" s="23"/>
      <c r="E1721" s="23"/>
      <c r="F1721" s="23"/>
      <c r="G1721" s="23"/>
      <c r="H1721" s="22"/>
      <c r="I1721" s="23"/>
      <c r="J1721" s="23"/>
      <c r="K1721" s="23"/>
      <c r="L1721" s="32" t="s">
        <v>39</v>
      </c>
      <c r="M1721" s="33">
        <v>75</v>
      </c>
      <c r="N1721" s="33">
        <v>0</v>
      </c>
      <c r="O1721" s="33">
        <v>8</v>
      </c>
      <c r="P1721" s="32">
        <v>0</v>
      </c>
      <c r="Q1721" s="33">
        <v>3</v>
      </c>
      <c r="R1721" s="32">
        <v>0</v>
      </c>
      <c r="S1721" s="32"/>
      <c r="T1721" s="3">
        <v>0</v>
      </c>
      <c r="U1721" s="3">
        <v>9.2179999999999998E-2</v>
      </c>
      <c r="V1721" s="3">
        <v>0.19892000000000001</v>
      </c>
      <c r="W1721" s="3">
        <v>0</v>
      </c>
      <c r="X1721" s="3"/>
      <c r="Y1721" s="3">
        <v>0</v>
      </c>
      <c r="Z1721" s="23"/>
      <c r="AA1721" s="23"/>
      <c r="AB1721" s="3" t="str">
        <f t="shared" si="13"/>
        <v>___</v>
      </c>
      <c r="AC1721" s="3" t="str">
        <f t="shared" si="12"/>
        <v>____</v>
      </c>
    </row>
    <row r="1722" spans="1:31" ht="14">
      <c r="A1722" s="23"/>
      <c r="B1722" s="32">
        <v>238</v>
      </c>
      <c r="C1722" s="32">
        <v>35</v>
      </c>
      <c r="D1722" s="23"/>
      <c r="E1722" s="23"/>
      <c r="F1722" s="23"/>
      <c r="G1722" s="32" t="s">
        <v>40</v>
      </c>
      <c r="H1722" s="33">
        <v>2</v>
      </c>
      <c r="I1722" s="32">
        <v>34.799999999999997</v>
      </c>
      <c r="J1722" s="32">
        <v>29.7</v>
      </c>
      <c r="K1722" s="32">
        <v>5</v>
      </c>
      <c r="L1722" s="32" t="s">
        <v>36</v>
      </c>
      <c r="M1722" s="33">
        <v>46</v>
      </c>
      <c r="N1722" s="33">
        <v>6</v>
      </c>
      <c r="O1722" s="33">
        <v>7</v>
      </c>
      <c r="P1722" s="32">
        <v>0</v>
      </c>
      <c r="Q1722" s="33">
        <v>0</v>
      </c>
      <c r="R1722" s="32">
        <v>0</v>
      </c>
      <c r="S1722" s="32"/>
      <c r="T1722" s="3">
        <v>3.61E-2</v>
      </c>
      <c r="U1722" s="3">
        <v>2.027E-2</v>
      </c>
      <c r="V1722" s="3">
        <v>0</v>
      </c>
      <c r="W1722" s="3">
        <v>0</v>
      </c>
      <c r="X1722" s="3"/>
      <c r="Y1722" s="3">
        <v>0</v>
      </c>
      <c r="Z1722" s="23"/>
      <c r="AA1722" s="23"/>
      <c r="AB1722" s="3" t="str">
        <f t="shared" si="13"/>
        <v>238_35__vm</v>
      </c>
      <c r="AC1722" s="3" t="str">
        <f t="shared" si="12"/>
        <v>238_35__vm_2</v>
      </c>
      <c r="AD1722" s="3" t="s">
        <v>37</v>
      </c>
      <c r="AE1722" s="3" t="s">
        <v>37</v>
      </c>
    </row>
    <row r="1723" spans="1:31" ht="14">
      <c r="A1723" s="23"/>
      <c r="B1723" s="23"/>
      <c r="C1723" s="23"/>
      <c r="D1723" s="23"/>
      <c r="E1723" s="23"/>
      <c r="F1723" s="23"/>
      <c r="G1723" s="23"/>
      <c r="H1723" s="22"/>
      <c r="I1723" s="23"/>
      <c r="J1723" s="23"/>
      <c r="K1723" s="23"/>
      <c r="L1723" s="32" t="s">
        <v>38</v>
      </c>
      <c r="M1723" s="33">
        <v>99</v>
      </c>
      <c r="N1723" s="33">
        <v>0</v>
      </c>
      <c r="O1723" s="33">
        <v>10</v>
      </c>
      <c r="P1723" s="32">
        <v>0</v>
      </c>
      <c r="Q1723" s="33">
        <v>3</v>
      </c>
      <c r="R1723" s="32">
        <v>0</v>
      </c>
      <c r="S1723" s="32"/>
      <c r="T1723" s="3">
        <v>0</v>
      </c>
      <c r="U1723" s="3">
        <v>9.6780000000000005E-2</v>
      </c>
      <c r="V1723" s="3">
        <v>0.13796</v>
      </c>
      <c r="W1723" s="3">
        <v>0</v>
      </c>
      <c r="X1723" s="3"/>
      <c r="Y1723" s="3">
        <v>0</v>
      </c>
      <c r="Z1723" s="23"/>
      <c r="AA1723" s="23"/>
      <c r="AB1723" s="3" t="str">
        <f t="shared" si="13"/>
        <v>___</v>
      </c>
      <c r="AC1723" s="3" t="str">
        <f t="shared" si="12"/>
        <v>____</v>
      </c>
    </row>
    <row r="1724" spans="1:31" ht="14">
      <c r="A1724" s="23"/>
      <c r="B1724" s="23"/>
      <c r="C1724" s="23"/>
      <c r="D1724" s="23"/>
      <c r="E1724" s="23"/>
      <c r="F1724" s="23"/>
      <c r="G1724" s="23"/>
      <c r="H1724" s="22"/>
      <c r="I1724" s="23"/>
      <c r="J1724" s="23"/>
      <c r="K1724" s="23"/>
      <c r="L1724" s="32" t="s">
        <v>39</v>
      </c>
      <c r="M1724" s="33">
        <v>102</v>
      </c>
      <c r="N1724" s="33">
        <v>0</v>
      </c>
      <c r="O1724" s="33">
        <v>11</v>
      </c>
      <c r="P1724" s="32">
        <v>0</v>
      </c>
      <c r="Q1724" s="33">
        <v>3</v>
      </c>
      <c r="R1724" s="32">
        <v>0</v>
      </c>
      <c r="S1724" s="32"/>
      <c r="T1724" s="3">
        <v>0</v>
      </c>
      <c r="U1724" s="3">
        <v>0.24468999999999999</v>
      </c>
      <c r="V1724" s="3">
        <v>0.36304999999999998</v>
      </c>
      <c r="W1724" s="3">
        <v>0</v>
      </c>
      <c r="X1724" s="3"/>
      <c r="Y1724" s="3">
        <v>0</v>
      </c>
      <c r="Z1724" s="23"/>
      <c r="AA1724" s="23"/>
      <c r="AB1724" s="3" t="str">
        <f t="shared" si="13"/>
        <v>___</v>
      </c>
      <c r="AC1724" s="3" t="str">
        <f t="shared" si="12"/>
        <v>____</v>
      </c>
    </row>
    <row r="1725" spans="1:31" ht="14">
      <c r="A1725" s="23"/>
      <c r="B1725" s="32">
        <v>238</v>
      </c>
      <c r="C1725" s="32">
        <v>35</v>
      </c>
      <c r="D1725" s="23"/>
      <c r="E1725" s="23"/>
      <c r="F1725" s="23"/>
      <c r="G1725" s="32" t="s">
        <v>40</v>
      </c>
      <c r="H1725" s="33">
        <v>3</v>
      </c>
      <c r="I1725" s="32">
        <v>24</v>
      </c>
      <c r="J1725" s="32">
        <v>30.7</v>
      </c>
      <c r="K1725" s="32">
        <v>10</v>
      </c>
      <c r="L1725" s="32" t="s">
        <v>36</v>
      </c>
      <c r="M1725" s="33">
        <v>51</v>
      </c>
      <c r="N1725" s="33">
        <v>6</v>
      </c>
      <c r="O1725" s="33">
        <v>7</v>
      </c>
      <c r="P1725" s="32">
        <v>0</v>
      </c>
      <c r="Q1725" s="33">
        <v>0</v>
      </c>
      <c r="R1725" s="32">
        <v>0</v>
      </c>
      <c r="S1725" s="32"/>
      <c r="T1725" s="3">
        <v>4.5359999999999998E-2</v>
      </c>
      <c r="U1725" s="3">
        <v>2.7689999999999999E-2</v>
      </c>
      <c r="V1725" s="3">
        <v>0</v>
      </c>
      <c r="W1725" s="3">
        <v>0</v>
      </c>
      <c r="X1725" s="3"/>
      <c r="Y1725" s="3">
        <v>0</v>
      </c>
      <c r="Z1725" s="32" t="s">
        <v>231</v>
      </c>
      <c r="AA1725" s="23"/>
      <c r="AB1725" s="3" t="str">
        <f t="shared" si="13"/>
        <v>238_35__vm</v>
      </c>
      <c r="AC1725" s="3" t="str">
        <f t="shared" si="12"/>
        <v>238_35__vm_3</v>
      </c>
      <c r="AD1725" s="3" t="s">
        <v>37</v>
      </c>
      <c r="AE1725" s="3" t="s">
        <v>37</v>
      </c>
    </row>
    <row r="1726" spans="1:31" ht="14">
      <c r="A1726" s="23"/>
      <c r="B1726" s="23"/>
      <c r="C1726" s="23"/>
      <c r="D1726" s="23"/>
      <c r="E1726" s="23"/>
      <c r="F1726" s="23"/>
      <c r="G1726" s="23"/>
      <c r="H1726" s="22"/>
      <c r="I1726" s="23"/>
      <c r="J1726" s="23"/>
      <c r="K1726" s="23"/>
      <c r="L1726" s="32" t="s">
        <v>38</v>
      </c>
      <c r="M1726" s="33">
        <v>64</v>
      </c>
      <c r="N1726" s="33">
        <v>0</v>
      </c>
      <c r="O1726" s="33">
        <v>8</v>
      </c>
      <c r="P1726" s="32">
        <v>0</v>
      </c>
      <c r="Q1726" s="33">
        <v>1</v>
      </c>
      <c r="R1726" s="32">
        <v>0</v>
      </c>
      <c r="S1726" s="32"/>
      <c r="T1726" s="3">
        <v>0</v>
      </c>
      <c r="U1726" s="3">
        <v>5.3690000000000002E-2</v>
      </c>
      <c r="V1726" s="3">
        <v>5.2290000000000003E-2</v>
      </c>
      <c r="W1726" s="3">
        <v>0</v>
      </c>
      <c r="X1726" s="3"/>
      <c r="Y1726" s="3">
        <v>0</v>
      </c>
      <c r="Z1726" s="32" t="s">
        <v>232</v>
      </c>
      <c r="AA1726" s="23"/>
      <c r="AB1726" s="3" t="str">
        <f t="shared" si="13"/>
        <v>___</v>
      </c>
      <c r="AC1726" s="3" t="str">
        <f t="shared" si="12"/>
        <v>____</v>
      </c>
    </row>
    <row r="1727" spans="1:31" ht="14">
      <c r="A1727" s="23"/>
      <c r="B1727" s="23"/>
      <c r="C1727" s="23"/>
      <c r="D1727" s="23"/>
      <c r="E1727" s="23"/>
      <c r="F1727" s="23"/>
      <c r="G1727" s="23"/>
      <c r="H1727" s="22"/>
      <c r="I1727" s="23"/>
      <c r="J1727" s="23"/>
      <c r="K1727" s="23"/>
      <c r="L1727" s="32" t="s">
        <v>39</v>
      </c>
      <c r="M1727" s="33">
        <v>86</v>
      </c>
      <c r="N1727" s="33">
        <v>0</v>
      </c>
      <c r="O1727" s="33">
        <v>9</v>
      </c>
      <c r="P1727" s="32">
        <v>0</v>
      </c>
      <c r="Q1727" s="33">
        <v>3</v>
      </c>
      <c r="R1727" s="32">
        <v>0</v>
      </c>
      <c r="S1727" s="32"/>
      <c r="T1727" s="3">
        <v>0</v>
      </c>
      <c r="U1727" s="3">
        <v>0.18225</v>
      </c>
      <c r="V1727" s="3">
        <v>0.52080000000000004</v>
      </c>
      <c r="W1727" s="3">
        <v>0</v>
      </c>
      <c r="X1727" s="3"/>
      <c r="Y1727" s="3">
        <v>0</v>
      </c>
      <c r="Z1727" s="23"/>
      <c r="AA1727" s="23"/>
      <c r="AB1727" s="3" t="str">
        <f t="shared" si="13"/>
        <v>___</v>
      </c>
      <c r="AC1727" s="3" t="str">
        <f t="shared" si="12"/>
        <v>____</v>
      </c>
    </row>
    <row r="1728" spans="1:31" ht="14">
      <c r="A1728" s="23"/>
      <c r="B1728" s="32">
        <v>238</v>
      </c>
      <c r="C1728" s="32">
        <v>46</v>
      </c>
      <c r="D1728" s="23"/>
      <c r="E1728" s="23"/>
      <c r="F1728" s="23"/>
      <c r="G1728" s="32" t="s">
        <v>35</v>
      </c>
      <c r="H1728" s="33">
        <v>1</v>
      </c>
      <c r="I1728" s="32">
        <v>18</v>
      </c>
      <c r="J1728" s="32">
        <v>11.5</v>
      </c>
      <c r="K1728" s="32">
        <v>2</v>
      </c>
      <c r="L1728" s="32" t="s">
        <v>36</v>
      </c>
      <c r="M1728" s="33">
        <v>57</v>
      </c>
      <c r="N1728" s="33">
        <v>11</v>
      </c>
      <c r="O1728" s="33">
        <v>14</v>
      </c>
      <c r="P1728" s="32">
        <v>0</v>
      </c>
      <c r="Q1728" s="33">
        <v>0</v>
      </c>
      <c r="R1728" s="32">
        <v>0</v>
      </c>
      <c r="S1728" s="32"/>
      <c r="T1728" s="3">
        <v>0.108</v>
      </c>
      <c r="U1728" s="3">
        <v>2.767E-2</v>
      </c>
      <c r="V1728" s="3">
        <v>0</v>
      </c>
      <c r="W1728" s="3">
        <v>0</v>
      </c>
      <c r="X1728" s="3"/>
      <c r="Y1728" s="3">
        <v>0</v>
      </c>
      <c r="Z1728" s="23"/>
      <c r="AA1728" s="23"/>
      <c r="AB1728" s="3" t="str">
        <f t="shared" si="13"/>
        <v>238_46__vv</v>
      </c>
      <c r="AC1728" s="3" t="str">
        <f t="shared" si="12"/>
        <v>238_46__vv_1</v>
      </c>
      <c r="AE1728" s="3" t="s">
        <v>37</v>
      </c>
    </row>
    <row r="1729" spans="1:31" ht="14">
      <c r="A1729" s="23"/>
      <c r="B1729" s="23"/>
      <c r="C1729" s="23"/>
      <c r="D1729" s="23"/>
      <c r="E1729" s="23"/>
      <c r="F1729" s="23"/>
      <c r="G1729" s="23"/>
      <c r="H1729" s="22"/>
      <c r="I1729" s="23"/>
      <c r="J1729" s="23"/>
      <c r="K1729" s="23"/>
      <c r="L1729" s="32" t="s">
        <v>38</v>
      </c>
      <c r="M1729" s="33">
        <v>67</v>
      </c>
      <c r="N1729" s="33">
        <v>8</v>
      </c>
      <c r="O1729" s="33">
        <v>15</v>
      </c>
      <c r="P1729" s="32">
        <v>0</v>
      </c>
      <c r="Q1729" s="33">
        <v>1</v>
      </c>
      <c r="R1729" s="32">
        <v>0</v>
      </c>
      <c r="S1729" s="32"/>
      <c r="T1729" s="3">
        <v>0.12562000000000001</v>
      </c>
      <c r="U1729" s="3">
        <v>5.9549999999999999E-2</v>
      </c>
      <c r="V1729" s="3">
        <v>3.125E-2</v>
      </c>
      <c r="W1729" s="3">
        <v>0</v>
      </c>
      <c r="X1729" s="3"/>
      <c r="Y1729" s="3">
        <v>0</v>
      </c>
      <c r="Z1729" s="23"/>
      <c r="AA1729" s="23"/>
      <c r="AB1729" s="3" t="str">
        <f t="shared" si="13"/>
        <v>___</v>
      </c>
      <c r="AC1729" s="3" t="str">
        <f t="shared" si="12"/>
        <v>____</v>
      </c>
    </row>
    <row r="1730" spans="1:31" ht="14">
      <c r="A1730" s="23"/>
      <c r="B1730" s="32">
        <v>238</v>
      </c>
      <c r="C1730" s="32">
        <v>46</v>
      </c>
      <c r="D1730" s="23"/>
      <c r="E1730" s="23"/>
      <c r="F1730" s="23"/>
      <c r="G1730" s="32" t="s">
        <v>35</v>
      </c>
      <c r="H1730" s="33">
        <v>2</v>
      </c>
      <c r="I1730" s="32">
        <v>28</v>
      </c>
      <c r="J1730" s="32">
        <v>22.3</v>
      </c>
      <c r="K1730" s="32">
        <v>6</v>
      </c>
      <c r="L1730" s="32" t="s">
        <v>36</v>
      </c>
      <c r="M1730" s="33">
        <v>41</v>
      </c>
      <c r="N1730" s="33">
        <v>11</v>
      </c>
      <c r="O1730" s="33">
        <v>11</v>
      </c>
      <c r="P1730" s="32">
        <v>0</v>
      </c>
      <c r="Q1730" s="33">
        <v>0</v>
      </c>
      <c r="R1730" s="32">
        <v>0</v>
      </c>
      <c r="S1730" s="32"/>
      <c r="T1730" s="3">
        <v>0.13048000000000001</v>
      </c>
      <c r="U1730" s="3">
        <v>1.473E-2</v>
      </c>
      <c r="V1730" s="3">
        <v>0</v>
      </c>
      <c r="W1730" s="3">
        <v>0</v>
      </c>
      <c r="X1730" s="3"/>
      <c r="Y1730" s="3">
        <v>0</v>
      </c>
      <c r="Z1730" s="23"/>
      <c r="AA1730" s="23"/>
      <c r="AB1730" s="3" t="str">
        <f t="shared" si="13"/>
        <v>238_46__vv</v>
      </c>
      <c r="AC1730" s="3" t="str">
        <f t="shared" si="12"/>
        <v>238_46__vv_2</v>
      </c>
      <c r="AE1730" s="3" t="s">
        <v>37</v>
      </c>
    </row>
    <row r="1731" spans="1:31" ht="14">
      <c r="A1731" s="23"/>
      <c r="B1731" s="23"/>
      <c r="C1731" s="23"/>
      <c r="D1731" s="23"/>
      <c r="E1731" s="23"/>
      <c r="F1731" s="23"/>
      <c r="G1731" s="23"/>
      <c r="H1731" s="22"/>
      <c r="I1731" s="23"/>
      <c r="J1731" s="23"/>
      <c r="K1731" s="23"/>
      <c r="L1731" s="32" t="s">
        <v>38</v>
      </c>
      <c r="M1731" s="33">
        <v>54</v>
      </c>
      <c r="N1731" s="33">
        <v>9</v>
      </c>
      <c r="O1731" s="33">
        <v>14</v>
      </c>
      <c r="P1731" s="32">
        <v>0</v>
      </c>
      <c r="Q1731" s="33">
        <v>0</v>
      </c>
      <c r="R1731" s="32">
        <v>0</v>
      </c>
      <c r="S1731" s="32"/>
      <c r="T1731" s="3">
        <v>0.21535000000000001</v>
      </c>
      <c r="U1731" s="3">
        <v>4.1119999999999997E-2</v>
      </c>
      <c r="V1731" s="3">
        <v>0</v>
      </c>
      <c r="W1731" s="3">
        <v>0</v>
      </c>
      <c r="X1731" s="3"/>
      <c r="Y1731" s="3">
        <v>0</v>
      </c>
      <c r="Z1731" s="23"/>
      <c r="AA1731" s="23"/>
      <c r="AB1731" s="3" t="str">
        <f t="shared" si="13"/>
        <v>___</v>
      </c>
      <c r="AC1731" s="3" t="str">
        <f t="shared" si="12"/>
        <v>____</v>
      </c>
    </row>
    <row r="1732" spans="1:31" ht="14">
      <c r="A1732" s="23"/>
      <c r="B1732" s="23"/>
      <c r="C1732" s="23"/>
      <c r="D1732" s="23"/>
      <c r="E1732" s="23"/>
      <c r="F1732" s="23"/>
      <c r="G1732" s="23"/>
      <c r="H1732" s="22"/>
      <c r="I1732" s="23"/>
      <c r="J1732" s="23"/>
      <c r="K1732" s="23"/>
      <c r="L1732" s="32" t="s">
        <v>39</v>
      </c>
      <c r="M1732" s="33">
        <v>61</v>
      </c>
      <c r="N1732" s="33">
        <v>6</v>
      </c>
      <c r="O1732" s="33">
        <v>15</v>
      </c>
      <c r="P1732" s="32">
        <v>0</v>
      </c>
      <c r="Q1732" s="33">
        <v>1</v>
      </c>
      <c r="R1732" s="32">
        <v>0</v>
      </c>
      <c r="S1732" s="32"/>
      <c r="T1732" s="3">
        <v>8.7279999999999996E-2</v>
      </c>
      <c r="U1732" s="3">
        <v>6.9940000000000002E-2</v>
      </c>
      <c r="V1732" s="3">
        <v>0.14516999999999999</v>
      </c>
      <c r="W1732" s="3">
        <v>0</v>
      </c>
      <c r="X1732" s="3"/>
      <c r="Y1732" s="3">
        <v>0</v>
      </c>
      <c r="Z1732" s="23"/>
      <c r="AA1732" s="23"/>
      <c r="AB1732" s="3" t="str">
        <f t="shared" si="13"/>
        <v>___</v>
      </c>
      <c r="AC1732" s="3" t="str">
        <f t="shared" si="12"/>
        <v>____</v>
      </c>
    </row>
    <row r="1733" spans="1:31" ht="14">
      <c r="A1733" s="23"/>
      <c r="B1733" s="32">
        <v>238</v>
      </c>
      <c r="C1733" s="32">
        <v>46</v>
      </c>
      <c r="D1733" s="23"/>
      <c r="E1733" s="23"/>
      <c r="F1733" s="23"/>
      <c r="G1733" s="32" t="s">
        <v>35</v>
      </c>
      <c r="H1733" s="33">
        <v>3</v>
      </c>
      <c r="I1733" s="32">
        <v>23.3</v>
      </c>
      <c r="J1733" s="32">
        <v>21.2</v>
      </c>
      <c r="K1733" s="32">
        <v>5</v>
      </c>
      <c r="L1733" s="32" t="s">
        <v>36</v>
      </c>
      <c r="M1733" s="33">
        <v>34</v>
      </c>
      <c r="N1733" s="33">
        <v>11</v>
      </c>
      <c r="O1733" s="33">
        <v>12</v>
      </c>
      <c r="P1733" s="32">
        <v>0</v>
      </c>
      <c r="Q1733" s="33">
        <v>0</v>
      </c>
      <c r="R1733" s="32">
        <v>0</v>
      </c>
      <c r="S1733" s="32"/>
      <c r="T1733" s="3">
        <v>8.0579999999999999E-2</v>
      </c>
      <c r="U1733" s="3">
        <v>9.3100000000000006E-3</v>
      </c>
      <c r="V1733" s="3">
        <v>0</v>
      </c>
      <c r="W1733" s="3">
        <v>0</v>
      </c>
      <c r="X1733" s="3"/>
      <c r="Y1733" s="3">
        <v>0</v>
      </c>
      <c r="Z1733" s="23"/>
      <c r="AA1733" s="23"/>
      <c r="AB1733" s="3" t="str">
        <f t="shared" si="13"/>
        <v>238_46__vv</v>
      </c>
      <c r="AC1733" s="3" t="str">
        <f t="shared" si="12"/>
        <v>238_46__vv_3</v>
      </c>
      <c r="AE1733" s="3" t="s">
        <v>37</v>
      </c>
    </row>
    <row r="1734" spans="1:31" ht="14">
      <c r="A1734" s="23"/>
      <c r="B1734" s="23"/>
      <c r="C1734" s="23"/>
      <c r="D1734" s="23"/>
      <c r="E1734" s="23"/>
      <c r="F1734" s="23"/>
      <c r="G1734" s="23"/>
      <c r="H1734" s="22"/>
      <c r="I1734" s="23"/>
      <c r="J1734" s="23"/>
      <c r="K1734" s="23"/>
      <c r="L1734" s="32" t="s">
        <v>38</v>
      </c>
      <c r="M1734" s="33">
        <v>24</v>
      </c>
      <c r="N1734" s="33">
        <v>5</v>
      </c>
      <c r="O1734" s="33">
        <v>8</v>
      </c>
      <c r="P1734" s="32">
        <v>0</v>
      </c>
      <c r="Q1734" s="33">
        <v>0</v>
      </c>
      <c r="R1734" s="32">
        <v>0</v>
      </c>
      <c r="S1734" s="32"/>
      <c r="T1734" s="3">
        <v>6.2120000000000002E-2</v>
      </c>
      <c r="U1734" s="3">
        <v>1.8460000000000001E-2</v>
      </c>
      <c r="V1734" s="3">
        <v>0</v>
      </c>
      <c r="W1734" s="3">
        <v>0</v>
      </c>
      <c r="X1734" s="3"/>
      <c r="Y1734" s="3">
        <v>0</v>
      </c>
      <c r="Z1734" s="23"/>
      <c r="AA1734" s="23"/>
      <c r="AB1734" s="3" t="str">
        <f t="shared" si="13"/>
        <v>___</v>
      </c>
      <c r="AC1734" s="3" t="str">
        <f t="shared" si="12"/>
        <v>____</v>
      </c>
    </row>
    <row r="1735" spans="1:31" ht="14">
      <c r="A1735" s="23"/>
      <c r="B1735" s="23"/>
      <c r="C1735" s="23"/>
      <c r="D1735" s="23"/>
      <c r="E1735" s="23"/>
      <c r="F1735" s="23"/>
      <c r="G1735" s="23"/>
      <c r="H1735" s="22"/>
      <c r="I1735" s="23"/>
      <c r="J1735" s="23"/>
      <c r="K1735" s="23"/>
      <c r="L1735" s="32" t="s">
        <v>39</v>
      </c>
      <c r="M1735" s="33">
        <v>59</v>
      </c>
      <c r="N1735" s="33">
        <v>6</v>
      </c>
      <c r="O1735" s="33">
        <v>13</v>
      </c>
      <c r="P1735" s="32">
        <v>0</v>
      </c>
      <c r="Q1735" s="33">
        <v>0</v>
      </c>
      <c r="R1735" s="32">
        <v>0</v>
      </c>
      <c r="S1735" s="32"/>
      <c r="T1735" s="3">
        <v>0.16713</v>
      </c>
      <c r="U1735" s="3">
        <v>5.7349999999999998E-2</v>
      </c>
      <c r="V1735" s="3">
        <v>0</v>
      </c>
      <c r="W1735" s="3">
        <v>0</v>
      </c>
      <c r="X1735" s="3"/>
      <c r="Y1735" s="3">
        <v>0</v>
      </c>
      <c r="Z1735" s="23"/>
      <c r="AA1735" s="23"/>
      <c r="AB1735" s="3" t="str">
        <f t="shared" si="13"/>
        <v>___</v>
      </c>
      <c r="AC1735" s="3" t="str">
        <f t="shared" si="12"/>
        <v>____</v>
      </c>
    </row>
    <row r="1736" spans="1:31" ht="14">
      <c r="A1736" s="23"/>
      <c r="B1736" s="32">
        <v>238</v>
      </c>
      <c r="C1736" s="32">
        <v>46</v>
      </c>
      <c r="D1736" s="23"/>
      <c r="E1736" s="23"/>
      <c r="F1736" s="23"/>
      <c r="G1736" s="32" t="s">
        <v>40</v>
      </c>
      <c r="H1736" s="33">
        <v>1</v>
      </c>
      <c r="I1736" s="32">
        <v>31.6</v>
      </c>
      <c r="J1736" s="32">
        <v>34.200000000000003</v>
      </c>
      <c r="K1736" s="32">
        <v>6</v>
      </c>
      <c r="L1736" s="32" t="s">
        <v>36</v>
      </c>
      <c r="M1736" s="33">
        <v>56</v>
      </c>
      <c r="N1736" s="33">
        <v>9</v>
      </c>
      <c r="O1736" s="33">
        <v>9</v>
      </c>
      <c r="P1736" s="32">
        <v>0</v>
      </c>
      <c r="Q1736" s="33">
        <v>0</v>
      </c>
      <c r="R1736" s="32">
        <v>5</v>
      </c>
      <c r="S1736" s="32"/>
      <c r="T1736" s="3">
        <v>5.4019999999999999E-2</v>
      </c>
      <c r="U1736" s="3">
        <v>6.6650000000000001E-2</v>
      </c>
      <c r="V1736" s="3">
        <v>0</v>
      </c>
      <c r="W1736" s="3">
        <v>1.304E-2</v>
      </c>
      <c r="X1736" s="3"/>
      <c r="Y1736" s="3">
        <v>0</v>
      </c>
      <c r="Z1736" s="32" t="s">
        <v>233</v>
      </c>
      <c r="AA1736" s="23"/>
      <c r="AB1736" s="3" t="str">
        <f t="shared" si="13"/>
        <v>238_46__vm</v>
      </c>
      <c r="AC1736" s="3" t="str">
        <f t="shared" si="12"/>
        <v>238_46__vm_1</v>
      </c>
      <c r="AE1736" s="3" t="s">
        <v>37</v>
      </c>
    </row>
    <row r="1737" spans="1:31" ht="14">
      <c r="A1737" s="23"/>
      <c r="B1737" s="23"/>
      <c r="C1737" s="23"/>
      <c r="D1737" s="23"/>
      <c r="E1737" s="23"/>
      <c r="F1737" s="23"/>
      <c r="G1737" s="23"/>
      <c r="H1737" s="22"/>
      <c r="I1737" s="23"/>
      <c r="J1737" s="23"/>
      <c r="K1737" s="23"/>
      <c r="L1737" s="32" t="s">
        <v>38</v>
      </c>
      <c r="M1737" s="33">
        <v>87</v>
      </c>
      <c r="N1737" s="33">
        <v>0</v>
      </c>
      <c r="O1737" s="33">
        <v>9</v>
      </c>
      <c r="P1737" s="32">
        <v>0</v>
      </c>
      <c r="Q1737" s="33">
        <v>1</v>
      </c>
      <c r="R1737" s="32">
        <v>0</v>
      </c>
      <c r="S1737" s="32"/>
      <c r="T1737" s="3">
        <v>0</v>
      </c>
      <c r="U1737" s="3">
        <v>0.14854000000000001</v>
      </c>
      <c r="V1737" s="3">
        <v>8.9810000000000001E-2</v>
      </c>
      <c r="W1737" s="3">
        <v>0</v>
      </c>
      <c r="X1737" s="3"/>
      <c r="Y1737" s="3">
        <v>0</v>
      </c>
      <c r="Z1737" s="23"/>
      <c r="AA1737" s="23"/>
      <c r="AB1737" s="3" t="str">
        <f t="shared" si="13"/>
        <v>___</v>
      </c>
      <c r="AC1737" s="3" t="str">
        <f t="shared" si="12"/>
        <v>____</v>
      </c>
    </row>
    <row r="1738" spans="1:31" ht="14">
      <c r="A1738" s="23"/>
      <c r="B1738" s="23"/>
      <c r="C1738" s="23"/>
      <c r="D1738" s="23"/>
      <c r="E1738" s="23"/>
      <c r="F1738" s="23"/>
      <c r="G1738" s="23"/>
      <c r="H1738" s="22"/>
      <c r="I1738" s="23"/>
      <c r="J1738" s="23"/>
      <c r="K1738" s="23"/>
      <c r="L1738" s="32" t="s">
        <v>39</v>
      </c>
      <c r="M1738" s="33">
        <v>101</v>
      </c>
      <c r="N1738" s="33">
        <v>0</v>
      </c>
      <c r="O1738" s="33">
        <v>10</v>
      </c>
      <c r="P1738" s="32">
        <v>0</v>
      </c>
      <c r="Q1738" s="33">
        <v>3</v>
      </c>
      <c r="R1738" s="32">
        <v>0</v>
      </c>
      <c r="S1738" s="32"/>
      <c r="T1738" s="3">
        <v>0</v>
      </c>
      <c r="U1738" s="3">
        <v>0.22469</v>
      </c>
      <c r="V1738" s="3">
        <v>0.29770999999999997</v>
      </c>
      <c r="W1738" s="3">
        <v>0</v>
      </c>
      <c r="X1738" s="3"/>
      <c r="Y1738" s="3">
        <v>0</v>
      </c>
      <c r="Z1738" s="23"/>
      <c r="AA1738" s="23"/>
      <c r="AB1738" s="3" t="str">
        <f t="shared" si="13"/>
        <v>___</v>
      </c>
      <c r="AC1738" s="3" t="str">
        <f t="shared" si="12"/>
        <v>____</v>
      </c>
    </row>
    <row r="1739" spans="1:31" ht="14">
      <c r="A1739" s="23"/>
      <c r="B1739" s="32">
        <v>238</v>
      </c>
      <c r="C1739" s="32">
        <v>46</v>
      </c>
      <c r="D1739" s="23"/>
      <c r="E1739" s="23"/>
      <c r="F1739" s="23"/>
      <c r="G1739" s="32" t="s">
        <v>40</v>
      </c>
      <c r="H1739" s="33">
        <v>2</v>
      </c>
      <c r="I1739" s="32">
        <v>27.4</v>
      </c>
      <c r="J1739" s="32">
        <v>24.5</v>
      </c>
      <c r="K1739" s="32">
        <v>5</v>
      </c>
      <c r="L1739" s="32" t="s">
        <v>36</v>
      </c>
      <c r="M1739" s="33">
        <v>68</v>
      </c>
      <c r="N1739" s="33">
        <v>10</v>
      </c>
      <c r="O1739" s="33">
        <v>10</v>
      </c>
      <c r="P1739" s="32">
        <v>0</v>
      </c>
      <c r="Q1739" s="33">
        <v>0</v>
      </c>
      <c r="R1739" s="32">
        <v>0</v>
      </c>
      <c r="S1739" s="32"/>
      <c r="T1739" s="3">
        <v>9.4729999999999995E-2</v>
      </c>
      <c r="U1739" s="3">
        <v>5.4120000000000001E-2</v>
      </c>
      <c r="V1739" s="3">
        <v>0</v>
      </c>
      <c r="W1739" s="3">
        <v>1.491E-2</v>
      </c>
      <c r="X1739" s="3"/>
      <c r="Y1739" s="3">
        <v>0</v>
      </c>
      <c r="Z1739" s="35" t="s">
        <v>233</v>
      </c>
      <c r="AA1739" s="23"/>
      <c r="AB1739" s="3" t="str">
        <f t="shared" si="13"/>
        <v>238_46__vm</v>
      </c>
      <c r="AC1739" s="3" t="str">
        <f t="shared" si="12"/>
        <v>238_46__vm_2</v>
      </c>
      <c r="AE1739" s="3" t="s">
        <v>37</v>
      </c>
    </row>
    <row r="1740" spans="1:31" ht="14">
      <c r="A1740" s="23"/>
      <c r="B1740" s="23"/>
      <c r="C1740" s="23"/>
      <c r="D1740" s="23"/>
      <c r="E1740" s="23"/>
      <c r="F1740" s="23"/>
      <c r="G1740" s="23"/>
      <c r="H1740" s="22"/>
      <c r="I1740" s="23"/>
      <c r="J1740" s="23"/>
      <c r="K1740" s="23"/>
      <c r="L1740" s="32" t="s">
        <v>38</v>
      </c>
      <c r="M1740" s="33">
        <v>92</v>
      </c>
      <c r="N1740" s="33">
        <v>0</v>
      </c>
      <c r="O1740" s="33">
        <v>12</v>
      </c>
      <c r="P1740" s="32">
        <v>0</v>
      </c>
      <c r="Q1740" s="33">
        <v>1</v>
      </c>
      <c r="R1740" s="32">
        <v>0</v>
      </c>
      <c r="S1740" s="32"/>
      <c r="T1740" s="3">
        <v>0</v>
      </c>
      <c r="U1740" s="3">
        <v>9.2619999999999994E-2</v>
      </c>
      <c r="V1740" s="3">
        <v>4.2549999999999998E-2</v>
      </c>
      <c r="W1740" s="3">
        <v>0</v>
      </c>
      <c r="X1740" s="3"/>
      <c r="Y1740" s="3">
        <v>0</v>
      </c>
      <c r="Z1740" s="23"/>
      <c r="AA1740" s="23"/>
      <c r="AB1740" s="3" t="str">
        <f t="shared" si="13"/>
        <v>___</v>
      </c>
      <c r="AC1740" s="3" t="str">
        <f t="shared" si="12"/>
        <v>____</v>
      </c>
    </row>
    <row r="1741" spans="1:31" ht="14">
      <c r="A1741" s="23"/>
      <c r="B1741" s="23"/>
      <c r="C1741" s="23"/>
      <c r="D1741" s="23"/>
      <c r="E1741" s="23"/>
      <c r="F1741" s="23"/>
      <c r="G1741" s="23"/>
      <c r="H1741" s="22"/>
      <c r="I1741" s="23"/>
      <c r="J1741" s="23"/>
      <c r="K1741" s="23"/>
      <c r="L1741" s="32" t="s">
        <v>39</v>
      </c>
      <c r="M1741" s="33">
        <v>61</v>
      </c>
      <c r="N1741" s="33">
        <v>0</v>
      </c>
      <c r="O1741" s="33">
        <v>10</v>
      </c>
      <c r="P1741" s="32">
        <v>0</v>
      </c>
      <c r="Q1741" s="33">
        <v>2</v>
      </c>
      <c r="R1741" s="32">
        <v>0</v>
      </c>
      <c r="S1741" s="32"/>
      <c r="T1741" s="3">
        <v>0</v>
      </c>
      <c r="U1741" s="3">
        <v>0.10854</v>
      </c>
      <c r="V1741" s="3">
        <v>0.37298999999999999</v>
      </c>
      <c r="W1741" s="3">
        <v>0</v>
      </c>
      <c r="X1741" s="3"/>
      <c r="Y1741" s="3">
        <v>0</v>
      </c>
      <c r="Z1741" s="23"/>
      <c r="AA1741" s="23"/>
      <c r="AB1741" s="3" t="str">
        <f t="shared" si="13"/>
        <v>___</v>
      </c>
      <c r="AC1741" s="3" t="str">
        <f t="shared" si="12"/>
        <v>____</v>
      </c>
    </row>
    <row r="1742" spans="1:31" ht="14">
      <c r="A1742" s="23"/>
      <c r="B1742" s="32">
        <v>238</v>
      </c>
      <c r="C1742" s="32">
        <v>46</v>
      </c>
      <c r="D1742" s="23"/>
      <c r="E1742" s="23"/>
      <c r="F1742" s="23"/>
      <c r="G1742" s="32" t="s">
        <v>40</v>
      </c>
      <c r="H1742" s="33">
        <v>3</v>
      </c>
      <c r="I1742" s="32">
        <v>24</v>
      </c>
      <c r="J1742" s="32">
        <v>29.2</v>
      </c>
      <c r="K1742" s="32">
        <v>7</v>
      </c>
      <c r="L1742" s="32" t="s">
        <v>36</v>
      </c>
      <c r="M1742" s="33">
        <v>21</v>
      </c>
      <c r="N1742" s="33">
        <v>6</v>
      </c>
      <c r="O1742" s="33">
        <v>6</v>
      </c>
      <c r="P1742" s="32">
        <v>0</v>
      </c>
      <c r="Q1742" s="33">
        <v>0</v>
      </c>
      <c r="R1742" s="32">
        <v>0</v>
      </c>
      <c r="S1742" s="32"/>
      <c r="T1742" s="3">
        <v>1.5440000000000001E-2</v>
      </c>
      <c r="U1742" s="3">
        <v>5.8100000000000001E-3</v>
      </c>
      <c r="V1742" s="3">
        <v>0</v>
      </c>
      <c r="W1742" s="3">
        <v>0</v>
      </c>
      <c r="X1742" s="3"/>
      <c r="Y1742" s="3">
        <v>0</v>
      </c>
      <c r="Z1742" s="23"/>
      <c r="AA1742" s="23"/>
      <c r="AB1742" s="3" t="str">
        <f t="shared" si="13"/>
        <v>238_46__vm</v>
      </c>
      <c r="AC1742" s="3" t="str">
        <f t="shared" si="12"/>
        <v>238_46__vm_3</v>
      </c>
      <c r="AE1742" s="3" t="s">
        <v>37</v>
      </c>
    </row>
    <row r="1743" spans="1:31" ht="14">
      <c r="A1743" s="23"/>
      <c r="B1743" s="23"/>
      <c r="C1743" s="23"/>
      <c r="D1743" s="23"/>
      <c r="E1743" s="23"/>
      <c r="F1743" s="23"/>
      <c r="G1743" s="23"/>
      <c r="H1743" s="22"/>
      <c r="I1743" s="23"/>
      <c r="J1743" s="23"/>
      <c r="K1743" s="23"/>
      <c r="L1743" s="32" t="s">
        <v>38</v>
      </c>
      <c r="M1743" s="33">
        <v>17</v>
      </c>
      <c r="N1743" s="33">
        <v>0</v>
      </c>
      <c r="O1743" s="33">
        <v>6</v>
      </c>
      <c r="P1743" s="32">
        <v>0</v>
      </c>
      <c r="Q1743" s="33">
        <v>1</v>
      </c>
      <c r="R1743" s="32">
        <v>0</v>
      </c>
      <c r="S1743" s="32"/>
      <c r="T1743" s="3">
        <v>0</v>
      </c>
      <c r="U1743" s="3">
        <v>6.1199999999999996E-3</v>
      </c>
      <c r="V1743" s="3">
        <v>1.387E-2</v>
      </c>
      <c r="W1743" s="3">
        <v>0</v>
      </c>
      <c r="X1743" s="3"/>
      <c r="Y1743" s="3">
        <v>0</v>
      </c>
      <c r="Z1743" s="23"/>
      <c r="AA1743" s="23"/>
      <c r="AB1743" s="3" t="str">
        <f t="shared" si="13"/>
        <v>___</v>
      </c>
      <c r="AC1743" s="3" t="str">
        <f t="shared" si="12"/>
        <v>____</v>
      </c>
    </row>
    <row r="1744" spans="1:31" ht="14">
      <c r="A1744" s="23"/>
      <c r="B1744" s="23"/>
      <c r="C1744" s="23"/>
      <c r="D1744" s="23"/>
      <c r="E1744" s="23"/>
      <c r="F1744" s="23"/>
      <c r="G1744" s="23"/>
      <c r="H1744" s="22"/>
      <c r="I1744" s="23"/>
      <c r="J1744" s="23"/>
      <c r="K1744" s="23"/>
      <c r="L1744" s="32" t="s">
        <v>39</v>
      </c>
      <c r="M1744" s="33">
        <v>46</v>
      </c>
      <c r="N1744" s="33">
        <v>0</v>
      </c>
      <c r="O1744" s="33">
        <v>7</v>
      </c>
      <c r="P1744" s="32">
        <v>0</v>
      </c>
      <c r="Q1744" s="33">
        <v>2</v>
      </c>
      <c r="R1744" s="32">
        <v>0</v>
      </c>
      <c r="S1744" s="32"/>
      <c r="T1744" s="3">
        <v>0</v>
      </c>
      <c r="U1744" s="3">
        <v>3.3090000000000001E-2</v>
      </c>
      <c r="V1744" s="3">
        <v>1.3469999999999999E-2</v>
      </c>
      <c r="W1744" s="3">
        <v>0</v>
      </c>
      <c r="X1744" s="3"/>
      <c r="Y1744" s="3">
        <v>0</v>
      </c>
      <c r="Z1744" s="23"/>
      <c r="AA1744" s="23"/>
      <c r="AB1744" s="3" t="str">
        <f t="shared" si="13"/>
        <v>___</v>
      </c>
      <c r="AC1744" s="3" t="str">
        <f t="shared" si="12"/>
        <v>____</v>
      </c>
    </row>
    <row r="1745" spans="1:31" ht="14">
      <c r="A1745" s="23"/>
      <c r="B1745" s="32">
        <v>82</v>
      </c>
      <c r="C1745" s="32">
        <v>44</v>
      </c>
      <c r="D1745" s="23"/>
      <c r="E1745" s="23"/>
      <c r="F1745" s="23"/>
      <c r="G1745" s="32" t="s">
        <v>40</v>
      </c>
      <c r="H1745" s="33">
        <v>1</v>
      </c>
      <c r="I1745" s="32">
        <v>12.6</v>
      </c>
      <c r="J1745" s="32">
        <v>17.899999999999999</v>
      </c>
      <c r="K1745" s="32">
        <v>6</v>
      </c>
      <c r="L1745" s="32" t="s">
        <v>36</v>
      </c>
      <c r="M1745" s="33">
        <v>15</v>
      </c>
      <c r="N1745" s="33">
        <v>5</v>
      </c>
      <c r="O1745" s="33">
        <v>5</v>
      </c>
      <c r="P1745" s="32">
        <v>0</v>
      </c>
      <c r="Q1745" s="33">
        <v>0</v>
      </c>
      <c r="R1745" s="32">
        <v>0</v>
      </c>
      <c r="S1745" s="32"/>
      <c r="T1745" s="3">
        <v>1.225E-2</v>
      </c>
      <c r="U1745" s="3">
        <v>2.8800000000000002E-3</v>
      </c>
      <c r="V1745" s="3">
        <v>0</v>
      </c>
      <c r="W1745" s="3">
        <v>0</v>
      </c>
      <c r="X1745" s="3"/>
      <c r="Y1745" s="3">
        <v>0</v>
      </c>
      <c r="Z1745" s="32" t="s">
        <v>234</v>
      </c>
      <c r="AA1745" s="23"/>
      <c r="AB1745" s="3" t="str">
        <f t="shared" si="13"/>
        <v>82_44__vm</v>
      </c>
      <c r="AC1745" s="3" t="str">
        <f t="shared" si="12"/>
        <v>82_44__vm_1</v>
      </c>
      <c r="AE1745" s="3" t="s">
        <v>37</v>
      </c>
    </row>
    <row r="1746" spans="1:31" ht="14">
      <c r="A1746" s="23"/>
      <c r="B1746" s="23"/>
      <c r="C1746" s="23"/>
      <c r="D1746" s="23"/>
      <c r="E1746" s="23"/>
      <c r="F1746" s="23"/>
      <c r="G1746" s="23"/>
      <c r="H1746" s="22"/>
      <c r="I1746" s="23"/>
      <c r="J1746" s="23"/>
      <c r="K1746" s="23"/>
      <c r="L1746" s="32" t="s">
        <v>38</v>
      </c>
      <c r="M1746" s="33">
        <v>18</v>
      </c>
      <c r="N1746" s="33">
        <v>2</v>
      </c>
      <c r="O1746" s="33">
        <v>4</v>
      </c>
      <c r="P1746" s="32">
        <v>0</v>
      </c>
      <c r="Q1746" s="33">
        <v>1</v>
      </c>
      <c r="R1746" s="32">
        <v>0</v>
      </c>
      <c r="S1746" s="32"/>
      <c r="T1746" s="3">
        <v>5.0499999999999998E-3</v>
      </c>
      <c r="U1746" s="3">
        <v>6.5399999999999998E-3</v>
      </c>
      <c r="V1746" s="3" t="s">
        <v>177</v>
      </c>
      <c r="W1746" s="3">
        <v>0</v>
      </c>
      <c r="X1746" s="3"/>
      <c r="Y1746" s="3">
        <v>0</v>
      </c>
      <c r="Z1746" s="32" t="s">
        <v>235</v>
      </c>
      <c r="AA1746" s="23"/>
      <c r="AB1746" s="3" t="str">
        <f t="shared" si="13"/>
        <v>___</v>
      </c>
      <c r="AC1746" s="3" t="str">
        <f t="shared" si="12"/>
        <v>____</v>
      </c>
    </row>
    <row r="1747" spans="1:31" ht="14">
      <c r="A1747" s="23"/>
      <c r="B1747" s="23"/>
      <c r="C1747" s="23"/>
      <c r="D1747" s="23"/>
      <c r="E1747" s="23"/>
      <c r="F1747" s="23"/>
      <c r="G1747" s="23"/>
      <c r="H1747" s="22"/>
      <c r="I1747" s="23"/>
      <c r="J1747" s="23"/>
      <c r="K1747" s="23"/>
      <c r="L1747" s="32" t="s">
        <v>36</v>
      </c>
      <c r="M1747" s="22"/>
      <c r="N1747" s="22"/>
      <c r="O1747" s="22"/>
      <c r="P1747" s="23"/>
      <c r="Q1747" s="22"/>
      <c r="R1747" s="23"/>
      <c r="S1747" s="23"/>
      <c r="V1747" s="3">
        <v>4.5700000000000003E-3</v>
      </c>
      <c r="W1747" s="3">
        <v>0</v>
      </c>
      <c r="X1747" s="3"/>
      <c r="Y1747" s="3">
        <v>0</v>
      </c>
      <c r="Z1747" s="32" t="s">
        <v>236</v>
      </c>
      <c r="AA1747" s="23"/>
      <c r="AB1747" s="3" t="str">
        <f t="shared" si="13"/>
        <v>___</v>
      </c>
      <c r="AC1747" s="3" t="str">
        <f t="shared" si="12"/>
        <v>____</v>
      </c>
    </row>
    <row r="1748" spans="1:31" ht="14">
      <c r="A1748" s="23"/>
      <c r="B1748" s="23"/>
      <c r="C1748" s="23"/>
      <c r="D1748" s="23"/>
      <c r="E1748" s="23"/>
      <c r="F1748" s="23"/>
      <c r="G1748" s="23"/>
      <c r="H1748" s="22"/>
      <c r="I1748" s="23"/>
      <c r="J1748" s="23"/>
      <c r="K1748" s="23"/>
      <c r="L1748" s="32" t="s">
        <v>36</v>
      </c>
      <c r="M1748" s="33">
        <v>33</v>
      </c>
      <c r="N1748" s="33">
        <v>0</v>
      </c>
      <c r="O1748" s="33">
        <v>9</v>
      </c>
      <c r="P1748" s="32">
        <v>0</v>
      </c>
      <c r="Q1748" s="33">
        <v>2</v>
      </c>
      <c r="R1748" s="32">
        <v>0</v>
      </c>
      <c r="S1748" s="32"/>
      <c r="T1748" s="3">
        <v>0</v>
      </c>
      <c r="U1748" s="3">
        <v>2.0480000000000002E-2</v>
      </c>
      <c r="V1748" s="3">
        <v>3.4680000000000002E-2</v>
      </c>
      <c r="W1748" s="3">
        <v>0</v>
      </c>
      <c r="X1748" s="3"/>
      <c r="Y1748" s="3">
        <v>0</v>
      </c>
      <c r="Z1748" s="32" t="s">
        <v>237</v>
      </c>
      <c r="AA1748" s="23"/>
      <c r="AB1748" s="3" t="str">
        <f t="shared" si="13"/>
        <v>___</v>
      </c>
      <c r="AC1748" s="3" t="str">
        <f t="shared" si="12"/>
        <v>____</v>
      </c>
    </row>
    <row r="1749" spans="1:31" ht="14">
      <c r="A1749" s="23"/>
      <c r="B1749" s="32">
        <v>82</v>
      </c>
      <c r="C1749" s="32">
        <v>44</v>
      </c>
      <c r="D1749" s="23"/>
      <c r="E1749" s="23"/>
      <c r="F1749" s="23"/>
      <c r="G1749" s="32" t="s">
        <v>40</v>
      </c>
      <c r="H1749" s="33">
        <v>2</v>
      </c>
      <c r="I1749" s="32">
        <v>11</v>
      </c>
      <c r="J1749" s="32">
        <v>12.2</v>
      </c>
      <c r="K1749" s="32">
        <v>5</v>
      </c>
      <c r="L1749" s="32" t="s">
        <v>36</v>
      </c>
      <c r="M1749" s="33">
        <v>16</v>
      </c>
      <c r="N1749" s="33">
        <v>5</v>
      </c>
      <c r="O1749" s="33">
        <v>5</v>
      </c>
      <c r="P1749" s="32">
        <v>0</v>
      </c>
      <c r="Q1749" s="33">
        <v>0</v>
      </c>
      <c r="R1749" s="32">
        <v>0</v>
      </c>
      <c r="S1749" s="32"/>
      <c r="T1749" s="3">
        <v>1.6160000000000001E-2</v>
      </c>
      <c r="U1749" s="3">
        <v>3.7399999999999998E-3</v>
      </c>
      <c r="V1749" s="3">
        <v>0</v>
      </c>
      <c r="W1749" s="3">
        <v>0</v>
      </c>
      <c r="X1749" s="3"/>
      <c r="Y1749" s="3">
        <v>0</v>
      </c>
      <c r="Z1749" s="23"/>
      <c r="AA1749" s="23"/>
      <c r="AB1749" s="3" t="str">
        <f t="shared" si="13"/>
        <v>82_44__vm</v>
      </c>
      <c r="AC1749" s="3" t="str">
        <f t="shared" si="12"/>
        <v>82_44__vm_2</v>
      </c>
      <c r="AE1749" s="3" t="s">
        <v>37</v>
      </c>
    </row>
    <row r="1750" spans="1:31" ht="14">
      <c r="A1750" s="23"/>
      <c r="B1750" s="23"/>
      <c r="C1750" s="23"/>
      <c r="D1750" s="23"/>
      <c r="E1750" s="23"/>
      <c r="F1750" s="23"/>
      <c r="G1750" s="23"/>
      <c r="H1750" s="22"/>
      <c r="I1750" s="23"/>
      <c r="J1750" s="23"/>
      <c r="K1750" s="23"/>
      <c r="L1750" s="32" t="s">
        <v>38</v>
      </c>
      <c r="M1750" s="33">
        <v>17</v>
      </c>
      <c r="N1750" s="33">
        <v>0</v>
      </c>
      <c r="O1750" s="33">
        <v>5</v>
      </c>
      <c r="P1750" s="32">
        <v>0</v>
      </c>
      <c r="Q1750" s="33">
        <v>1</v>
      </c>
      <c r="R1750" s="32">
        <v>0</v>
      </c>
      <c r="S1750" s="32"/>
      <c r="T1750" s="3">
        <v>0</v>
      </c>
      <c r="U1750" s="3">
        <v>6.94E-3</v>
      </c>
      <c r="V1750" s="3">
        <v>1.218E-2</v>
      </c>
      <c r="W1750" s="3">
        <v>0</v>
      </c>
      <c r="X1750" s="3"/>
      <c r="Y1750" s="3">
        <v>0</v>
      </c>
      <c r="Z1750" s="23"/>
      <c r="AA1750" s="23"/>
      <c r="AB1750" s="3" t="str">
        <f t="shared" si="13"/>
        <v>___</v>
      </c>
      <c r="AC1750" s="3" t="str">
        <f t="shared" si="12"/>
        <v>____</v>
      </c>
    </row>
    <row r="1751" spans="1:31" ht="14">
      <c r="A1751" s="23"/>
      <c r="B1751" s="23"/>
      <c r="C1751" s="23"/>
      <c r="D1751" s="23"/>
      <c r="E1751" s="23"/>
      <c r="F1751" s="23"/>
      <c r="G1751" s="23"/>
      <c r="H1751" s="22"/>
      <c r="I1751" s="23"/>
      <c r="J1751" s="23"/>
      <c r="K1751" s="23"/>
      <c r="L1751" s="32" t="s">
        <v>39</v>
      </c>
      <c r="M1751" s="33">
        <v>29</v>
      </c>
      <c r="N1751" s="33">
        <v>0</v>
      </c>
      <c r="O1751" s="33">
        <v>6</v>
      </c>
      <c r="P1751" s="32">
        <v>0</v>
      </c>
      <c r="Q1751" s="33">
        <v>1</v>
      </c>
      <c r="R1751" s="32">
        <v>0</v>
      </c>
      <c r="S1751" s="32"/>
      <c r="T1751" s="3">
        <v>0</v>
      </c>
      <c r="U1751" s="3">
        <v>1.8270000000000002E-2</v>
      </c>
      <c r="V1751" s="3">
        <v>3.5700000000000003E-2</v>
      </c>
      <c r="W1751" s="3">
        <v>0</v>
      </c>
      <c r="X1751" s="3"/>
      <c r="Y1751" s="3">
        <v>0</v>
      </c>
      <c r="Z1751" s="23"/>
      <c r="AA1751" s="23"/>
      <c r="AB1751" s="3" t="str">
        <f t="shared" si="13"/>
        <v>___</v>
      </c>
      <c r="AC1751" s="3" t="str">
        <f t="shared" si="12"/>
        <v>____</v>
      </c>
    </row>
    <row r="1752" spans="1:31" ht="14">
      <c r="A1752" s="23"/>
      <c r="B1752" s="32">
        <v>82</v>
      </c>
      <c r="C1752" s="32">
        <v>44</v>
      </c>
      <c r="D1752" s="23"/>
      <c r="E1752" s="23"/>
      <c r="F1752" s="23"/>
      <c r="G1752" s="32" t="s">
        <v>40</v>
      </c>
      <c r="H1752" s="33">
        <v>3</v>
      </c>
      <c r="I1752" s="32">
        <v>13.7</v>
      </c>
      <c r="J1752" s="32">
        <v>12.3</v>
      </c>
      <c r="K1752" s="32">
        <v>4</v>
      </c>
      <c r="L1752" s="32" t="s">
        <v>36</v>
      </c>
      <c r="M1752" s="33">
        <v>26</v>
      </c>
      <c r="N1752" s="33">
        <v>6</v>
      </c>
      <c r="O1752" s="33">
        <v>0</v>
      </c>
      <c r="P1752" s="32">
        <v>0</v>
      </c>
      <c r="Q1752" s="33">
        <v>0</v>
      </c>
      <c r="R1752" s="32">
        <v>0</v>
      </c>
      <c r="S1752" s="32"/>
      <c r="T1752" s="3">
        <v>1.805E-2</v>
      </c>
      <c r="U1752" s="3">
        <v>6.4799999999999996E-3</v>
      </c>
      <c r="V1752" s="3">
        <v>0</v>
      </c>
      <c r="W1752" s="3">
        <v>0</v>
      </c>
      <c r="X1752" s="3"/>
      <c r="Y1752" s="3">
        <v>0</v>
      </c>
      <c r="Z1752" s="23"/>
      <c r="AA1752" s="23"/>
      <c r="AB1752" s="3" t="str">
        <f t="shared" si="13"/>
        <v>82_44__vm</v>
      </c>
      <c r="AC1752" s="3" t="str">
        <f t="shared" si="12"/>
        <v>82_44__vm_3</v>
      </c>
      <c r="AE1752" s="3" t="s">
        <v>37</v>
      </c>
    </row>
    <row r="1753" spans="1:31" ht="14">
      <c r="A1753" s="23"/>
      <c r="B1753" s="23"/>
      <c r="C1753" s="23"/>
      <c r="D1753" s="23"/>
      <c r="E1753" s="23"/>
      <c r="F1753" s="23"/>
      <c r="G1753" s="23"/>
      <c r="H1753" s="22"/>
      <c r="I1753" s="23"/>
      <c r="J1753" s="23"/>
      <c r="K1753" s="23"/>
      <c r="L1753" s="32" t="s">
        <v>38</v>
      </c>
      <c r="M1753" s="33">
        <v>54</v>
      </c>
      <c r="N1753" s="33">
        <v>0</v>
      </c>
      <c r="O1753" s="33">
        <v>8</v>
      </c>
      <c r="P1753" s="32">
        <v>0</v>
      </c>
      <c r="Q1753" s="33">
        <v>2</v>
      </c>
      <c r="R1753" s="32">
        <v>0</v>
      </c>
      <c r="S1753" s="32"/>
      <c r="T1753" s="3">
        <v>0</v>
      </c>
      <c r="U1753" s="3">
        <v>3.4610000000000002E-2</v>
      </c>
      <c r="V1753" s="3">
        <v>3.3820000000000003E-2</v>
      </c>
      <c r="W1753" s="3">
        <v>0</v>
      </c>
      <c r="X1753" s="3"/>
      <c r="Y1753" s="3">
        <v>0</v>
      </c>
      <c r="Z1753" s="23"/>
      <c r="AA1753" s="23"/>
      <c r="AB1753" s="3" t="str">
        <f t="shared" si="13"/>
        <v>___</v>
      </c>
      <c r="AC1753" s="3" t="str">
        <f t="shared" si="12"/>
        <v>____</v>
      </c>
    </row>
    <row r="1754" spans="1:31" ht="14">
      <c r="A1754" s="23"/>
      <c r="B1754" s="23"/>
      <c r="C1754" s="23"/>
      <c r="D1754" s="23"/>
      <c r="E1754" s="23"/>
      <c r="F1754" s="23"/>
      <c r="G1754" s="23"/>
      <c r="H1754" s="22"/>
      <c r="I1754" s="23"/>
      <c r="J1754" s="23"/>
      <c r="K1754" s="23"/>
      <c r="L1754" s="32" t="s">
        <v>39</v>
      </c>
      <c r="M1754" s="33">
        <v>25</v>
      </c>
      <c r="N1754" s="33">
        <v>0</v>
      </c>
      <c r="O1754" s="33">
        <v>7</v>
      </c>
      <c r="P1754" s="32">
        <v>0</v>
      </c>
      <c r="Q1754" s="33">
        <v>0</v>
      </c>
      <c r="R1754" s="32">
        <v>0</v>
      </c>
      <c r="S1754" s="32"/>
      <c r="T1754" s="3">
        <v>0</v>
      </c>
      <c r="U1754" s="3">
        <v>1.907E-2</v>
      </c>
      <c r="V1754" s="3">
        <v>0</v>
      </c>
      <c r="W1754" s="3">
        <v>0</v>
      </c>
      <c r="X1754" s="3"/>
      <c r="Y1754" s="3">
        <v>0</v>
      </c>
      <c r="Z1754" s="23"/>
      <c r="AA1754" s="23"/>
      <c r="AB1754" s="3" t="str">
        <f t="shared" si="13"/>
        <v>___</v>
      </c>
      <c r="AC1754" s="3" t="str">
        <f t="shared" si="12"/>
        <v>____</v>
      </c>
    </row>
    <row r="1755" spans="1:31" ht="14">
      <c r="A1755" s="23"/>
      <c r="B1755" s="32">
        <v>82</v>
      </c>
      <c r="C1755" s="32">
        <v>44</v>
      </c>
      <c r="D1755" s="23"/>
      <c r="E1755" s="23"/>
      <c r="F1755" s="23"/>
      <c r="G1755" s="32" t="s">
        <v>35</v>
      </c>
      <c r="H1755" s="33">
        <v>1</v>
      </c>
      <c r="I1755" s="32">
        <v>9.8000000000000007</v>
      </c>
      <c r="J1755" s="32">
        <v>11.3</v>
      </c>
      <c r="K1755" s="32">
        <v>4</v>
      </c>
      <c r="L1755" s="32" t="s">
        <v>36</v>
      </c>
      <c r="M1755" s="33" t="s">
        <v>238</v>
      </c>
      <c r="N1755" s="33">
        <v>11</v>
      </c>
      <c r="O1755" s="33">
        <v>13</v>
      </c>
      <c r="P1755" s="32">
        <v>0</v>
      </c>
      <c r="Q1755" s="33">
        <v>0</v>
      </c>
      <c r="R1755" s="32">
        <v>0</v>
      </c>
      <c r="S1755" s="32"/>
      <c r="T1755" s="3">
        <v>6.5439999999999998E-2</v>
      </c>
      <c r="U1755" s="3">
        <v>8.0300000000000007E-3</v>
      </c>
      <c r="V1755" s="3">
        <v>0</v>
      </c>
      <c r="W1755" s="3">
        <v>0</v>
      </c>
      <c r="X1755" s="3"/>
      <c r="Y1755" s="3">
        <v>0</v>
      </c>
      <c r="Z1755" s="32" t="s">
        <v>239</v>
      </c>
      <c r="AA1755" s="23"/>
      <c r="AB1755" s="3" t="str">
        <f t="shared" si="13"/>
        <v>82_44__vv</v>
      </c>
      <c r="AC1755" s="3" t="str">
        <f t="shared" si="12"/>
        <v>82_44__vv_1</v>
      </c>
      <c r="AE1755" s="3" t="s">
        <v>37</v>
      </c>
    </row>
    <row r="1756" spans="1:31" ht="14">
      <c r="A1756" s="23"/>
      <c r="B1756" s="23"/>
      <c r="C1756" s="23"/>
      <c r="D1756" s="23"/>
      <c r="E1756" s="23"/>
      <c r="F1756" s="23"/>
      <c r="G1756" s="23"/>
      <c r="H1756" s="22"/>
      <c r="I1756" s="23"/>
      <c r="J1756" s="23"/>
      <c r="K1756" s="23"/>
      <c r="L1756" s="32" t="s">
        <v>38</v>
      </c>
      <c r="M1756" s="33">
        <v>24</v>
      </c>
      <c r="N1756" s="33">
        <v>8</v>
      </c>
      <c r="O1756" s="33">
        <v>13</v>
      </c>
      <c r="P1756" s="32">
        <v>0</v>
      </c>
      <c r="Q1756" s="33">
        <v>0</v>
      </c>
      <c r="R1756" s="32">
        <v>0</v>
      </c>
      <c r="S1756" s="32"/>
      <c r="T1756" s="3">
        <v>8.6599999999999996E-2</v>
      </c>
      <c r="U1756" s="3">
        <v>1.2330000000000001E-2</v>
      </c>
      <c r="V1756" s="3">
        <v>0</v>
      </c>
      <c r="W1756" s="3">
        <v>0</v>
      </c>
      <c r="X1756" s="3"/>
      <c r="Y1756" s="3">
        <v>0</v>
      </c>
      <c r="Z1756" s="23"/>
      <c r="AA1756" s="23"/>
      <c r="AB1756" s="3" t="str">
        <f t="shared" si="13"/>
        <v>___</v>
      </c>
      <c r="AC1756" s="3" t="str">
        <f t="shared" si="12"/>
        <v>____</v>
      </c>
    </row>
    <row r="1757" spans="1:31" ht="14">
      <c r="A1757" s="23"/>
      <c r="B1757" s="23"/>
      <c r="C1757" s="23"/>
      <c r="D1757" s="23"/>
      <c r="E1757" s="23"/>
      <c r="F1757" s="23"/>
      <c r="G1757" s="23"/>
      <c r="H1757" s="22"/>
      <c r="I1757" s="23"/>
      <c r="J1757" s="23"/>
      <c r="K1757" s="23"/>
      <c r="L1757" s="32" t="s">
        <v>39</v>
      </c>
      <c r="M1757" s="33">
        <v>23</v>
      </c>
      <c r="N1757" s="33">
        <v>0</v>
      </c>
      <c r="O1757" s="33">
        <v>12</v>
      </c>
      <c r="P1757" s="32">
        <v>0</v>
      </c>
      <c r="Q1757" s="33">
        <v>0</v>
      </c>
      <c r="R1757" s="32">
        <v>0</v>
      </c>
      <c r="S1757" s="32"/>
      <c r="T1757" s="3">
        <v>0</v>
      </c>
      <c r="U1757" s="3">
        <v>1.3440000000000001E-2</v>
      </c>
      <c r="V1757" s="3">
        <v>0</v>
      </c>
      <c r="W1757" s="3">
        <v>0</v>
      </c>
      <c r="X1757" s="3"/>
      <c r="Y1757" s="3">
        <v>0</v>
      </c>
      <c r="Z1757" s="23"/>
      <c r="AA1757" s="23"/>
      <c r="AB1757" s="3" t="str">
        <f t="shared" si="13"/>
        <v>___</v>
      </c>
      <c r="AC1757" s="3" t="str">
        <f t="shared" si="12"/>
        <v>____</v>
      </c>
    </row>
    <row r="1758" spans="1:31" ht="14">
      <c r="A1758" s="23"/>
      <c r="B1758" s="32">
        <v>82</v>
      </c>
      <c r="C1758" s="32">
        <v>44</v>
      </c>
      <c r="D1758" s="23"/>
      <c r="E1758" s="23"/>
      <c r="F1758" s="23"/>
      <c r="G1758" s="32" t="s">
        <v>35</v>
      </c>
      <c r="H1758" s="33">
        <v>2</v>
      </c>
      <c r="I1758" s="32">
        <v>15</v>
      </c>
      <c r="J1758" s="32">
        <v>18.2</v>
      </c>
      <c r="K1758" s="32">
        <v>8</v>
      </c>
      <c r="L1758" s="32" t="s">
        <v>36</v>
      </c>
      <c r="M1758" s="33">
        <v>14</v>
      </c>
      <c r="N1758" s="33">
        <v>7</v>
      </c>
      <c r="O1758" s="33">
        <v>7</v>
      </c>
      <c r="P1758" s="32">
        <v>0</v>
      </c>
      <c r="Q1758" s="33">
        <v>0</v>
      </c>
      <c r="R1758" s="32">
        <v>0</v>
      </c>
      <c r="S1758" s="32"/>
      <c r="T1758" s="3">
        <v>4.1309999999999999E-2</v>
      </c>
      <c r="U1758" s="3">
        <v>2.82E-3</v>
      </c>
      <c r="V1758" s="3">
        <v>0</v>
      </c>
      <c r="W1758" s="3">
        <v>0</v>
      </c>
      <c r="X1758" s="3"/>
      <c r="Y1758" s="3">
        <v>0</v>
      </c>
      <c r="Z1758" s="32" t="s">
        <v>240</v>
      </c>
      <c r="AA1758" s="23"/>
      <c r="AB1758" s="3" t="str">
        <f t="shared" si="13"/>
        <v>82_44__vv</v>
      </c>
      <c r="AC1758" s="3" t="str">
        <f t="shared" si="12"/>
        <v>82_44__vv_2</v>
      </c>
      <c r="AE1758" s="3" t="s">
        <v>37</v>
      </c>
    </row>
    <row r="1759" spans="1:31" ht="14">
      <c r="A1759" s="23"/>
      <c r="B1759" s="23"/>
      <c r="C1759" s="23"/>
      <c r="D1759" s="23"/>
      <c r="E1759" s="23"/>
      <c r="F1759" s="23"/>
      <c r="G1759" s="23"/>
      <c r="H1759" s="22"/>
      <c r="I1759" s="23"/>
      <c r="J1759" s="23"/>
      <c r="K1759" s="23"/>
      <c r="L1759" s="32" t="s">
        <v>38</v>
      </c>
      <c r="M1759" s="33">
        <v>16</v>
      </c>
      <c r="N1759" s="33">
        <v>9</v>
      </c>
      <c r="O1759" s="33">
        <v>11</v>
      </c>
      <c r="P1759" s="32">
        <v>0</v>
      </c>
      <c r="Q1759" s="33">
        <v>0</v>
      </c>
      <c r="R1759" s="32">
        <v>0</v>
      </c>
      <c r="S1759" s="32"/>
      <c r="T1759" s="3">
        <v>9.8559999999999995E-2</v>
      </c>
      <c r="U1759" s="3">
        <v>6.1999999999999998E-3</v>
      </c>
      <c r="V1759" s="3">
        <v>0</v>
      </c>
      <c r="W1759" s="3">
        <v>0</v>
      </c>
      <c r="X1759" s="3"/>
      <c r="Y1759" s="3">
        <v>0</v>
      </c>
      <c r="Z1759" s="23"/>
      <c r="AA1759" s="23"/>
      <c r="AB1759" s="3" t="str">
        <f t="shared" si="13"/>
        <v>___</v>
      </c>
      <c r="AC1759" s="3" t="str">
        <f t="shared" si="12"/>
        <v>____</v>
      </c>
    </row>
    <row r="1760" spans="1:31" ht="14">
      <c r="A1760" s="23"/>
      <c r="B1760" s="23"/>
      <c r="C1760" s="23"/>
      <c r="D1760" s="23"/>
      <c r="E1760" s="23"/>
      <c r="F1760" s="23"/>
      <c r="G1760" s="23"/>
      <c r="H1760" s="22"/>
      <c r="I1760" s="23"/>
      <c r="J1760" s="23"/>
      <c r="K1760" s="23"/>
      <c r="L1760" s="32" t="s">
        <v>39</v>
      </c>
      <c r="M1760" s="33">
        <v>16</v>
      </c>
      <c r="N1760" s="33">
        <v>8</v>
      </c>
      <c r="O1760" s="33">
        <v>12</v>
      </c>
      <c r="P1760" s="32">
        <v>0</v>
      </c>
      <c r="Q1760" s="33">
        <v>0</v>
      </c>
      <c r="R1760" s="32">
        <v>0</v>
      </c>
      <c r="S1760" s="32"/>
      <c r="T1760" s="3">
        <v>7.7509999999999996E-2</v>
      </c>
      <c r="U1760" s="3">
        <v>8.0000000000000002E-3</v>
      </c>
      <c r="V1760" s="3">
        <v>0</v>
      </c>
      <c r="W1760" s="3">
        <v>0</v>
      </c>
      <c r="X1760" s="3"/>
      <c r="Y1760" s="3">
        <v>0</v>
      </c>
      <c r="Z1760" s="23"/>
      <c r="AA1760" s="23"/>
      <c r="AB1760" s="3" t="str">
        <f t="shared" si="13"/>
        <v>___</v>
      </c>
      <c r="AC1760" s="3" t="str">
        <f t="shared" si="12"/>
        <v>____</v>
      </c>
    </row>
    <row r="1761" spans="1:31" ht="14">
      <c r="A1761" s="23"/>
      <c r="B1761" s="32">
        <v>82</v>
      </c>
      <c r="C1761" s="32">
        <v>44</v>
      </c>
      <c r="D1761" s="23"/>
      <c r="E1761" s="23"/>
      <c r="F1761" s="23"/>
      <c r="G1761" s="32" t="s">
        <v>35</v>
      </c>
      <c r="H1761" s="33">
        <v>3</v>
      </c>
      <c r="I1761" s="32">
        <v>7.3</v>
      </c>
      <c r="J1761" s="32">
        <v>12.8</v>
      </c>
      <c r="K1761" s="32">
        <v>4</v>
      </c>
      <c r="L1761" s="32" t="s">
        <v>36</v>
      </c>
      <c r="M1761" s="33">
        <v>15</v>
      </c>
      <c r="N1761" s="33">
        <v>8</v>
      </c>
      <c r="O1761" s="33">
        <v>9</v>
      </c>
      <c r="P1761" s="32">
        <v>0</v>
      </c>
      <c r="Q1761" s="33">
        <v>0</v>
      </c>
      <c r="R1761" s="32">
        <v>0</v>
      </c>
      <c r="S1761" s="32"/>
      <c r="T1761" s="3">
        <v>5.7680000000000002E-2</v>
      </c>
      <c r="U1761" s="3">
        <v>3.8999999999999998E-3</v>
      </c>
      <c r="V1761" s="3">
        <v>0</v>
      </c>
      <c r="W1761" s="3">
        <v>0</v>
      </c>
      <c r="X1761" s="3"/>
      <c r="Y1761" s="3">
        <v>0</v>
      </c>
      <c r="Z1761" s="23"/>
      <c r="AA1761" s="23"/>
      <c r="AB1761" s="3" t="str">
        <f t="shared" si="13"/>
        <v>82_44__vv</v>
      </c>
      <c r="AC1761" s="3" t="str">
        <f t="shared" si="12"/>
        <v>82_44__vv_3</v>
      </c>
      <c r="AE1761" s="3" t="s">
        <v>37</v>
      </c>
    </row>
    <row r="1762" spans="1:31" ht="14">
      <c r="A1762" s="23"/>
      <c r="B1762" s="23"/>
      <c r="C1762" s="23"/>
      <c r="D1762" s="23"/>
      <c r="E1762" s="23"/>
      <c r="F1762" s="23"/>
      <c r="G1762" s="23"/>
      <c r="H1762" s="22"/>
      <c r="I1762" s="23"/>
      <c r="J1762" s="23"/>
      <c r="K1762" s="23"/>
      <c r="L1762" s="32" t="s">
        <v>38</v>
      </c>
      <c r="M1762" s="33">
        <v>46</v>
      </c>
      <c r="N1762" s="33">
        <v>7</v>
      </c>
      <c r="O1762" s="33">
        <v>12</v>
      </c>
      <c r="P1762" s="32">
        <v>0</v>
      </c>
      <c r="Q1762" s="33">
        <v>0</v>
      </c>
      <c r="R1762" s="32">
        <v>0</v>
      </c>
      <c r="S1762" s="32"/>
      <c r="T1762" s="3">
        <v>8.029E-2</v>
      </c>
      <c r="U1762" s="3">
        <v>1.831E-2</v>
      </c>
      <c r="V1762" s="3">
        <v>0</v>
      </c>
      <c r="W1762" s="3">
        <v>0</v>
      </c>
      <c r="X1762" s="3"/>
      <c r="Y1762" s="3">
        <v>0</v>
      </c>
      <c r="Z1762" s="23"/>
      <c r="AA1762" s="23"/>
      <c r="AB1762" s="3" t="str">
        <f t="shared" si="13"/>
        <v>___</v>
      </c>
      <c r="AC1762" s="3" t="str">
        <f t="shared" si="12"/>
        <v>____</v>
      </c>
    </row>
    <row r="1763" spans="1:31" ht="14">
      <c r="A1763" s="23"/>
      <c r="B1763" s="23"/>
      <c r="C1763" s="23"/>
      <c r="D1763" s="23"/>
      <c r="E1763" s="23"/>
      <c r="F1763" s="23"/>
      <c r="G1763" s="23"/>
      <c r="H1763" s="22"/>
      <c r="I1763" s="23"/>
      <c r="J1763" s="23"/>
      <c r="K1763" s="23"/>
      <c r="L1763" s="32" t="s">
        <v>39</v>
      </c>
      <c r="M1763" s="33">
        <v>38</v>
      </c>
      <c r="N1763" s="33">
        <v>0</v>
      </c>
      <c r="O1763" s="33">
        <v>11</v>
      </c>
      <c r="P1763" s="32">
        <v>0</v>
      </c>
      <c r="Q1763" s="33">
        <v>0</v>
      </c>
      <c r="R1763" s="32">
        <v>0</v>
      </c>
      <c r="S1763" s="32"/>
      <c r="T1763" s="3">
        <v>0</v>
      </c>
      <c r="U1763" s="3">
        <v>1.7399999999999999E-2</v>
      </c>
      <c r="V1763" s="3">
        <v>0</v>
      </c>
      <c r="W1763" s="3">
        <v>0</v>
      </c>
      <c r="X1763" s="3"/>
      <c r="Y1763" s="3">
        <v>0</v>
      </c>
      <c r="Z1763" s="23"/>
      <c r="AA1763" s="23"/>
      <c r="AB1763" s="3" t="str">
        <f t="shared" si="13"/>
        <v>___</v>
      </c>
      <c r="AC1763" s="3" t="str">
        <f t="shared" si="12"/>
        <v>____</v>
      </c>
    </row>
    <row r="1764" spans="1:31" ht="14">
      <c r="A1764" s="23"/>
      <c r="B1764" s="32">
        <v>82</v>
      </c>
      <c r="C1764" s="32">
        <v>55</v>
      </c>
      <c r="D1764" s="23"/>
      <c r="E1764" s="23"/>
      <c r="F1764" s="23"/>
      <c r="G1764" s="32" t="s">
        <v>35</v>
      </c>
      <c r="H1764" s="33">
        <v>1</v>
      </c>
      <c r="I1764" s="32">
        <v>12.6</v>
      </c>
      <c r="J1764" s="32">
        <v>14.2</v>
      </c>
      <c r="K1764" s="32">
        <v>6</v>
      </c>
      <c r="L1764" s="32" t="s">
        <v>36</v>
      </c>
      <c r="M1764" s="33">
        <v>14</v>
      </c>
      <c r="N1764" s="33">
        <v>3</v>
      </c>
      <c r="O1764" s="33">
        <v>7</v>
      </c>
      <c r="P1764" s="32">
        <v>0</v>
      </c>
      <c r="Q1764" s="33">
        <v>0</v>
      </c>
      <c r="R1764" s="32">
        <v>0</v>
      </c>
      <c r="S1764" s="32"/>
      <c r="T1764" s="3">
        <v>1.9560000000000001E-2</v>
      </c>
      <c r="U1764" s="3">
        <v>3.64E-3</v>
      </c>
      <c r="V1764" s="3">
        <v>0</v>
      </c>
      <c r="W1764" s="3">
        <v>0</v>
      </c>
      <c r="X1764" s="3"/>
      <c r="Y1764" s="3">
        <v>0</v>
      </c>
      <c r="Z1764" s="23"/>
      <c r="AA1764" s="23"/>
      <c r="AB1764" s="3" t="str">
        <f t="shared" si="13"/>
        <v>82_55__vv</v>
      </c>
      <c r="AC1764" s="3" t="str">
        <f t="shared" si="12"/>
        <v>82_55__vv_1</v>
      </c>
      <c r="AE1764" s="3" t="s">
        <v>37</v>
      </c>
    </row>
    <row r="1765" spans="1:31" ht="14">
      <c r="A1765" s="23"/>
      <c r="B1765" s="23"/>
      <c r="C1765" s="23"/>
      <c r="D1765" s="23"/>
      <c r="E1765" s="23"/>
      <c r="F1765" s="23"/>
      <c r="G1765" s="23"/>
      <c r="H1765" s="22"/>
      <c r="I1765" s="23"/>
      <c r="J1765" s="23"/>
      <c r="K1765" s="23"/>
      <c r="L1765" s="32" t="s">
        <v>38</v>
      </c>
      <c r="M1765" s="33">
        <v>17</v>
      </c>
      <c r="N1765" s="33">
        <v>6</v>
      </c>
      <c r="O1765" s="33">
        <v>11</v>
      </c>
      <c r="P1765" s="32">
        <v>0</v>
      </c>
      <c r="Q1765" s="33">
        <v>0</v>
      </c>
      <c r="R1765" s="32">
        <v>0</v>
      </c>
      <c r="S1765" s="32"/>
      <c r="T1765" s="3">
        <v>3.5569999999999997E-2</v>
      </c>
      <c r="U1765" s="3">
        <v>5.8599999999999998E-3</v>
      </c>
      <c r="V1765" s="3">
        <v>0</v>
      </c>
      <c r="W1765" s="3">
        <v>0</v>
      </c>
      <c r="X1765" s="3"/>
      <c r="Y1765" s="3">
        <v>0</v>
      </c>
      <c r="Z1765" s="23"/>
      <c r="AA1765" s="23"/>
      <c r="AB1765" s="3" t="str">
        <f t="shared" si="13"/>
        <v>___</v>
      </c>
      <c r="AC1765" s="3" t="str">
        <f t="shared" si="12"/>
        <v>____</v>
      </c>
    </row>
    <row r="1766" spans="1:31" ht="14">
      <c r="A1766" s="23"/>
      <c r="B1766" s="23"/>
      <c r="C1766" s="23"/>
      <c r="D1766" s="23"/>
      <c r="E1766" s="23"/>
      <c r="F1766" s="23"/>
      <c r="G1766" s="23"/>
      <c r="H1766" s="22"/>
      <c r="I1766" s="23"/>
      <c r="J1766" s="23"/>
      <c r="K1766" s="23"/>
      <c r="L1766" s="32" t="s">
        <v>39</v>
      </c>
      <c r="M1766" s="33">
        <v>11</v>
      </c>
      <c r="N1766" s="33">
        <v>1</v>
      </c>
      <c r="O1766" s="33">
        <v>8</v>
      </c>
      <c r="P1766" s="32">
        <v>0</v>
      </c>
      <c r="Q1766" s="33">
        <v>0</v>
      </c>
      <c r="R1766" s="32">
        <v>0</v>
      </c>
      <c r="S1766" s="32"/>
      <c r="T1766" s="3">
        <v>5.2599999999999999E-3</v>
      </c>
      <c r="U1766" s="3">
        <v>5.3E-3</v>
      </c>
      <c r="V1766" s="3">
        <v>0</v>
      </c>
      <c r="W1766" s="3">
        <v>0</v>
      </c>
      <c r="X1766" s="3"/>
      <c r="Y1766" s="3">
        <v>0</v>
      </c>
      <c r="Z1766" s="23"/>
      <c r="AA1766" s="23"/>
      <c r="AB1766" s="3" t="str">
        <f t="shared" si="13"/>
        <v>___</v>
      </c>
      <c r="AC1766" s="3" t="str">
        <f t="shared" si="12"/>
        <v>____</v>
      </c>
    </row>
    <row r="1767" spans="1:31" ht="14">
      <c r="A1767" s="23"/>
      <c r="B1767" s="32">
        <v>82</v>
      </c>
      <c r="C1767" s="32">
        <v>55</v>
      </c>
      <c r="D1767" s="23"/>
      <c r="E1767" s="23"/>
      <c r="F1767" s="23"/>
      <c r="G1767" s="32" t="s">
        <v>35</v>
      </c>
      <c r="H1767" s="33">
        <v>2</v>
      </c>
      <c r="I1767" s="32">
        <v>13.8</v>
      </c>
      <c r="J1767" s="32">
        <v>15.1</v>
      </c>
      <c r="K1767" s="32">
        <v>5</v>
      </c>
      <c r="L1767" s="32" t="s">
        <v>36</v>
      </c>
      <c r="M1767" s="33">
        <v>24</v>
      </c>
      <c r="N1767" s="33">
        <v>13</v>
      </c>
      <c r="O1767" s="33">
        <v>14</v>
      </c>
      <c r="P1767" s="32">
        <v>0</v>
      </c>
      <c r="Q1767" s="33">
        <v>0</v>
      </c>
      <c r="R1767" s="32">
        <v>0</v>
      </c>
      <c r="S1767" s="32"/>
      <c r="T1767" s="3">
        <v>7.7630000000000005E-2</v>
      </c>
      <c r="U1767" s="3">
        <v>8.7299999999999999E-3</v>
      </c>
      <c r="V1767" s="3">
        <v>0</v>
      </c>
      <c r="W1767" s="3">
        <v>0</v>
      </c>
      <c r="X1767" s="3"/>
      <c r="Y1767" s="3">
        <v>0</v>
      </c>
      <c r="Z1767" s="23"/>
      <c r="AA1767" s="23"/>
      <c r="AB1767" s="3" t="str">
        <f t="shared" si="13"/>
        <v>82_55__vv</v>
      </c>
      <c r="AC1767" s="3" t="str">
        <f t="shared" si="12"/>
        <v>82_55__vv_2</v>
      </c>
      <c r="AE1767" s="3" t="s">
        <v>37</v>
      </c>
    </row>
    <row r="1768" spans="1:31" ht="14">
      <c r="A1768" s="23"/>
      <c r="B1768" s="23"/>
      <c r="C1768" s="23"/>
      <c r="D1768" s="23"/>
      <c r="E1768" s="23"/>
      <c r="F1768" s="23"/>
      <c r="G1768" s="23"/>
      <c r="H1768" s="22"/>
      <c r="I1768" s="23"/>
      <c r="J1768" s="23"/>
      <c r="K1768" s="23"/>
      <c r="L1768" s="32" t="s">
        <v>38</v>
      </c>
      <c r="M1768" s="33">
        <v>43</v>
      </c>
      <c r="N1768" s="33">
        <v>12</v>
      </c>
      <c r="O1768" s="33">
        <v>15</v>
      </c>
      <c r="P1768" s="32">
        <v>0</v>
      </c>
      <c r="Q1768" s="33">
        <v>0</v>
      </c>
      <c r="R1768" s="32">
        <v>0</v>
      </c>
      <c r="S1768" s="32"/>
      <c r="T1768" s="3">
        <v>0.14127000000000001</v>
      </c>
      <c r="U1768" s="3">
        <v>2.7640000000000001E-2</v>
      </c>
      <c r="V1768" s="3">
        <v>0</v>
      </c>
      <c r="W1768" s="3">
        <v>0</v>
      </c>
      <c r="X1768" s="3"/>
      <c r="Y1768" s="3">
        <v>0</v>
      </c>
      <c r="Z1768" s="23"/>
      <c r="AA1768" s="23"/>
      <c r="AB1768" s="3" t="str">
        <f t="shared" si="13"/>
        <v>___</v>
      </c>
      <c r="AC1768" s="3" t="str">
        <f t="shared" si="12"/>
        <v>____</v>
      </c>
    </row>
    <row r="1769" spans="1:31" ht="14">
      <c r="A1769" s="23"/>
      <c r="B1769" s="23"/>
      <c r="C1769" s="23"/>
      <c r="D1769" s="23"/>
      <c r="E1769" s="23"/>
      <c r="F1769" s="23"/>
      <c r="G1769" s="23"/>
      <c r="H1769" s="22"/>
      <c r="I1769" s="23"/>
      <c r="J1769" s="23"/>
      <c r="K1769" s="23"/>
      <c r="L1769" s="32" t="s">
        <v>39</v>
      </c>
      <c r="M1769" s="33">
        <v>39</v>
      </c>
      <c r="N1769" s="33">
        <v>7</v>
      </c>
      <c r="O1769" s="33">
        <v>13</v>
      </c>
      <c r="P1769" s="32">
        <v>0</v>
      </c>
      <c r="Q1769" s="33">
        <v>0</v>
      </c>
      <c r="R1769" s="32">
        <v>0</v>
      </c>
      <c r="S1769" s="32"/>
      <c r="T1769" s="3">
        <v>5.1589999999999997E-2</v>
      </c>
      <c r="U1769" s="3">
        <v>3.7499999999999999E-2</v>
      </c>
      <c r="V1769" s="3">
        <v>0</v>
      </c>
      <c r="W1769" s="3">
        <v>0</v>
      </c>
      <c r="X1769" s="3"/>
      <c r="Y1769" s="3">
        <v>0</v>
      </c>
      <c r="Z1769" s="23"/>
      <c r="AA1769" s="23"/>
      <c r="AB1769" s="3" t="str">
        <f t="shared" si="13"/>
        <v>___</v>
      </c>
      <c r="AC1769" s="3" t="str">
        <f t="shared" si="12"/>
        <v>____</v>
      </c>
    </row>
    <row r="1770" spans="1:31" ht="14">
      <c r="A1770" s="23"/>
      <c r="B1770" s="32">
        <v>82</v>
      </c>
      <c r="C1770" s="32">
        <v>55</v>
      </c>
      <c r="D1770" s="23"/>
      <c r="E1770" s="23"/>
      <c r="F1770" s="23"/>
      <c r="G1770" s="32" t="s">
        <v>35</v>
      </c>
      <c r="H1770" s="33">
        <v>3</v>
      </c>
      <c r="I1770" s="32">
        <v>16.8</v>
      </c>
      <c r="J1770" s="32">
        <v>18.100000000000001</v>
      </c>
      <c r="K1770" s="32">
        <v>5</v>
      </c>
      <c r="L1770" s="32" t="s">
        <v>36</v>
      </c>
      <c r="M1770" s="33">
        <v>27</v>
      </c>
      <c r="N1770" s="33">
        <v>10</v>
      </c>
      <c r="O1770" s="33">
        <v>14</v>
      </c>
      <c r="P1770" s="32">
        <v>0</v>
      </c>
      <c r="Q1770" s="33">
        <v>0</v>
      </c>
      <c r="R1770" s="32">
        <v>0</v>
      </c>
      <c r="S1770" s="32"/>
      <c r="T1770" s="3">
        <v>7.7776999999999999E-2</v>
      </c>
      <c r="U1770" s="3">
        <v>1.026E-2</v>
      </c>
      <c r="V1770" s="3">
        <v>0</v>
      </c>
      <c r="W1770" s="3">
        <v>0</v>
      </c>
      <c r="X1770" s="3"/>
      <c r="Y1770" s="3">
        <v>0</v>
      </c>
      <c r="Z1770" s="23"/>
      <c r="AA1770" s="23"/>
      <c r="AB1770" s="3" t="str">
        <f t="shared" si="13"/>
        <v>82_55__vv</v>
      </c>
      <c r="AC1770" s="3" t="str">
        <f t="shared" si="12"/>
        <v>82_55__vv_3</v>
      </c>
      <c r="AE1770" s="3" t="s">
        <v>37</v>
      </c>
    </row>
    <row r="1771" spans="1:31" ht="14">
      <c r="A1771" s="23"/>
      <c r="B1771" s="23"/>
      <c r="C1771" s="23"/>
      <c r="D1771" s="23"/>
      <c r="E1771" s="23"/>
      <c r="F1771" s="23"/>
      <c r="G1771" s="23"/>
      <c r="H1771" s="22"/>
      <c r="I1771" s="23"/>
      <c r="J1771" s="23"/>
      <c r="K1771" s="23"/>
      <c r="L1771" s="32" t="s">
        <v>38</v>
      </c>
      <c r="M1771" s="33">
        <v>32</v>
      </c>
      <c r="N1771" s="33">
        <v>5</v>
      </c>
      <c r="O1771" s="33">
        <v>13</v>
      </c>
      <c r="P1771" s="32">
        <v>0</v>
      </c>
      <c r="Q1771" s="33">
        <v>0</v>
      </c>
      <c r="R1771" s="32">
        <v>0</v>
      </c>
      <c r="S1771" s="32"/>
      <c r="T1771" s="3">
        <v>5.7290000000000001E-2</v>
      </c>
      <c r="U1771" s="3">
        <v>2.3199999999999998E-2</v>
      </c>
      <c r="V1771" s="3">
        <v>0</v>
      </c>
      <c r="W1771" s="3">
        <v>0</v>
      </c>
      <c r="X1771" s="3"/>
      <c r="Y1771" s="3">
        <v>0</v>
      </c>
      <c r="Z1771" s="23"/>
      <c r="AA1771" s="23"/>
      <c r="AB1771" s="3" t="str">
        <f t="shared" si="13"/>
        <v>___</v>
      </c>
      <c r="AC1771" s="3" t="str">
        <f t="shared" si="12"/>
        <v>____</v>
      </c>
    </row>
    <row r="1772" spans="1:31" ht="14">
      <c r="A1772" s="23"/>
      <c r="B1772" s="23"/>
      <c r="C1772" s="23"/>
      <c r="D1772" s="23"/>
      <c r="E1772" s="23"/>
      <c r="F1772" s="23"/>
      <c r="G1772" s="23"/>
      <c r="H1772" s="22"/>
      <c r="I1772" s="23"/>
      <c r="J1772" s="23"/>
      <c r="K1772" s="23"/>
      <c r="L1772" s="32" t="s">
        <v>39</v>
      </c>
      <c r="M1772" s="33">
        <v>31</v>
      </c>
      <c r="N1772" s="33">
        <v>0</v>
      </c>
      <c r="O1772" s="33">
        <v>11</v>
      </c>
      <c r="P1772" s="32">
        <v>0</v>
      </c>
      <c r="Q1772" s="33">
        <v>0</v>
      </c>
      <c r="R1772" s="32">
        <v>0</v>
      </c>
      <c r="S1772" s="32"/>
      <c r="T1772" s="3">
        <v>0</v>
      </c>
      <c r="U1772" s="3">
        <v>2.4240000000000001E-2</v>
      </c>
      <c r="V1772" s="3">
        <v>0</v>
      </c>
      <c r="W1772" s="3">
        <v>0</v>
      </c>
      <c r="X1772" s="3"/>
      <c r="Y1772" s="3">
        <v>0</v>
      </c>
      <c r="Z1772" s="23"/>
      <c r="AA1772" s="23"/>
      <c r="AB1772" s="3" t="str">
        <f t="shared" si="13"/>
        <v>___</v>
      </c>
      <c r="AC1772" s="3" t="str">
        <f t="shared" si="12"/>
        <v>____</v>
      </c>
    </row>
    <row r="1773" spans="1:31" ht="14">
      <c r="A1773" s="23"/>
      <c r="B1773" s="32">
        <v>82</v>
      </c>
      <c r="C1773" s="32">
        <v>55</v>
      </c>
      <c r="D1773" s="23"/>
      <c r="E1773" s="23"/>
      <c r="F1773" s="23"/>
      <c r="G1773" s="32" t="s">
        <v>40</v>
      </c>
      <c r="H1773" s="33">
        <v>1</v>
      </c>
      <c r="I1773" s="32">
        <v>18.2</v>
      </c>
      <c r="J1773" s="32">
        <v>17</v>
      </c>
      <c r="K1773" s="32">
        <v>5</v>
      </c>
      <c r="L1773" s="32" t="s">
        <v>36</v>
      </c>
      <c r="M1773" s="33">
        <v>27</v>
      </c>
      <c r="N1773" s="33">
        <v>5</v>
      </c>
      <c r="O1773" s="33">
        <v>6</v>
      </c>
      <c r="P1773" s="32">
        <v>0</v>
      </c>
      <c r="Q1773" s="33">
        <v>0</v>
      </c>
      <c r="R1773" s="32">
        <v>0</v>
      </c>
      <c r="S1773" s="32"/>
      <c r="T1773" s="3">
        <v>2.743E-2</v>
      </c>
      <c r="U1773" s="3">
        <v>8.6400000000000001E-3</v>
      </c>
      <c r="V1773" s="3">
        <v>0</v>
      </c>
      <c r="W1773" s="3">
        <v>0</v>
      </c>
      <c r="X1773" s="3"/>
      <c r="Y1773" s="3">
        <v>0</v>
      </c>
      <c r="Z1773" s="32" t="s">
        <v>241</v>
      </c>
      <c r="AA1773" s="23"/>
      <c r="AB1773" s="3" t="str">
        <f t="shared" si="13"/>
        <v>82_55__vm</v>
      </c>
      <c r="AC1773" s="3" t="str">
        <f t="shared" si="12"/>
        <v>82_55__vm_1</v>
      </c>
      <c r="AE1773" s="3" t="s">
        <v>37</v>
      </c>
    </row>
    <row r="1774" spans="1:31" ht="14">
      <c r="A1774" s="23"/>
      <c r="B1774" s="23"/>
      <c r="C1774" s="23"/>
      <c r="D1774" s="23"/>
      <c r="E1774" s="23"/>
      <c r="F1774" s="23"/>
      <c r="G1774" s="23"/>
      <c r="H1774" s="22"/>
      <c r="I1774" s="23"/>
      <c r="J1774" s="23"/>
      <c r="K1774" s="23"/>
      <c r="L1774" s="32" t="s">
        <v>36</v>
      </c>
      <c r="M1774" s="33">
        <v>32</v>
      </c>
      <c r="N1774" s="33">
        <v>0</v>
      </c>
      <c r="O1774" s="33">
        <v>7</v>
      </c>
      <c r="P1774" s="32">
        <v>0</v>
      </c>
      <c r="Q1774" s="33">
        <v>2</v>
      </c>
      <c r="R1774" s="32">
        <v>0</v>
      </c>
      <c r="S1774" s="32"/>
      <c r="T1774" s="3">
        <v>0</v>
      </c>
      <c r="U1774" s="3">
        <v>1.686E-2</v>
      </c>
      <c r="V1774" s="3">
        <v>3.4369999999999998E-2</v>
      </c>
      <c r="W1774" s="3">
        <v>0</v>
      </c>
      <c r="X1774" s="3"/>
      <c r="Y1774" s="3">
        <v>0</v>
      </c>
      <c r="Z1774" s="32" t="s">
        <v>242</v>
      </c>
      <c r="AA1774" s="23"/>
      <c r="AB1774" s="3" t="str">
        <f t="shared" si="13"/>
        <v>___</v>
      </c>
      <c r="AC1774" s="3" t="str">
        <f t="shared" si="12"/>
        <v>____</v>
      </c>
    </row>
    <row r="1775" spans="1:31" ht="14">
      <c r="A1775" s="23"/>
      <c r="B1775" s="23"/>
      <c r="C1775" s="23"/>
      <c r="D1775" s="23"/>
      <c r="E1775" s="23"/>
      <c r="F1775" s="23"/>
      <c r="G1775" s="23"/>
      <c r="H1775" s="22"/>
      <c r="I1775" s="23"/>
      <c r="J1775" s="23"/>
      <c r="K1775" s="23"/>
      <c r="L1775" s="32" t="s">
        <v>36</v>
      </c>
      <c r="M1775" s="33">
        <v>69</v>
      </c>
      <c r="N1775" s="33">
        <v>0</v>
      </c>
      <c r="O1775" s="33">
        <v>9</v>
      </c>
      <c r="P1775" s="32">
        <v>0</v>
      </c>
      <c r="Q1775" s="33">
        <v>2</v>
      </c>
      <c r="R1775" s="32">
        <v>0</v>
      </c>
      <c r="S1775" s="32"/>
      <c r="T1775" s="3">
        <v>0</v>
      </c>
      <c r="U1775" s="3">
        <v>6.4530000000000004E-2</v>
      </c>
      <c r="V1775" s="3">
        <v>8.3299999999999999E-2</v>
      </c>
      <c r="W1775" s="3">
        <v>0</v>
      </c>
      <c r="X1775" s="3"/>
      <c r="Y1775" s="3">
        <v>0</v>
      </c>
      <c r="Z1775" s="32" t="s">
        <v>243</v>
      </c>
      <c r="AA1775" s="23"/>
      <c r="AB1775" s="3" t="str">
        <f t="shared" si="13"/>
        <v>___</v>
      </c>
      <c r="AC1775" s="3" t="str">
        <f t="shared" si="12"/>
        <v>____</v>
      </c>
    </row>
    <row r="1776" spans="1:31" ht="14">
      <c r="A1776" s="23"/>
      <c r="B1776" s="32">
        <v>82</v>
      </c>
      <c r="C1776" s="32">
        <v>55</v>
      </c>
      <c r="D1776" s="23"/>
      <c r="E1776" s="23"/>
      <c r="F1776" s="23"/>
      <c r="G1776" s="32" t="s">
        <v>40</v>
      </c>
      <c r="H1776" s="33">
        <v>2</v>
      </c>
      <c r="I1776" s="32">
        <v>15.2</v>
      </c>
      <c r="J1776" s="32">
        <v>17.399999999999999</v>
      </c>
      <c r="K1776" s="32">
        <v>5</v>
      </c>
      <c r="L1776" s="32" t="s">
        <v>36</v>
      </c>
      <c r="M1776" s="33">
        <v>25</v>
      </c>
      <c r="N1776" s="33">
        <v>8</v>
      </c>
      <c r="O1776" s="33">
        <v>9</v>
      </c>
      <c r="P1776" s="32">
        <v>0</v>
      </c>
      <c r="Q1776" s="33">
        <v>0</v>
      </c>
      <c r="R1776" s="32">
        <v>1</v>
      </c>
      <c r="S1776" s="32"/>
      <c r="T1776" s="3">
        <v>2.3689999999999999E-2</v>
      </c>
      <c r="U1776" s="3">
        <v>6.5500000000000003E-3</v>
      </c>
      <c r="V1776" s="3">
        <v>0</v>
      </c>
      <c r="W1776" s="3">
        <v>6.0380000000000003E-2</v>
      </c>
      <c r="X1776" s="3"/>
      <c r="Y1776" s="3">
        <v>0</v>
      </c>
      <c r="Z1776" s="23"/>
      <c r="AA1776" s="23"/>
      <c r="AB1776" s="3" t="str">
        <f t="shared" si="13"/>
        <v>82_55__vm</v>
      </c>
      <c r="AC1776" s="3" t="str">
        <f t="shared" si="12"/>
        <v>82_55__vm_2</v>
      </c>
      <c r="AE1776" s="3" t="s">
        <v>37</v>
      </c>
    </row>
    <row r="1777" spans="1:31" ht="14">
      <c r="A1777" s="23"/>
      <c r="B1777" s="23"/>
      <c r="C1777" s="23"/>
      <c r="D1777" s="23"/>
      <c r="E1777" s="23"/>
      <c r="F1777" s="23"/>
      <c r="G1777" s="23"/>
      <c r="H1777" s="22"/>
      <c r="I1777" s="23"/>
      <c r="J1777" s="23"/>
      <c r="K1777" s="23"/>
      <c r="L1777" s="32" t="s">
        <v>38</v>
      </c>
      <c r="M1777" s="33">
        <v>54</v>
      </c>
      <c r="N1777" s="33">
        <v>0</v>
      </c>
      <c r="O1777" s="33">
        <v>9</v>
      </c>
      <c r="P1777" s="32">
        <v>0</v>
      </c>
      <c r="Q1777" s="33">
        <v>1</v>
      </c>
      <c r="R1777" s="32">
        <v>0</v>
      </c>
      <c r="S1777" s="32"/>
      <c r="T1777" s="3">
        <v>0</v>
      </c>
      <c r="U1777" s="3">
        <v>3.4290000000000001E-2</v>
      </c>
      <c r="V1777" s="3">
        <v>2.5260000000000001E-2</v>
      </c>
      <c r="W1777" s="3">
        <v>0</v>
      </c>
      <c r="X1777" s="3"/>
      <c r="Y1777" s="3">
        <v>0</v>
      </c>
      <c r="Z1777" s="23"/>
      <c r="AA1777" s="23"/>
      <c r="AB1777" s="3" t="str">
        <f t="shared" si="13"/>
        <v>___</v>
      </c>
      <c r="AC1777" s="3" t="str">
        <f t="shared" si="12"/>
        <v>____</v>
      </c>
    </row>
    <row r="1778" spans="1:31" ht="14">
      <c r="A1778" s="23"/>
      <c r="B1778" s="23"/>
      <c r="C1778" s="23"/>
      <c r="D1778" s="23"/>
      <c r="E1778" s="23"/>
      <c r="F1778" s="23"/>
      <c r="G1778" s="23"/>
      <c r="H1778" s="22"/>
      <c r="I1778" s="23"/>
      <c r="J1778" s="23"/>
      <c r="K1778" s="23"/>
      <c r="L1778" s="32" t="s">
        <v>39</v>
      </c>
      <c r="M1778" s="33">
        <v>59</v>
      </c>
      <c r="N1778" s="33">
        <v>0</v>
      </c>
      <c r="O1778" s="33">
        <v>9</v>
      </c>
      <c r="P1778" s="32">
        <v>0</v>
      </c>
      <c r="Q1778" s="33">
        <v>2</v>
      </c>
      <c r="R1778" s="32">
        <v>0</v>
      </c>
      <c r="S1778" s="32"/>
      <c r="T1778" s="3">
        <v>0</v>
      </c>
      <c r="U1778" s="3">
        <v>7.3889999999999997E-2</v>
      </c>
      <c r="V1778" s="3">
        <v>0.17066999999999999</v>
      </c>
      <c r="W1778" s="3">
        <v>0</v>
      </c>
      <c r="X1778" s="3"/>
      <c r="Y1778" s="3">
        <v>0</v>
      </c>
      <c r="Z1778" s="23"/>
      <c r="AA1778" s="23"/>
      <c r="AB1778" s="3" t="str">
        <f t="shared" si="13"/>
        <v>___</v>
      </c>
      <c r="AC1778" s="3" t="str">
        <f t="shared" si="12"/>
        <v>____</v>
      </c>
    </row>
    <row r="1779" spans="1:31" ht="14">
      <c r="A1779" s="23"/>
      <c r="B1779" s="32">
        <v>82</v>
      </c>
      <c r="C1779" s="32">
        <v>55</v>
      </c>
      <c r="D1779" s="23"/>
      <c r="E1779" s="23"/>
      <c r="F1779" s="23"/>
      <c r="G1779" s="32" t="s">
        <v>40</v>
      </c>
      <c r="H1779" s="33">
        <v>3</v>
      </c>
      <c r="I1779" s="32">
        <v>16.600000000000001</v>
      </c>
      <c r="J1779" s="32">
        <v>16.899999999999999</v>
      </c>
      <c r="K1779" s="32">
        <v>5</v>
      </c>
      <c r="L1779" s="32" t="s">
        <v>36</v>
      </c>
      <c r="M1779" s="33">
        <v>28</v>
      </c>
      <c r="N1779" s="33">
        <v>7</v>
      </c>
      <c r="O1779" s="33">
        <v>7</v>
      </c>
      <c r="P1779" s="32">
        <v>0</v>
      </c>
      <c r="Q1779" s="33">
        <v>0</v>
      </c>
      <c r="R1779" s="32">
        <v>0</v>
      </c>
      <c r="S1779" s="32"/>
      <c r="T1779" s="3">
        <v>2.7449999999999999E-2</v>
      </c>
      <c r="U1779" s="3">
        <v>9.1800000000000007E-3</v>
      </c>
      <c r="V1779" s="3">
        <v>0</v>
      </c>
      <c r="W1779" s="3">
        <v>0</v>
      </c>
      <c r="X1779" s="3"/>
      <c r="Y1779" s="3">
        <v>0</v>
      </c>
      <c r="Z1779" s="23"/>
      <c r="AA1779" s="23"/>
      <c r="AB1779" s="3" t="str">
        <f t="shared" si="13"/>
        <v>82_55__vm</v>
      </c>
      <c r="AC1779" s="3" t="str">
        <f t="shared" si="12"/>
        <v>82_55__vm_3</v>
      </c>
      <c r="AE1779" s="3" t="s">
        <v>37</v>
      </c>
    </row>
    <row r="1780" spans="1:31" ht="14">
      <c r="A1780" s="23"/>
      <c r="B1780" s="23"/>
      <c r="C1780" s="23"/>
      <c r="D1780" s="23"/>
      <c r="E1780" s="23"/>
      <c r="F1780" s="23"/>
      <c r="G1780" s="23"/>
      <c r="H1780" s="22"/>
      <c r="I1780" s="23"/>
      <c r="J1780" s="23"/>
      <c r="K1780" s="23"/>
      <c r="L1780" s="32" t="s">
        <v>38</v>
      </c>
      <c r="M1780" s="33">
        <v>43</v>
      </c>
      <c r="N1780" s="33">
        <v>0</v>
      </c>
      <c r="O1780" s="33">
        <v>8</v>
      </c>
      <c r="P1780" s="32">
        <v>0</v>
      </c>
      <c r="Q1780" s="33">
        <v>2</v>
      </c>
      <c r="R1780" s="32">
        <v>0</v>
      </c>
      <c r="S1780" s="32"/>
      <c r="T1780" s="3">
        <v>0</v>
      </c>
      <c r="U1780" s="3">
        <v>2.681E-2</v>
      </c>
      <c r="V1780" s="3">
        <v>1.5650000000000001E-2</v>
      </c>
      <c r="W1780" s="3">
        <v>0</v>
      </c>
      <c r="X1780" s="3"/>
      <c r="Y1780" s="3">
        <v>0</v>
      </c>
      <c r="Z1780" s="23"/>
      <c r="AA1780" s="23"/>
      <c r="AB1780" s="3" t="str">
        <f t="shared" si="13"/>
        <v>___</v>
      </c>
      <c r="AC1780" s="3" t="str">
        <f t="shared" si="12"/>
        <v>____</v>
      </c>
    </row>
    <row r="1781" spans="1:31" ht="14">
      <c r="A1781" s="23"/>
      <c r="B1781" s="23"/>
      <c r="C1781" s="23"/>
      <c r="D1781" s="23"/>
      <c r="E1781" s="23"/>
      <c r="F1781" s="23"/>
      <c r="G1781" s="23"/>
      <c r="H1781" s="22"/>
      <c r="I1781" s="23"/>
      <c r="J1781" s="23"/>
      <c r="K1781" s="23"/>
      <c r="L1781" s="32" t="s">
        <v>39</v>
      </c>
      <c r="M1781" s="33">
        <v>57</v>
      </c>
      <c r="N1781" s="33">
        <v>0</v>
      </c>
      <c r="O1781" s="33">
        <v>6</v>
      </c>
      <c r="P1781" s="32">
        <v>0</v>
      </c>
      <c r="Q1781" s="33">
        <v>2</v>
      </c>
      <c r="R1781" s="32">
        <v>0</v>
      </c>
      <c r="S1781" s="32"/>
      <c r="T1781" s="3">
        <v>0</v>
      </c>
      <c r="U1781" s="3">
        <v>6.6739999999999994E-2</v>
      </c>
      <c r="V1781" s="3">
        <v>0.10285999999999999</v>
      </c>
      <c r="W1781" s="3">
        <v>0</v>
      </c>
      <c r="X1781" s="3"/>
      <c r="Y1781" s="3">
        <v>0</v>
      </c>
      <c r="Z1781" s="23"/>
      <c r="AA1781" s="23"/>
      <c r="AB1781" s="3" t="str">
        <f t="shared" si="13"/>
        <v>___</v>
      </c>
      <c r="AC1781" s="3" t="str">
        <f t="shared" si="12"/>
        <v>____</v>
      </c>
    </row>
    <row r="1782" spans="1:31" ht="14">
      <c r="A1782" s="23"/>
      <c r="B1782" s="32">
        <v>82</v>
      </c>
      <c r="C1782" s="32">
        <v>66</v>
      </c>
      <c r="D1782" s="23"/>
      <c r="E1782" s="23"/>
      <c r="F1782" s="23"/>
      <c r="G1782" s="32" t="s">
        <v>35</v>
      </c>
      <c r="H1782" s="33">
        <v>1</v>
      </c>
      <c r="I1782" s="32">
        <v>9.4</v>
      </c>
      <c r="J1782" s="32">
        <v>11.7</v>
      </c>
      <c r="K1782" s="32">
        <v>5</v>
      </c>
      <c r="L1782" s="32" t="s">
        <v>36</v>
      </c>
      <c r="M1782" s="33">
        <v>32</v>
      </c>
      <c r="N1782" s="33">
        <v>10</v>
      </c>
      <c r="O1782" s="33">
        <v>10</v>
      </c>
      <c r="P1782" s="32">
        <v>0</v>
      </c>
      <c r="Q1782" s="33">
        <v>0</v>
      </c>
      <c r="R1782" s="32">
        <v>0</v>
      </c>
      <c r="S1782" s="32"/>
      <c r="T1782" s="3">
        <v>2.3300000000000001E-2</v>
      </c>
      <c r="U1782" s="3">
        <v>2.4299999999999999E-3</v>
      </c>
      <c r="V1782" s="3">
        <v>0</v>
      </c>
      <c r="W1782" s="3">
        <v>0</v>
      </c>
      <c r="X1782" s="3"/>
      <c r="Y1782" s="3">
        <v>0</v>
      </c>
      <c r="Z1782" s="23"/>
      <c r="AA1782" s="23"/>
      <c r="AB1782" s="3" t="str">
        <f t="shared" si="13"/>
        <v>82_66__vv</v>
      </c>
      <c r="AC1782" s="3" t="str">
        <f t="shared" si="12"/>
        <v>82_66__vv_1</v>
      </c>
      <c r="AE1782" s="3" t="s">
        <v>37</v>
      </c>
    </row>
    <row r="1783" spans="1:31" ht="14">
      <c r="A1783" s="23"/>
      <c r="B1783" s="23"/>
      <c r="C1783" s="23"/>
      <c r="D1783" s="23"/>
      <c r="E1783" s="23"/>
      <c r="F1783" s="23"/>
      <c r="G1783" s="23"/>
      <c r="H1783" s="22"/>
      <c r="I1783" s="23"/>
      <c r="J1783" s="23"/>
      <c r="K1783" s="23"/>
      <c r="L1783" s="32" t="s">
        <v>38</v>
      </c>
      <c r="M1783" s="33">
        <v>35</v>
      </c>
      <c r="N1783" s="33">
        <v>12</v>
      </c>
      <c r="O1783" s="33">
        <v>13</v>
      </c>
      <c r="P1783" s="32">
        <v>0</v>
      </c>
      <c r="Q1783" s="33">
        <v>0</v>
      </c>
      <c r="R1783" s="32">
        <v>0</v>
      </c>
      <c r="S1783" s="32"/>
      <c r="T1783" s="3">
        <v>0.13999</v>
      </c>
      <c r="U1783" s="3">
        <v>1.9179999999999999E-2</v>
      </c>
      <c r="V1783" s="3">
        <v>0</v>
      </c>
      <c r="W1783" s="3">
        <v>0</v>
      </c>
      <c r="X1783" s="3"/>
      <c r="Y1783" s="3">
        <v>0</v>
      </c>
      <c r="Z1783" s="23"/>
      <c r="AA1783" s="23"/>
      <c r="AB1783" s="3" t="str">
        <f t="shared" si="13"/>
        <v>___</v>
      </c>
      <c r="AC1783" s="3" t="str">
        <f t="shared" si="12"/>
        <v>____</v>
      </c>
    </row>
    <row r="1784" spans="1:31" ht="14">
      <c r="A1784" s="23"/>
      <c r="B1784" s="23"/>
      <c r="C1784" s="23"/>
      <c r="D1784" s="23"/>
      <c r="E1784" s="23"/>
      <c r="F1784" s="23"/>
      <c r="G1784" s="23"/>
      <c r="H1784" s="22"/>
      <c r="I1784" s="23"/>
      <c r="J1784" s="23"/>
      <c r="K1784" s="23"/>
      <c r="L1784" s="32" t="s">
        <v>39</v>
      </c>
      <c r="M1784" s="33">
        <v>31</v>
      </c>
      <c r="N1784" s="33">
        <v>6</v>
      </c>
      <c r="O1784" s="33">
        <v>10</v>
      </c>
      <c r="P1784" s="32">
        <v>0</v>
      </c>
      <c r="Q1784" s="33">
        <v>0</v>
      </c>
      <c r="R1784" s="32">
        <v>0</v>
      </c>
      <c r="S1784" s="32"/>
      <c r="T1784" s="3">
        <v>2.6849999999999999E-2</v>
      </c>
      <c r="U1784" s="3">
        <v>2.2509999999999999E-2</v>
      </c>
      <c r="V1784" s="3">
        <v>0</v>
      </c>
      <c r="W1784" s="3">
        <v>0</v>
      </c>
      <c r="X1784" s="3"/>
      <c r="Y1784" s="3">
        <v>0</v>
      </c>
      <c r="Z1784" s="23"/>
      <c r="AA1784" s="23"/>
      <c r="AB1784" s="3" t="str">
        <f t="shared" si="13"/>
        <v>___</v>
      </c>
      <c r="AC1784" s="3" t="str">
        <f t="shared" si="12"/>
        <v>____</v>
      </c>
    </row>
    <row r="1785" spans="1:31" ht="14">
      <c r="A1785" s="23"/>
      <c r="B1785" s="32">
        <v>82</v>
      </c>
      <c r="C1785" s="32">
        <v>66</v>
      </c>
      <c r="D1785" s="23"/>
      <c r="E1785" s="23"/>
      <c r="F1785" s="23"/>
      <c r="G1785" s="32" t="s">
        <v>35</v>
      </c>
      <c r="H1785" s="33">
        <v>2</v>
      </c>
      <c r="I1785" s="32">
        <v>15.8</v>
      </c>
      <c r="J1785" s="32">
        <v>15.7</v>
      </c>
      <c r="K1785" s="32">
        <v>5</v>
      </c>
      <c r="L1785" s="32" t="s">
        <v>36</v>
      </c>
      <c r="M1785" s="33">
        <v>29</v>
      </c>
      <c r="N1785" s="33">
        <v>10</v>
      </c>
      <c r="O1785" s="33">
        <v>10</v>
      </c>
      <c r="P1785" s="32">
        <v>0</v>
      </c>
      <c r="Q1785" s="33">
        <v>0</v>
      </c>
      <c r="R1785" s="32">
        <v>0</v>
      </c>
      <c r="S1785" s="32"/>
      <c r="T1785" s="3">
        <v>3.857E-2</v>
      </c>
      <c r="U1785" s="3">
        <v>5.8999999999999999E-3</v>
      </c>
      <c r="V1785" s="3">
        <v>0</v>
      </c>
      <c r="W1785" s="3">
        <v>0</v>
      </c>
      <c r="X1785" s="3"/>
      <c r="Y1785" s="3">
        <v>0</v>
      </c>
      <c r="Z1785" s="23"/>
      <c r="AA1785" s="23"/>
      <c r="AB1785" s="3" t="str">
        <f t="shared" si="13"/>
        <v>82_66__vv</v>
      </c>
      <c r="AC1785" s="3" t="str">
        <f t="shared" si="12"/>
        <v>82_66__vv_2</v>
      </c>
      <c r="AE1785" s="3" t="s">
        <v>37</v>
      </c>
    </row>
    <row r="1786" spans="1:31" ht="14">
      <c r="A1786" s="23"/>
      <c r="B1786" s="23"/>
      <c r="C1786" s="23"/>
      <c r="D1786" s="23"/>
      <c r="E1786" s="23"/>
      <c r="F1786" s="23"/>
      <c r="G1786" s="23"/>
      <c r="H1786" s="22"/>
      <c r="I1786" s="23"/>
      <c r="J1786" s="23"/>
      <c r="K1786" s="23"/>
      <c r="L1786" s="32" t="s">
        <v>38</v>
      </c>
      <c r="M1786" s="33">
        <v>31</v>
      </c>
      <c r="N1786" s="33">
        <v>11</v>
      </c>
      <c r="O1786" s="33">
        <v>15</v>
      </c>
      <c r="P1786" s="32">
        <v>0</v>
      </c>
      <c r="Q1786" s="33">
        <v>0</v>
      </c>
      <c r="R1786" s="32">
        <v>0</v>
      </c>
      <c r="S1786" s="32"/>
      <c r="T1786" s="3">
        <v>7.9269999999999993E-2</v>
      </c>
      <c r="U1786" s="3">
        <v>1.3939999999999999E-2</v>
      </c>
      <c r="V1786" s="3">
        <v>0</v>
      </c>
      <c r="W1786" s="3">
        <v>0</v>
      </c>
      <c r="X1786" s="3"/>
      <c r="Y1786" s="3">
        <v>0</v>
      </c>
      <c r="Z1786" s="23"/>
      <c r="AA1786" s="23"/>
      <c r="AB1786" s="3" t="str">
        <f t="shared" si="13"/>
        <v>___</v>
      </c>
      <c r="AC1786" s="3" t="str">
        <f t="shared" si="12"/>
        <v>____</v>
      </c>
    </row>
    <row r="1787" spans="1:31" ht="14">
      <c r="A1787" s="23"/>
      <c r="B1787" s="23"/>
      <c r="C1787" s="23"/>
      <c r="D1787" s="23"/>
      <c r="E1787" s="23"/>
      <c r="F1787" s="23"/>
      <c r="G1787" s="23"/>
      <c r="H1787" s="22"/>
      <c r="I1787" s="23"/>
      <c r="J1787" s="23"/>
      <c r="K1787" s="23"/>
      <c r="L1787" s="32" t="s">
        <v>39</v>
      </c>
      <c r="M1787" s="33">
        <v>26</v>
      </c>
      <c r="N1787" s="33">
        <v>9</v>
      </c>
      <c r="O1787" s="33">
        <v>11</v>
      </c>
      <c r="P1787" s="32">
        <v>0</v>
      </c>
      <c r="Q1787" s="33">
        <v>0</v>
      </c>
      <c r="R1787" s="32">
        <v>0</v>
      </c>
      <c r="S1787" s="32"/>
      <c r="T1787" s="3">
        <v>7.1590000000000001E-2</v>
      </c>
      <c r="U1787" s="3">
        <v>1.7299999999999999E-2</v>
      </c>
      <c r="V1787" s="3">
        <v>0</v>
      </c>
      <c r="W1787" s="3">
        <v>0</v>
      </c>
      <c r="X1787" s="3"/>
      <c r="Y1787" s="3">
        <v>0</v>
      </c>
      <c r="Z1787" s="23"/>
      <c r="AA1787" s="23"/>
      <c r="AB1787" s="3" t="str">
        <f t="shared" si="13"/>
        <v>___</v>
      </c>
      <c r="AC1787" s="3" t="str">
        <f t="shared" ref="AC1787:AC1985" si="14">CONCATENATE(B1787,"_",C1787,"_",F1787,"_",G1787,"_",H1787)</f>
        <v>____</v>
      </c>
    </row>
    <row r="1788" spans="1:31" ht="14">
      <c r="A1788" s="23"/>
      <c r="B1788" s="32">
        <v>82</v>
      </c>
      <c r="C1788" s="32">
        <v>66</v>
      </c>
      <c r="D1788" s="23"/>
      <c r="E1788" s="23"/>
      <c r="F1788" s="23"/>
      <c r="G1788" s="32" t="s">
        <v>35</v>
      </c>
      <c r="H1788" s="33">
        <v>3</v>
      </c>
      <c r="I1788" s="32">
        <v>13.1</v>
      </c>
      <c r="J1788" s="32">
        <v>12.6</v>
      </c>
      <c r="K1788" s="32">
        <v>5</v>
      </c>
      <c r="L1788" s="32" t="s">
        <v>36</v>
      </c>
      <c r="M1788" s="33">
        <v>16</v>
      </c>
      <c r="N1788" s="33">
        <v>10</v>
      </c>
      <c r="O1788" s="33">
        <v>10</v>
      </c>
      <c r="P1788" s="32">
        <v>0</v>
      </c>
      <c r="Q1788" s="33">
        <v>0</v>
      </c>
      <c r="R1788" s="32">
        <v>0</v>
      </c>
      <c r="S1788" s="32"/>
      <c r="T1788" s="3">
        <v>2.8070000000000001E-2</v>
      </c>
      <c r="U1788" s="3">
        <v>3.7399999999999998E-3</v>
      </c>
      <c r="V1788" s="3">
        <v>0</v>
      </c>
      <c r="W1788" s="3">
        <v>0</v>
      </c>
      <c r="X1788" s="3"/>
      <c r="Y1788" s="3">
        <v>0</v>
      </c>
      <c r="Z1788" s="23"/>
      <c r="AA1788" s="23"/>
      <c r="AB1788" s="3" t="str">
        <f t="shared" ref="AB1788:AB1985" si="15">CONCATENATE(B1788, "_",C1788,"_",F1788,"_",G1788)</f>
        <v>82_66__vv</v>
      </c>
      <c r="AC1788" s="3" t="str">
        <f t="shared" si="14"/>
        <v>82_66__vv_3</v>
      </c>
      <c r="AE1788" s="3" t="s">
        <v>37</v>
      </c>
    </row>
    <row r="1789" spans="1:31" ht="14">
      <c r="A1789" s="23"/>
      <c r="B1789" s="23"/>
      <c r="C1789" s="23"/>
      <c r="D1789" s="23"/>
      <c r="E1789" s="23"/>
      <c r="F1789" s="23"/>
      <c r="G1789" s="23"/>
      <c r="H1789" s="22"/>
      <c r="I1789" s="23"/>
      <c r="J1789" s="23"/>
      <c r="K1789" s="23"/>
      <c r="L1789" s="32" t="s">
        <v>38</v>
      </c>
      <c r="M1789" s="33">
        <v>28</v>
      </c>
      <c r="N1789" s="33">
        <v>11</v>
      </c>
      <c r="O1789" s="33">
        <v>12</v>
      </c>
      <c r="P1789" s="32">
        <v>0</v>
      </c>
      <c r="Q1789" s="33">
        <v>0</v>
      </c>
      <c r="R1789" s="32">
        <v>0</v>
      </c>
      <c r="S1789" s="32"/>
      <c r="T1789" s="3">
        <v>8.5040000000000004E-2</v>
      </c>
      <c r="U1789" s="3">
        <v>1.1730000000000001E-2</v>
      </c>
      <c r="V1789" s="3">
        <v>0</v>
      </c>
      <c r="W1789" s="3">
        <v>0</v>
      </c>
      <c r="X1789" s="3"/>
      <c r="Y1789" s="3">
        <v>0</v>
      </c>
      <c r="Z1789" s="23"/>
      <c r="AA1789" s="23"/>
      <c r="AB1789" s="3" t="str">
        <f t="shared" si="15"/>
        <v>___</v>
      </c>
      <c r="AC1789" s="3" t="str">
        <f t="shared" si="14"/>
        <v>____</v>
      </c>
    </row>
    <row r="1790" spans="1:31" ht="14">
      <c r="A1790" s="23"/>
      <c r="B1790" s="23"/>
      <c r="C1790" s="23"/>
      <c r="D1790" s="23"/>
      <c r="E1790" s="23"/>
      <c r="F1790" s="23"/>
      <c r="G1790" s="23"/>
      <c r="H1790" s="22"/>
      <c r="I1790" s="23"/>
      <c r="J1790" s="23"/>
      <c r="K1790" s="23"/>
      <c r="L1790" s="32" t="s">
        <v>39</v>
      </c>
      <c r="M1790" s="33">
        <v>36</v>
      </c>
      <c r="N1790" s="33">
        <v>7</v>
      </c>
      <c r="O1790" s="33">
        <v>10</v>
      </c>
      <c r="P1790" s="32">
        <v>0</v>
      </c>
      <c r="Q1790" s="33">
        <v>0</v>
      </c>
      <c r="R1790" s="32">
        <v>0</v>
      </c>
      <c r="S1790" s="32"/>
      <c r="T1790" s="3">
        <v>6.7030000000000006E-2</v>
      </c>
      <c r="U1790" s="3">
        <v>3.4389999999999997E-2</v>
      </c>
      <c r="V1790" s="3">
        <v>0</v>
      </c>
      <c r="W1790" s="3">
        <v>0</v>
      </c>
      <c r="X1790" s="3"/>
      <c r="Y1790" s="3">
        <v>0</v>
      </c>
      <c r="Z1790" s="23"/>
      <c r="AA1790" s="23"/>
      <c r="AB1790" s="3" t="str">
        <f t="shared" si="15"/>
        <v>___</v>
      </c>
      <c r="AC1790" s="3" t="str">
        <f t="shared" si="14"/>
        <v>____</v>
      </c>
    </row>
    <row r="1791" spans="1:31" ht="14">
      <c r="A1791" s="23"/>
      <c r="B1791" s="32">
        <v>82</v>
      </c>
      <c r="C1791" s="32">
        <v>66</v>
      </c>
      <c r="D1791" s="23"/>
      <c r="E1791" s="23"/>
      <c r="F1791" s="23"/>
      <c r="G1791" s="32" t="s">
        <v>40</v>
      </c>
      <c r="H1791" s="33">
        <v>1</v>
      </c>
      <c r="I1791" s="32">
        <v>7.2</v>
      </c>
      <c r="J1791" s="32">
        <v>10.4</v>
      </c>
      <c r="K1791" s="32">
        <v>4</v>
      </c>
      <c r="L1791" s="32" t="s">
        <v>36</v>
      </c>
      <c r="M1791" s="33">
        <v>17</v>
      </c>
      <c r="N1791" s="33">
        <v>5</v>
      </c>
      <c r="O1791" s="33">
        <v>5</v>
      </c>
      <c r="P1791" s="32">
        <v>0</v>
      </c>
      <c r="Q1791" s="33">
        <v>0</v>
      </c>
      <c r="R1791" s="32">
        <v>0</v>
      </c>
      <c r="S1791" s="32"/>
      <c r="T1791" s="3">
        <v>1.214E-2</v>
      </c>
      <c r="U1791" s="3">
        <v>3.5799999999999998E-3</v>
      </c>
      <c r="V1791" s="3">
        <v>0</v>
      </c>
      <c r="W1791" s="3">
        <v>0</v>
      </c>
      <c r="X1791" s="3"/>
      <c r="Y1791" s="3">
        <v>0</v>
      </c>
      <c r="Z1791" s="23"/>
      <c r="AA1791" s="23"/>
      <c r="AB1791" s="3" t="str">
        <f t="shared" si="15"/>
        <v>82_66__vm</v>
      </c>
      <c r="AC1791" s="3" t="str">
        <f t="shared" si="14"/>
        <v>82_66__vm_1</v>
      </c>
      <c r="AE1791" s="3" t="s">
        <v>37</v>
      </c>
    </row>
    <row r="1792" spans="1:31" ht="14">
      <c r="A1792" s="23"/>
      <c r="B1792" s="23"/>
      <c r="C1792" s="23"/>
      <c r="D1792" s="23"/>
      <c r="E1792" s="23"/>
      <c r="F1792" s="23"/>
      <c r="G1792" s="23"/>
      <c r="H1792" s="22"/>
      <c r="I1792" s="23"/>
      <c r="J1792" s="23"/>
      <c r="K1792" s="23"/>
      <c r="L1792" s="32" t="s">
        <v>38</v>
      </c>
      <c r="M1792" s="33">
        <v>18</v>
      </c>
      <c r="N1792" s="33">
        <v>0</v>
      </c>
      <c r="O1792" s="33">
        <v>3</v>
      </c>
      <c r="P1792" s="32">
        <v>1</v>
      </c>
      <c r="Q1792" s="33">
        <v>1</v>
      </c>
      <c r="R1792" s="32">
        <v>0</v>
      </c>
      <c r="S1792" s="32"/>
      <c r="T1792" s="3">
        <v>0</v>
      </c>
      <c r="U1792" s="3">
        <v>6.8799999999999998E-3</v>
      </c>
      <c r="V1792" s="3">
        <v>1.524E-2</v>
      </c>
      <c r="W1792" s="3">
        <v>0</v>
      </c>
      <c r="X1792" s="3"/>
      <c r="Y1792" s="3">
        <v>0</v>
      </c>
      <c r="Z1792" s="23"/>
      <c r="AA1792" s="23"/>
      <c r="AB1792" s="3" t="str">
        <f t="shared" si="15"/>
        <v>___</v>
      </c>
      <c r="AC1792" s="3" t="str">
        <f t="shared" si="14"/>
        <v>____</v>
      </c>
    </row>
    <row r="1793" spans="1:31" ht="14">
      <c r="A1793" s="23"/>
      <c r="B1793" s="23"/>
      <c r="C1793" s="23"/>
      <c r="D1793" s="23"/>
      <c r="E1793" s="23"/>
      <c r="F1793" s="23"/>
      <c r="G1793" s="23"/>
      <c r="H1793" s="22"/>
      <c r="I1793" s="23"/>
      <c r="J1793" s="23"/>
      <c r="K1793" s="23"/>
      <c r="L1793" s="32" t="s">
        <v>39</v>
      </c>
      <c r="M1793" s="33">
        <v>46</v>
      </c>
      <c r="N1793" s="33">
        <v>0</v>
      </c>
      <c r="O1793" s="33">
        <v>7</v>
      </c>
      <c r="P1793" s="32">
        <v>1</v>
      </c>
      <c r="Q1793" s="33">
        <v>1</v>
      </c>
      <c r="R1793" s="32">
        <v>0</v>
      </c>
      <c r="S1793" s="32"/>
      <c r="T1793" s="3">
        <v>0</v>
      </c>
      <c r="U1793" s="3">
        <v>3.057E-2</v>
      </c>
      <c r="V1793" s="3">
        <v>3.4119999999999998E-2</v>
      </c>
      <c r="W1793" s="3">
        <v>0</v>
      </c>
      <c r="X1793" s="3"/>
      <c r="Y1793" s="3">
        <v>0</v>
      </c>
      <c r="Z1793" s="23"/>
      <c r="AA1793" s="23"/>
      <c r="AB1793" s="3" t="str">
        <f t="shared" si="15"/>
        <v>___</v>
      </c>
      <c r="AC1793" s="3" t="str">
        <f t="shared" si="14"/>
        <v>____</v>
      </c>
    </row>
    <row r="1794" spans="1:31" ht="14">
      <c r="A1794" s="23"/>
      <c r="B1794" s="32">
        <v>82</v>
      </c>
      <c r="C1794" s="32">
        <v>66</v>
      </c>
      <c r="D1794" s="23"/>
      <c r="E1794" s="23"/>
      <c r="F1794" s="23"/>
      <c r="G1794" s="32" t="s">
        <v>40</v>
      </c>
      <c r="H1794" s="33">
        <v>2</v>
      </c>
      <c r="I1794" s="32">
        <v>18.899999999999999</v>
      </c>
      <c r="J1794" s="32">
        <v>22.7</v>
      </c>
      <c r="K1794" s="32">
        <v>7</v>
      </c>
      <c r="L1794" s="32" t="s">
        <v>36</v>
      </c>
      <c r="M1794" s="33">
        <v>25</v>
      </c>
      <c r="N1794" s="33">
        <v>7</v>
      </c>
      <c r="O1794" s="33">
        <v>7</v>
      </c>
      <c r="P1794" s="32">
        <v>0</v>
      </c>
      <c r="Q1794" s="33">
        <v>0</v>
      </c>
      <c r="R1794" s="32">
        <v>0</v>
      </c>
      <c r="S1794" s="32"/>
      <c r="T1794" s="3">
        <v>1.822E-2</v>
      </c>
      <c r="U1794" s="3">
        <v>8.0099999999999998E-3</v>
      </c>
      <c r="V1794" s="3">
        <v>0</v>
      </c>
      <c r="W1794" s="3">
        <v>0</v>
      </c>
      <c r="X1794" s="3"/>
      <c r="Y1794" s="3">
        <v>0</v>
      </c>
      <c r="Z1794" s="32" t="s">
        <v>244</v>
      </c>
      <c r="AA1794" s="23"/>
      <c r="AB1794" s="3" t="str">
        <f t="shared" si="15"/>
        <v>82_66__vm</v>
      </c>
      <c r="AC1794" s="3" t="str">
        <f t="shared" si="14"/>
        <v>82_66__vm_2</v>
      </c>
      <c r="AE1794" s="3" t="s">
        <v>37</v>
      </c>
    </row>
    <row r="1795" spans="1:31" ht="14">
      <c r="A1795" s="23"/>
      <c r="B1795" s="23"/>
      <c r="C1795" s="23"/>
      <c r="D1795" s="23"/>
      <c r="E1795" s="23"/>
      <c r="F1795" s="23"/>
      <c r="G1795" s="23"/>
      <c r="H1795" s="22"/>
      <c r="I1795" s="23"/>
      <c r="J1795" s="23"/>
      <c r="K1795" s="23"/>
      <c r="L1795" s="32" t="s">
        <v>38</v>
      </c>
      <c r="M1795" s="33">
        <v>56</v>
      </c>
      <c r="N1795" s="33">
        <v>0</v>
      </c>
      <c r="O1795" s="33">
        <v>3</v>
      </c>
      <c r="P1795" s="32">
        <v>3</v>
      </c>
      <c r="Q1795" s="33">
        <v>3</v>
      </c>
      <c r="R1795" s="32">
        <v>0</v>
      </c>
      <c r="S1795" s="32"/>
      <c r="T1795" s="3">
        <v>0</v>
      </c>
      <c r="U1795" s="3">
        <v>4.1939999999999998E-2</v>
      </c>
      <c r="V1795" s="3">
        <v>7.6179999999999998E-2</v>
      </c>
      <c r="W1795" s="3">
        <v>0</v>
      </c>
      <c r="X1795" s="3"/>
      <c r="Y1795" s="3">
        <v>0</v>
      </c>
      <c r="Z1795" s="23"/>
      <c r="AA1795" s="23"/>
      <c r="AB1795" s="3" t="str">
        <f t="shared" si="15"/>
        <v>___</v>
      </c>
      <c r="AC1795" s="3" t="str">
        <f t="shared" si="14"/>
        <v>____</v>
      </c>
    </row>
    <row r="1796" spans="1:31" ht="14">
      <c r="A1796" s="23"/>
      <c r="B1796" s="23"/>
      <c r="C1796" s="23"/>
      <c r="D1796" s="23"/>
      <c r="E1796" s="23"/>
      <c r="F1796" s="23"/>
      <c r="G1796" s="23"/>
      <c r="H1796" s="22"/>
      <c r="I1796" s="23"/>
      <c r="J1796" s="23"/>
      <c r="K1796" s="23"/>
      <c r="L1796" s="32" t="s">
        <v>39</v>
      </c>
      <c r="M1796" s="33">
        <v>59</v>
      </c>
      <c r="N1796" s="33">
        <v>0</v>
      </c>
      <c r="O1796" s="33">
        <v>5</v>
      </c>
      <c r="P1796" s="32">
        <v>2</v>
      </c>
      <c r="Q1796" s="33">
        <v>2</v>
      </c>
      <c r="R1796" s="32">
        <v>0</v>
      </c>
      <c r="S1796" s="32"/>
      <c r="T1796" s="3">
        <v>0</v>
      </c>
      <c r="U1796" s="3">
        <v>6.4820000000000003E-2</v>
      </c>
      <c r="V1796" s="3">
        <v>9.3979999999999994E-2</v>
      </c>
      <c r="W1796" s="3">
        <v>0</v>
      </c>
      <c r="X1796" s="3"/>
      <c r="Y1796" s="3">
        <v>0</v>
      </c>
      <c r="Z1796" s="23"/>
      <c r="AA1796" s="23"/>
      <c r="AB1796" s="3" t="str">
        <f t="shared" si="15"/>
        <v>___</v>
      </c>
      <c r="AC1796" s="3" t="str">
        <f t="shared" si="14"/>
        <v>____</v>
      </c>
    </row>
    <row r="1797" spans="1:31" ht="14">
      <c r="A1797" s="23"/>
      <c r="B1797" s="32">
        <v>82</v>
      </c>
      <c r="C1797" s="32">
        <v>66</v>
      </c>
      <c r="D1797" s="23"/>
      <c r="E1797" s="23"/>
      <c r="F1797" s="23"/>
      <c r="G1797" s="32" t="s">
        <v>40</v>
      </c>
      <c r="H1797" s="33">
        <v>3</v>
      </c>
      <c r="I1797" s="32">
        <v>10.1</v>
      </c>
      <c r="J1797" s="32">
        <v>14.8</v>
      </c>
      <c r="K1797" s="32">
        <v>7</v>
      </c>
      <c r="L1797" s="32" t="s">
        <v>36</v>
      </c>
      <c r="M1797" s="33">
        <v>12</v>
      </c>
      <c r="N1797" s="33">
        <v>6</v>
      </c>
      <c r="O1797" s="33">
        <v>6</v>
      </c>
      <c r="P1797" s="32">
        <v>0</v>
      </c>
      <c r="Q1797" s="33">
        <v>0</v>
      </c>
      <c r="R1797" s="32">
        <v>0</v>
      </c>
      <c r="S1797" s="32"/>
      <c r="T1797" s="3">
        <v>1.0630000000000001E-2</v>
      </c>
      <c r="U1797" s="3">
        <v>3.16E-3</v>
      </c>
      <c r="V1797" s="3">
        <v>0</v>
      </c>
      <c r="W1797" s="3">
        <v>0</v>
      </c>
      <c r="X1797" s="3"/>
      <c r="Y1797" s="3">
        <v>0</v>
      </c>
      <c r="Z1797" s="23"/>
      <c r="AA1797" s="23"/>
      <c r="AB1797" s="3" t="str">
        <f t="shared" si="15"/>
        <v>82_66__vm</v>
      </c>
      <c r="AC1797" s="3" t="str">
        <f t="shared" si="14"/>
        <v>82_66__vm_3</v>
      </c>
      <c r="AE1797" s="3" t="s">
        <v>37</v>
      </c>
    </row>
    <row r="1798" spans="1:31" ht="14">
      <c r="A1798" s="23"/>
      <c r="B1798" s="23"/>
      <c r="C1798" s="23"/>
      <c r="D1798" s="23"/>
      <c r="E1798" s="23"/>
      <c r="F1798" s="23"/>
      <c r="G1798" s="23"/>
      <c r="H1798" s="22"/>
      <c r="I1798" s="23"/>
      <c r="J1798" s="23"/>
      <c r="K1798" s="23"/>
      <c r="L1798" s="32" t="s">
        <v>38</v>
      </c>
      <c r="M1798" s="33">
        <v>19</v>
      </c>
      <c r="N1798" s="33">
        <v>0</v>
      </c>
      <c r="O1798" s="33">
        <v>6</v>
      </c>
      <c r="P1798" s="32">
        <v>1</v>
      </c>
      <c r="Q1798" s="33">
        <v>1</v>
      </c>
      <c r="R1798" s="32">
        <v>0</v>
      </c>
      <c r="S1798" s="32"/>
      <c r="T1798" s="3">
        <v>0</v>
      </c>
      <c r="U1798" s="3">
        <v>7.8899999999999994E-3</v>
      </c>
      <c r="V1798" s="3">
        <v>9.0500000000000008E-3</v>
      </c>
      <c r="W1798" s="3">
        <v>0</v>
      </c>
      <c r="X1798" s="3"/>
      <c r="Y1798" s="3">
        <v>0</v>
      </c>
      <c r="Z1798" s="23"/>
      <c r="AA1798" s="23"/>
      <c r="AB1798" s="3" t="str">
        <f t="shared" si="15"/>
        <v>___</v>
      </c>
      <c r="AC1798" s="3" t="str">
        <f t="shared" si="14"/>
        <v>____</v>
      </c>
    </row>
    <row r="1799" spans="1:31" ht="14">
      <c r="A1799" s="23"/>
      <c r="B1799" s="23"/>
      <c r="C1799" s="23"/>
      <c r="D1799" s="23"/>
      <c r="E1799" s="23"/>
      <c r="F1799" s="23"/>
      <c r="G1799" s="23"/>
      <c r="H1799" s="22"/>
      <c r="I1799" s="23"/>
      <c r="J1799" s="23"/>
      <c r="K1799" s="23"/>
      <c r="L1799" s="32" t="s">
        <v>39</v>
      </c>
      <c r="M1799" s="33">
        <v>36</v>
      </c>
      <c r="N1799" s="33">
        <v>0</v>
      </c>
      <c r="O1799" s="33">
        <v>4</v>
      </c>
      <c r="P1799" s="32">
        <v>2</v>
      </c>
      <c r="Q1799" s="33">
        <v>2</v>
      </c>
      <c r="R1799" s="32">
        <v>0</v>
      </c>
      <c r="S1799" s="32"/>
      <c r="T1799" s="3">
        <v>0</v>
      </c>
      <c r="U1799" s="3">
        <v>2.1919999999999999E-2</v>
      </c>
      <c r="V1799" s="3">
        <v>2.8649999999999998E-2</v>
      </c>
      <c r="W1799" s="3">
        <v>0</v>
      </c>
      <c r="X1799" s="3"/>
      <c r="Y1799" s="3">
        <v>0</v>
      </c>
      <c r="Z1799" s="23"/>
      <c r="AA1799" s="23"/>
      <c r="AB1799" s="3" t="str">
        <f t="shared" si="15"/>
        <v>___</v>
      </c>
      <c r="AC1799" s="3" t="str">
        <f t="shared" si="14"/>
        <v>____</v>
      </c>
    </row>
    <row r="1800" spans="1:31" ht="14">
      <c r="A1800" s="23"/>
      <c r="B1800" s="32">
        <v>905</v>
      </c>
      <c r="C1800" s="32">
        <v>24</v>
      </c>
      <c r="D1800" s="23"/>
      <c r="E1800" s="23"/>
      <c r="F1800" s="23"/>
      <c r="G1800" s="32" t="s">
        <v>40</v>
      </c>
      <c r="H1800" s="33">
        <v>1</v>
      </c>
      <c r="I1800" s="32">
        <v>32.799999999999997</v>
      </c>
      <c r="J1800" s="32">
        <v>61.8</v>
      </c>
      <c r="K1800" s="32">
        <v>10</v>
      </c>
      <c r="L1800" s="32" t="s">
        <v>36</v>
      </c>
      <c r="M1800" s="33">
        <v>9.9</v>
      </c>
      <c r="N1800" s="33">
        <v>9</v>
      </c>
      <c r="O1800" s="33">
        <v>8</v>
      </c>
      <c r="P1800" s="32">
        <v>0</v>
      </c>
      <c r="Q1800" s="33">
        <v>0</v>
      </c>
      <c r="R1800" s="32">
        <v>0</v>
      </c>
      <c r="S1800" s="32"/>
      <c r="T1800" s="3">
        <v>9.8780000000000007E-2</v>
      </c>
      <c r="U1800" s="3">
        <v>9.6839999999999996E-2</v>
      </c>
      <c r="V1800" s="3">
        <v>0</v>
      </c>
      <c r="W1800" s="3">
        <v>0</v>
      </c>
      <c r="X1800" s="3"/>
      <c r="Y1800" s="3">
        <v>0</v>
      </c>
      <c r="Z1800" s="23"/>
      <c r="AA1800" s="23"/>
      <c r="AB1800" s="3" t="str">
        <f t="shared" si="15"/>
        <v>905_24__vm</v>
      </c>
      <c r="AC1800" s="3" t="str">
        <f t="shared" si="14"/>
        <v>905_24__vm_1</v>
      </c>
      <c r="AE1800" s="3" t="s">
        <v>37</v>
      </c>
    </row>
    <row r="1801" spans="1:31" ht="14">
      <c r="A1801" s="23"/>
      <c r="B1801" s="23"/>
      <c r="C1801" s="23"/>
      <c r="D1801" s="23"/>
      <c r="E1801" s="23"/>
      <c r="F1801" s="23"/>
      <c r="G1801" s="23"/>
      <c r="H1801" s="22"/>
      <c r="I1801" s="23"/>
      <c r="J1801" s="23"/>
      <c r="K1801" s="23"/>
      <c r="L1801" s="32" t="s">
        <v>38</v>
      </c>
      <c r="M1801" s="33">
        <v>133</v>
      </c>
      <c r="N1801" s="33">
        <v>0</v>
      </c>
      <c r="O1801" s="33">
        <v>5</v>
      </c>
      <c r="P1801" s="32">
        <v>4</v>
      </c>
      <c r="Q1801" s="33">
        <v>4</v>
      </c>
      <c r="R1801" s="32">
        <v>0</v>
      </c>
      <c r="S1801" s="32"/>
      <c r="T1801" s="3">
        <v>0</v>
      </c>
      <c r="U1801" s="3">
        <v>0.3044</v>
      </c>
      <c r="V1801" s="3">
        <v>0.40249000000000001</v>
      </c>
      <c r="W1801" s="3">
        <v>0</v>
      </c>
      <c r="X1801" s="3"/>
      <c r="Y1801" s="3">
        <v>0</v>
      </c>
      <c r="Z1801" s="23"/>
      <c r="AA1801" s="23"/>
      <c r="AB1801" s="3" t="str">
        <f t="shared" si="15"/>
        <v>___</v>
      </c>
      <c r="AC1801" s="3" t="str">
        <f t="shared" si="14"/>
        <v>____</v>
      </c>
    </row>
    <row r="1802" spans="1:31" ht="14">
      <c r="A1802" s="23"/>
      <c r="B1802" s="23"/>
      <c r="C1802" s="23"/>
      <c r="D1802" s="23"/>
      <c r="E1802" s="23"/>
      <c r="F1802" s="23"/>
      <c r="G1802" s="23"/>
      <c r="H1802" s="22"/>
      <c r="I1802" s="23"/>
      <c r="J1802" s="23"/>
      <c r="K1802" s="23"/>
      <c r="L1802" s="32" t="s">
        <v>39</v>
      </c>
      <c r="M1802" s="33">
        <v>95</v>
      </c>
      <c r="N1802" s="33">
        <v>0</v>
      </c>
      <c r="O1802" s="33">
        <v>3</v>
      </c>
      <c r="P1802" s="32">
        <v>3</v>
      </c>
      <c r="Q1802" s="33">
        <v>2</v>
      </c>
      <c r="R1802" s="32">
        <v>0</v>
      </c>
      <c r="S1802" s="32"/>
      <c r="T1802" s="3">
        <v>0</v>
      </c>
      <c r="U1802" s="3">
        <v>0.37773000000000001</v>
      </c>
      <c r="V1802" s="3">
        <v>1.0709599999999999</v>
      </c>
      <c r="W1802" s="3">
        <v>0</v>
      </c>
      <c r="X1802" s="3"/>
      <c r="Y1802" s="3">
        <v>0</v>
      </c>
      <c r="Z1802" s="23"/>
      <c r="AA1802" s="23"/>
      <c r="AB1802" s="3" t="str">
        <f t="shared" si="15"/>
        <v>___</v>
      </c>
      <c r="AC1802" s="3" t="str">
        <f t="shared" si="14"/>
        <v>____</v>
      </c>
    </row>
    <row r="1803" spans="1:31" ht="14">
      <c r="A1803" s="23"/>
      <c r="B1803" s="32">
        <v>905</v>
      </c>
      <c r="C1803" s="32">
        <v>24</v>
      </c>
      <c r="D1803" s="23"/>
      <c r="E1803" s="23"/>
      <c r="F1803" s="23"/>
      <c r="G1803" s="32" t="s">
        <v>40</v>
      </c>
      <c r="H1803" s="33">
        <v>2</v>
      </c>
      <c r="I1803" s="32">
        <v>31.6</v>
      </c>
      <c r="J1803" s="32">
        <v>48.1</v>
      </c>
      <c r="K1803" s="32">
        <v>7</v>
      </c>
      <c r="L1803" s="32" t="s">
        <v>36</v>
      </c>
      <c r="M1803" s="33">
        <v>67</v>
      </c>
      <c r="N1803" s="33">
        <v>7</v>
      </c>
      <c r="O1803" s="33">
        <v>7</v>
      </c>
      <c r="P1803" s="32">
        <v>0</v>
      </c>
      <c r="Q1803" s="33">
        <v>0</v>
      </c>
      <c r="R1803" s="32">
        <v>0</v>
      </c>
      <c r="S1803" s="32"/>
      <c r="T1803" s="3">
        <v>6.0089999999999998E-2</v>
      </c>
      <c r="U1803" s="3">
        <v>3.5909999999999997E-2</v>
      </c>
      <c r="V1803" s="3">
        <v>0</v>
      </c>
      <c r="W1803" s="3">
        <v>0</v>
      </c>
      <c r="X1803" s="3"/>
      <c r="Y1803" s="3">
        <v>0</v>
      </c>
      <c r="Z1803" s="23"/>
      <c r="AA1803" s="23"/>
      <c r="AB1803" s="3" t="str">
        <f t="shared" si="15"/>
        <v>905_24__vm</v>
      </c>
      <c r="AC1803" s="3" t="str">
        <f t="shared" si="14"/>
        <v>905_24__vm_2</v>
      </c>
      <c r="AE1803" s="3" t="s">
        <v>37</v>
      </c>
    </row>
    <row r="1804" spans="1:31" ht="14">
      <c r="A1804" s="23"/>
      <c r="B1804" s="23"/>
      <c r="C1804" s="23"/>
      <c r="D1804" s="23"/>
      <c r="E1804" s="23"/>
      <c r="F1804" s="23"/>
      <c r="G1804" s="23"/>
      <c r="H1804" s="22"/>
      <c r="I1804" s="23"/>
      <c r="J1804" s="23"/>
      <c r="K1804" s="23"/>
      <c r="L1804" s="32" t="s">
        <v>38</v>
      </c>
      <c r="M1804" s="33">
        <v>71</v>
      </c>
      <c r="N1804" s="33">
        <v>0</v>
      </c>
      <c r="O1804" s="33">
        <v>4</v>
      </c>
      <c r="P1804" s="32">
        <v>3</v>
      </c>
      <c r="Q1804" s="33">
        <v>3</v>
      </c>
      <c r="R1804" s="32">
        <v>0</v>
      </c>
      <c r="S1804" s="32"/>
      <c r="T1804" s="3">
        <v>0</v>
      </c>
      <c r="U1804" s="3">
        <v>6.6100000000000006E-2</v>
      </c>
      <c r="V1804" s="3">
        <v>0.19051999999999999</v>
      </c>
      <c r="W1804" s="3">
        <v>0</v>
      </c>
      <c r="X1804" s="3"/>
      <c r="Y1804" s="3">
        <v>0</v>
      </c>
      <c r="Z1804" s="23"/>
      <c r="AA1804" s="23"/>
      <c r="AB1804" s="3" t="str">
        <f t="shared" si="15"/>
        <v>___</v>
      </c>
      <c r="AC1804" s="3" t="str">
        <f t="shared" si="14"/>
        <v>____</v>
      </c>
    </row>
    <row r="1805" spans="1:31" ht="14">
      <c r="A1805" s="23"/>
      <c r="B1805" s="23"/>
      <c r="C1805" s="23"/>
      <c r="D1805" s="23"/>
      <c r="E1805" s="23"/>
      <c r="F1805" s="23"/>
      <c r="G1805" s="23"/>
      <c r="H1805" s="22"/>
      <c r="I1805" s="23"/>
      <c r="J1805" s="23"/>
      <c r="K1805" s="23"/>
      <c r="L1805" s="32" t="s">
        <v>39</v>
      </c>
      <c r="M1805" s="33">
        <v>116</v>
      </c>
      <c r="N1805" s="33">
        <v>0</v>
      </c>
      <c r="O1805" s="33">
        <v>3</v>
      </c>
      <c r="P1805" s="32">
        <v>5</v>
      </c>
      <c r="Q1805" s="33">
        <v>4</v>
      </c>
      <c r="R1805" s="32">
        <v>0</v>
      </c>
      <c r="S1805" s="32"/>
      <c r="T1805" s="3">
        <v>0</v>
      </c>
      <c r="U1805" s="3">
        <v>0.24778</v>
      </c>
      <c r="V1805" s="3">
        <v>0.80547000000000002</v>
      </c>
      <c r="W1805" s="3">
        <v>0</v>
      </c>
      <c r="X1805" s="3"/>
      <c r="Y1805" s="3">
        <v>0</v>
      </c>
      <c r="Z1805" s="23"/>
      <c r="AA1805" s="23"/>
      <c r="AB1805" s="3" t="str">
        <f t="shared" si="15"/>
        <v>___</v>
      </c>
      <c r="AC1805" s="3" t="str">
        <f t="shared" si="14"/>
        <v>____</v>
      </c>
    </row>
    <row r="1806" spans="1:31" ht="14">
      <c r="A1806" s="23"/>
      <c r="B1806" s="32">
        <v>905</v>
      </c>
      <c r="C1806" s="32">
        <v>24</v>
      </c>
      <c r="D1806" s="23"/>
      <c r="E1806" s="23"/>
      <c r="F1806" s="23"/>
      <c r="G1806" s="32" t="s">
        <v>40</v>
      </c>
      <c r="H1806" s="33">
        <v>3</v>
      </c>
      <c r="I1806" s="32">
        <v>34.4</v>
      </c>
      <c r="J1806" s="32">
        <v>38.9</v>
      </c>
      <c r="K1806" s="32">
        <v>8</v>
      </c>
      <c r="L1806" s="32" t="s">
        <v>36</v>
      </c>
      <c r="M1806" s="33">
        <v>52</v>
      </c>
      <c r="N1806" s="33">
        <v>6</v>
      </c>
      <c r="O1806" s="33">
        <v>6</v>
      </c>
      <c r="P1806" s="32">
        <v>0</v>
      </c>
      <c r="Q1806" s="33">
        <v>0</v>
      </c>
      <c r="R1806" s="32">
        <v>0</v>
      </c>
      <c r="S1806" s="32"/>
      <c r="T1806" s="3">
        <v>5.5019999999999999E-2</v>
      </c>
      <c r="U1806" s="3">
        <v>2.9690000000000001E-2</v>
      </c>
      <c r="V1806" s="3">
        <v>0</v>
      </c>
      <c r="W1806" s="3">
        <v>0</v>
      </c>
      <c r="X1806" s="3"/>
      <c r="Y1806" s="3">
        <v>0</v>
      </c>
      <c r="Z1806" s="23"/>
      <c r="AA1806" s="23"/>
      <c r="AB1806" s="3" t="str">
        <f t="shared" si="15"/>
        <v>905_24__vm</v>
      </c>
      <c r="AC1806" s="3" t="str">
        <f t="shared" si="14"/>
        <v>905_24__vm_3</v>
      </c>
      <c r="AE1806" s="3" t="s">
        <v>37</v>
      </c>
    </row>
    <row r="1807" spans="1:31" ht="14">
      <c r="A1807" s="23"/>
      <c r="B1807" s="23"/>
      <c r="C1807" s="23"/>
      <c r="D1807" s="23"/>
      <c r="E1807" s="23"/>
      <c r="F1807" s="23"/>
      <c r="G1807" s="23"/>
      <c r="H1807" s="22"/>
      <c r="I1807" s="23"/>
      <c r="J1807" s="23"/>
      <c r="K1807" s="23"/>
      <c r="L1807" s="32" t="s">
        <v>38</v>
      </c>
      <c r="M1807" s="33">
        <v>72</v>
      </c>
      <c r="N1807" s="33">
        <v>0</v>
      </c>
      <c r="O1807" s="33">
        <v>2</v>
      </c>
      <c r="P1807" s="32">
        <v>5</v>
      </c>
      <c r="Q1807" s="33">
        <v>3</v>
      </c>
      <c r="R1807" s="32">
        <v>0</v>
      </c>
      <c r="S1807" s="32"/>
      <c r="T1807" s="3">
        <v>0</v>
      </c>
      <c r="U1807" s="3">
        <v>7.8299999999999995E-2</v>
      </c>
      <c r="V1807" s="3">
        <v>0.23039000000000001</v>
      </c>
      <c r="W1807" s="3">
        <v>0</v>
      </c>
      <c r="X1807" s="3"/>
      <c r="Y1807" s="3">
        <v>0</v>
      </c>
      <c r="Z1807" s="23"/>
      <c r="AA1807" s="23"/>
      <c r="AB1807" s="3" t="str">
        <f t="shared" si="15"/>
        <v>___</v>
      </c>
      <c r="AC1807" s="3" t="str">
        <f t="shared" si="14"/>
        <v>____</v>
      </c>
    </row>
    <row r="1808" spans="1:31" ht="14">
      <c r="A1808" s="23"/>
      <c r="B1808" s="23"/>
      <c r="C1808" s="23"/>
      <c r="D1808" s="23"/>
      <c r="E1808" s="23"/>
      <c r="F1808" s="23"/>
      <c r="G1808" s="23"/>
      <c r="H1808" s="22"/>
      <c r="I1808" s="23"/>
      <c r="J1808" s="23"/>
      <c r="K1808" s="23"/>
      <c r="L1808" s="32" t="s">
        <v>39</v>
      </c>
      <c r="M1808" s="33">
        <v>77</v>
      </c>
      <c r="N1808" s="33">
        <v>0</v>
      </c>
      <c r="O1808" s="33">
        <v>6</v>
      </c>
      <c r="P1808" s="32">
        <v>1</v>
      </c>
      <c r="Q1808" s="33">
        <v>1</v>
      </c>
      <c r="R1808" s="32">
        <v>0</v>
      </c>
      <c r="S1808" s="32"/>
      <c r="T1808" s="3">
        <v>0</v>
      </c>
      <c r="U1808" s="3">
        <v>0.13647999999999999</v>
      </c>
      <c r="V1808" s="3">
        <v>0.33384000000000003</v>
      </c>
      <c r="W1808" s="3">
        <v>0</v>
      </c>
      <c r="X1808" s="3"/>
      <c r="Y1808" s="3">
        <v>0</v>
      </c>
      <c r="Z1808" s="23"/>
      <c r="AA1808" s="23"/>
      <c r="AB1808" s="3" t="str">
        <f t="shared" si="15"/>
        <v>___</v>
      </c>
      <c r="AC1808" s="3" t="str">
        <f t="shared" si="14"/>
        <v>____</v>
      </c>
    </row>
    <row r="1809" spans="1:31" ht="14">
      <c r="A1809" s="23"/>
      <c r="B1809" s="32">
        <v>905</v>
      </c>
      <c r="C1809" s="32">
        <v>55</v>
      </c>
      <c r="D1809" s="23"/>
      <c r="E1809" s="23"/>
      <c r="F1809" s="23"/>
      <c r="G1809" s="32" t="s">
        <v>40</v>
      </c>
      <c r="H1809" s="33">
        <v>1</v>
      </c>
      <c r="I1809" s="32">
        <v>20.3</v>
      </c>
      <c r="J1809" s="32">
        <v>16.2</v>
      </c>
      <c r="K1809" s="32">
        <v>5</v>
      </c>
      <c r="L1809" s="32" t="s">
        <v>36</v>
      </c>
      <c r="M1809" s="33">
        <v>32</v>
      </c>
      <c r="N1809" s="33">
        <v>5</v>
      </c>
      <c r="O1809" s="33">
        <v>5</v>
      </c>
      <c r="P1809" s="32">
        <v>0</v>
      </c>
      <c r="Q1809" s="33">
        <v>0</v>
      </c>
      <c r="R1809" s="32">
        <v>0</v>
      </c>
      <c r="S1809" s="32"/>
      <c r="T1809" s="3">
        <v>2.3810000000000001E-2</v>
      </c>
      <c r="U1809" s="3">
        <v>1.15E-2</v>
      </c>
      <c r="V1809" s="3">
        <v>0</v>
      </c>
      <c r="W1809" s="3">
        <v>0</v>
      </c>
      <c r="X1809" s="3"/>
      <c r="Y1809" s="3">
        <v>0</v>
      </c>
      <c r="Z1809" s="23"/>
      <c r="AA1809" s="23"/>
      <c r="AB1809" s="3" t="str">
        <f t="shared" si="15"/>
        <v>905_55__vm</v>
      </c>
      <c r="AC1809" s="3" t="str">
        <f t="shared" si="14"/>
        <v>905_55__vm_1</v>
      </c>
      <c r="AE1809" s="3" t="s">
        <v>37</v>
      </c>
    </row>
    <row r="1810" spans="1:31" ht="14">
      <c r="A1810" s="23"/>
      <c r="B1810" s="23"/>
      <c r="C1810" s="23"/>
      <c r="D1810" s="23"/>
      <c r="E1810" s="23"/>
      <c r="F1810" s="23"/>
      <c r="G1810" s="23"/>
      <c r="H1810" s="22"/>
      <c r="I1810" s="23"/>
      <c r="J1810" s="23"/>
      <c r="K1810" s="23"/>
      <c r="L1810" s="32" t="s">
        <v>38</v>
      </c>
      <c r="M1810" s="33">
        <v>46</v>
      </c>
      <c r="N1810" s="33">
        <v>0</v>
      </c>
      <c r="O1810" s="33">
        <v>6</v>
      </c>
      <c r="P1810" s="32">
        <v>0</v>
      </c>
      <c r="Q1810" s="33">
        <v>3</v>
      </c>
      <c r="R1810" s="32">
        <v>0</v>
      </c>
      <c r="S1810" s="32"/>
      <c r="T1810" s="3">
        <v>0</v>
      </c>
      <c r="U1810" s="3">
        <v>3.0300000000000001E-2</v>
      </c>
      <c r="V1810" s="3" t="s">
        <v>177</v>
      </c>
      <c r="W1810" s="3">
        <v>0</v>
      </c>
      <c r="X1810" s="3"/>
      <c r="Y1810" s="3">
        <v>0</v>
      </c>
      <c r="Z1810" s="23"/>
      <c r="AA1810" s="23"/>
      <c r="AB1810" s="3" t="str">
        <f t="shared" si="15"/>
        <v>___</v>
      </c>
      <c r="AC1810" s="3" t="str">
        <f t="shared" si="14"/>
        <v>____</v>
      </c>
    </row>
    <row r="1811" spans="1:31" ht="14">
      <c r="A1811" s="23"/>
      <c r="B1811" s="23"/>
      <c r="C1811" s="23"/>
      <c r="D1811" s="23"/>
      <c r="E1811" s="23"/>
      <c r="F1811" s="23"/>
      <c r="G1811" s="23"/>
      <c r="H1811" s="22"/>
      <c r="I1811" s="23"/>
      <c r="J1811" s="23"/>
      <c r="K1811" s="23"/>
      <c r="L1811" s="32" t="s">
        <v>39</v>
      </c>
      <c r="M1811" s="22"/>
      <c r="N1811" s="22"/>
      <c r="O1811" s="22"/>
      <c r="P1811" s="23"/>
      <c r="Q1811" s="22"/>
      <c r="R1811" s="23"/>
      <c r="S1811" s="23"/>
      <c r="V1811" s="3">
        <v>5.806E-2</v>
      </c>
      <c r="W1811" s="3">
        <v>0</v>
      </c>
      <c r="X1811" s="3"/>
      <c r="Y1811" s="3">
        <v>0</v>
      </c>
      <c r="Z1811" s="32" t="s">
        <v>245</v>
      </c>
      <c r="AA1811" s="23"/>
      <c r="AB1811" s="3" t="str">
        <f t="shared" si="15"/>
        <v>___</v>
      </c>
      <c r="AC1811" s="3" t="str">
        <f t="shared" si="14"/>
        <v>____</v>
      </c>
    </row>
    <row r="1812" spans="1:31" ht="14">
      <c r="A1812" s="23"/>
      <c r="B1812" s="23"/>
      <c r="C1812" s="23"/>
      <c r="D1812" s="23"/>
      <c r="E1812" s="23"/>
      <c r="F1812" s="23"/>
      <c r="G1812" s="23"/>
      <c r="H1812" s="22"/>
      <c r="I1812" s="23"/>
      <c r="J1812" s="23"/>
      <c r="K1812" s="23"/>
      <c r="L1812" s="32" t="s">
        <v>39</v>
      </c>
      <c r="M1812" s="33">
        <v>45</v>
      </c>
      <c r="N1812" s="33">
        <v>0</v>
      </c>
      <c r="O1812" s="33">
        <v>7</v>
      </c>
      <c r="P1812" s="32">
        <v>0</v>
      </c>
      <c r="Q1812" s="33">
        <v>1</v>
      </c>
      <c r="R1812" s="32">
        <v>0</v>
      </c>
      <c r="S1812" s="32"/>
      <c r="T1812" s="3">
        <v>0</v>
      </c>
      <c r="U1812" s="3">
        <v>6.0970000000000003E-2</v>
      </c>
      <c r="V1812" s="3">
        <v>0.10369</v>
      </c>
      <c r="W1812" s="3">
        <v>0</v>
      </c>
      <c r="X1812" s="3"/>
      <c r="Y1812" s="3">
        <v>0</v>
      </c>
      <c r="Z1812" s="23"/>
      <c r="AA1812" s="23"/>
      <c r="AB1812" s="3" t="str">
        <f t="shared" si="15"/>
        <v>___</v>
      </c>
      <c r="AC1812" s="3" t="str">
        <f t="shared" si="14"/>
        <v>____</v>
      </c>
    </row>
    <row r="1813" spans="1:31" ht="14">
      <c r="A1813" s="23"/>
      <c r="B1813" s="32">
        <v>905</v>
      </c>
      <c r="C1813" s="32">
        <v>55</v>
      </c>
      <c r="D1813" s="23"/>
      <c r="E1813" s="23"/>
      <c r="F1813" s="23"/>
      <c r="G1813" s="32" t="s">
        <v>40</v>
      </c>
      <c r="H1813" s="33">
        <v>2</v>
      </c>
      <c r="I1813" s="32">
        <v>25.5</v>
      </c>
      <c r="J1813" s="32">
        <v>29.2</v>
      </c>
      <c r="K1813" s="32">
        <v>8</v>
      </c>
      <c r="L1813" s="32" t="s">
        <v>36</v>
      </c>
      <c r="M1813" s="33">
        <v>14</v>
      </c>
      <c r="N1813" s="33">
        <v>3</v>
      </c>
      <c r="O1813" s="33">
        <v>3</v>
      </c>
      <c r="P1813" s="32">
        <v>0</v>
      </c>
      <c r="Q1813" s="33">
        <v>0</v>
      </c>
      <c r="R1813" s="32">
        <v>0</v>
      </c>
      <c r="S1813" s="32"/>
      <c r="T1813" s="3">
        <v>9.11E-3</v>
      </c>
      <c r="U1813" s="3">
        <v>2.5100000000000001E-3</v>
      </c>
      <c r="V1813" s="3">
        <v>0</v>
      </c>
      <c r="W1813" s="3">
        <v>0</v>
      </c>
      <c r="X1813" s="3"/>
      <c r="Y1813" s="3">
        <v>0</v>
      </c>
      <c r="Z1813" s="23"/>
      <c r="AA1813" s="23"/>
      <c r="AB1813" s="3" t="str">
        <f t="shared" si="15"/>
        <v>905_55__vm</v>
      </c>
      <c r="AC1813" s="3" t="str">
        <f t="shared" si="14"/>
        <v>905_55__vm_2</v>
      </c>
      <c r="AE1813" s="3" t="s">
        <v>37</v>
      </c>
    </row>
    <row r="1814" spans="1:31" ht="14">
      <c r="A1814" s="23"/>
      <c r="B1814" s="23"/>
      <c r="C1814" s="23"/>
      <c r="D1814" s="23"/>
      <c r="E1814" s="23"/>
      <c r="F1814" s="23"/>
      <c r="G1814" s="23"/>
      <c r="H1814" s="22"/>
      <c r="I1814" s="23"/>
      <c r="J1814" s="23"/>
      <c r="K1814" s="23"/>
      <c r="L1814" s="32" t="s">
        <v>38</v>
      </c>
      <c r="M1814" s="33">
        <v>21</v>
      </c>
      <c r="N1814" s="33">
        <v>0</v>
      </c>
      <c r="O1814" s="33">
        <v>5</v>
      </c>
      <c r="P1814" s="32">
        <v>0</v>
      </c>
      <c r="Q1814" s="33">
        <v>1</v>
      </c>
      <c r="R1814" s="32">
        <v>0</v>
      </c>
      <c r="S1814" s="32"/>
      <c r="T1814" s="3">
        <v>0</v>
      </c>
      <c r="U1814" s="3">
        <v>6.5599999999999999E-3</v>
      </c>
      <c r="V1814" s="3">
        <v>9.4000000000000004E-3</v>
      </c>
      <c r="W1814" s="3">
        <v>0</v>
      </c>
      <c r="X1814" s="3"/>
      <c r="Y1814" s="3">
        <v>0</v>
      </c>
      <c r="Z1814" s="23"/>
      <c r="AA1814" s="23"/>
      <c r="AB1814" s="3" t="str">
        <f t="shared" si="15"/>
        <v>___</v>
      </c>
      <c r="AC1814" s="3" t="str">
        <f t="shared" si="14"/>
        <v>____</v>
      </c>
    </row>
    <row r="1815" spans="1:31" ht="14">
      <c r="A1815" s="23"/>
      <c r="B1815" s="23"/>
      <c r="C1815" s="23"/>
      <c r="D1815" s="23"/>
      <c r="E1815" s="23"/>
      <c r="F1815" s="23"/>
      <c r="G1815" s="23"/>
      <c r="H1815" s="22"/>
      <c r="I1815" s="23"/>
      <c r="J1815" s="23"/>
      <c r="K1815" s="23"/>
      <c r="L1815" s="32" t="s">
        <v>39</v>
      </c>
      <c r="M1815" s="33">
        <v>26</v>
      </c>
      <c r="N1815" s="33">
        <v>0</v>
      </c>
      <c r="O1815" s="33">
        <v>5</v>
      </c>
      <c r="P1815" s="32">
        <v>0</v>
      </c>
      <c r="Q1815" s="33">
        <v>1</v>
      </c>
      <c r="R1815" s="32">
        <v>0</v>
      </c>
      <c r="S1815" s="32"/>
      <c r="T1815" s="3">
        <v>0</v>
      </c>
      <c r="U1815" s="3">
        <v>1.3469999999999999E-2</v>
      </c>
      <c r="V1815" s="3">
        <v>1.8020000000000001E-2</v>
      </c>
      <c r="W1815" s="3">
        <v>0</v>
      </c>
      <c r="X1815" s="3"/>
      <c r="Y1815" s="3">
        <v>0</v>
      </c>
      <c r="Z1815" s="23"/>
      <c r="AA1815" s="23"/>
      <c r="AB1815" s="3" t="str">
        <f t="shared" si="15"/>
        <v>___</v>
      </c>
      <c r="AC1815" s="3" t="str">
        <f t="shared" si="14"/>
        <v>____</v>
      </c>
    </row>
    <row r="1816" spans="1:31" ht="14">
      <c r="A1816" s="23"/>
      <c r="B1816" s="32">
        <v>905</v>
      </c>
      <c r="C1816" s="32">
        <v>55</v>
      </c>
      <c r="D1816" s="23"/>
      <c r="E1816" s="23"/>
      <c r="F1816" s="23"/>
      <c r="G1816" s="32" t="s">
        <v>40</v>
      </c>
      <c r="H1816" s="33">
        <v>3</v>
      </c>
      <c r="I1816" s="32">
        <v>17.8</v>
      </c>
      <c r="J1816" s="32">
        <v>13.5</v>
      </c>
      <c r="K1816" s="32">
        <v>4</v>
      </c>
      <c r="L1816" s="32" t="s">
        <v>36</v>
      </c>
      <c r="M1816" s="33">
        <v>34</v>
      </c>
      <c r="N1816" s="33">
        <v>6</v>
      </c>
      <c r="O1816" s="33">
        <v>6</v>
      </c>
      <c r="P1816" s="32">
        <v>0</v>
      </c>
      <c r="Q1816" s="33">
        <v>0</v>
      </c>
      <c r="R1816" s="32">
        <v>0</v>
      </c>
      <c r="S1816" s="32"/>
      <c r="T1816" s="3">
        <v>2.281E-2</v>
      </c>
      <c r="U1816" s="3">
        <v>1.0370000000000001E-2</v>
      </c>
      <c r="V1816" s="3">
        <v>0</v>
      </c>
      <c r="W1816" s="3">
        <v>0</v>
      </c>
      <c r="X1816" s="3"/>
      <c r="Y1816" s="3">
        <v>0</v>
      </c>
      <c r="Z1816" s="23"/>
      <c r="AA1816" s="23"/>
      <c r="AB1816" s="3" t="str">
        <f t="shared" si="15"/>
        <v>905_55__vm</v>
      </c>
      <c r="AC1816" s="3" t="str">
        <f t="shared" si="14"/>
        <v>905_55__vm_3</v>
      </c>
      <c r="AE1816" s="3" t="s">
        <v>37</v>
      </c>
    </row>
    <row r="1817" spans="1:31" ht="14">
      <c r="A1817" s="23"/>
      <c r="B1817" s="23"/>
      <c r="C1817" s="23"/>
      <c r="D1817" s="23"/>
      <c r="E1817" s="23"/>
      <c r="F1817" s="23"/>
      <c r="G1817" s="23"/>
      <c r="H1817" s="22"/>
      <c r="I1817" s="23"/>
      <c r="J1817" s="23"/>
      <c r="K1817" s="23"/>
      <c r="L1817" s="32" t="s">
        <v>38</v>
      </c>
      <c r="M1817" s="33">
        <v>63</v>
      </c>
      <c r="N1817" s="33">
        <v>0</v>
      </c>
      <c r="O1817" s="33">
        <v>8</v>
      </c>
      <c r="P1817" s="32">
        <v>0</v>
      </c>
      <c r="Q1817" s="33">
        <v>2</v>
      </c>
      <c r="R1817" s="32">
        <v>0</v>
      </c>
      <c r="S1817" s="32"/>
      <c r="T1817" s="3">
        <v>0</v>
      </c>
      <c r="U1817" s="3">
        <v>4.6370000000000001E-2</v>
      </c>
      <c r="V1817" s="3">
        <v>5.0290000000000001E-2</v>
      </c>
      <c r="W1817" s="3">
        <v>0</v>
      </c>
      <c r="X1817" s="3"/>
      <c r="Y1817" s="3">
        <v>0</v>
      </c>
      <c r="Z1817" s="23"/>
      <c r="AA1817" s="23"/>
      <c r="AB1817" s="3" t="str">
        <f t="shared" si="15"/>
        <v>___</v>
      </c>
      <c r="AC1817" s="3" t="str">
        <f t="shared" si="14"/>
        <v>____</v>
      </c>
    </row>
    <row r="1818" spans="1:31" ht="14">
      <c r="A1818" s="23"/>
      <c r="B1818" s="23"/>
      <c r="C1818" s="23"/>
      <c r="D1818" s="23"/>
      <c r="E1818" s="23"/>
      <c r="F1818" s="23"/>
      <c r="G1818" s="23"/>
      <c r="H1818" s="22"/>
      <c r="I1818" s="23"/>
      <c r="J1818" s="23"/>
      <c r="K1818" s="23"/>
      <c r="L1818" s="32" t="s">
        <v>39</v>
      </c>
      <c r="M1818" s="33">
        <v>56</v>
      </c>
      <c r="N1818" s="33">
        <v>0</v>
      </c>
      <c r="O1818" s="33">
        <v>12</v>
      </c>
      <c r="P1818" s="32">
        <v>0</v>
      </c>
      <c r="Q1818" s="33">
        <v>0</v>
      </c>
      <c r="R1818" s="32">
        <v>0</v>
      </c>
      <c r="S1818" s="32"/>
      <c r="T1818" s="3">
        <v>0</v>
      </c>
      <c r="U1818" s="3">
        <v>6.2109999999999999E-2</v>
      </c>
      <c r="V1818" s="3">
        <v>0</v>
      </c>
      <c r="W1818" s="3">
        <v>0</v>
      </c>
      <c r="X1818" s="3"/>
      <c r="Y1818" s="3">
        <v>0</v>
      </c>
      <c r="Z1818" s="23"/>
      <c r="AA1818" s="23"/>
      <c r="AB1818" s="3" t="str">
        <f t="shared" si="15"/>
        <v>___</v>
      </c>
      <c r="AC1818" s="3" t="str">
        <f t="shared" si="14"/>
        <v>____</v>
      </c>
    </row>
    <row r="1819" spans="1:31" ht="14">
      <c r="A1819" s="23"/>
      <c r="B1819" s="32">
        <v>905</v>
      </c>
      <c r="C1819" s="32">
        <v>55</v>
      </c>
      <c r="D1819" s="23"/>
      <c r="E1819" s="23"/>
      <c r="F1819" s="23"/>
      <c r="G1819" s="32" t="s">
        <v>35</v>
      </c>
      <c r="H1819" s="33">
        <v>1</v>
      </c>
      <c r="I1819" s="32">
        <v>17.5</v>
      </c>
      <c r="J1819" s="32">
        <v>15.6</v>
      </c>
      <c r="K1819" s="32">
        <v>5</v>
      </c>
      <c r="L1819" s="32" t="s">
        <v>36</v>
      </c>
      <c r="M1819" s="33">
        <v>25</v>
      </c>
      <c r="N1819" s="33">
        <v>12</v>
      </c>
      <c r="O1819" s="33">
        <v>12</v>
      </c>
      <c r="P1819" s="32">
        <v>0</v>
      </c>
      <c r="Q1819" s="33">
        <v>0</v>
      </c>
      <c r="R1819" s="32">
        <v>0</v>
      </c>
      <c r="S1819" s="32"/>
      <c r="T1819" s="3">
        <v>8.2960000000000006E-2</v>
      </c>
      <c r="U1819" s="3">
        <v>7.3099999999999997E-3</v>
      </c>
      <c r="V1819" s="3">
        <v>0</v>
      </c>
      <c r="W1819" s="3">
        <v>0</v>
      </c>
      <c r="X1819" s="3"/>
      <c r="Y1819" s="3">
        <v>0</v>
      </c>
      <c r="Z1819" s="23"/>
      <c r="AA1819" s="23"/>
      <c r="AB1819" s="3" t="str">
        <f t="shared" si="15"/>
        <v>905_55__vv</v>
      </c>
      <c r="AC1819" s="3" t="str">
        <f t="shared" si="14"/>
        <v>905_55__vv_1</v>
      </c>
      <c r="AE1819" s="3" t="s">
        <v>37</v>
      </c>
    </row>
    <row r="1820" spans="1:31" ht="14">
      <c r="A1820" s="23"/>
      <c r="B1820" s="23"/>
      <c r="C1820" s="23"/>
      <c r="D1820" s="23"/>
      <c r="E1820" s="23"/>
      <c r="F1820" s="23"/>
      <c r="G1820" s="23"/>
      <c r="H1820" s="22"/>
      <c r="I1820" s="23"/>
      <c r="J1820" s="23"/>
      <c r="K1820" s="23"/>
      <c r="L1820" s="32" t="s">
        <v>38</v>
      </c>
      <c r="M1820" s="33">
        <v>34</v>
      </c>
      <c r="N1820" s="33">
        <v>8</v>
      </c>
      <c r="O1820" s="33">
        <v>15</v>
      </c>
      <c r="P1820" s="32">
        <v>0</v>
      </c>
      <c r="Q1820" s="33">
        <v>0</v>
      </c>
      <c r="R1820" s="32">
        <v>0</v>
      </c>
      <c r="S1820" s="32"/>
      <c r="T1820" s="3">
        <v>8.1809999999999994E-2</v>
      </c>
      <c r="U1820" s="3">
        <v>1.562E-2</v>
      </c>
      <c r="V1820" s="3">
        <v>0</v>
      </c>
      <c r="W1820" s="3">
        <v>0</v>
      </c>
      <c r="X1820" s="3"/>
      <c r="Y1820" s="3">
        <v>0</v>
      </c>
      <c r="Z1820" s="23"/>
      <c r="AA1820" s="23"/>
      <c r="AB1820" s="3" t="str">
        <f t="shared" si="15"/>
        <v>___</v>
      </c>
      <c r="AC1820" s="3" t="str">
        <f t="shared" si="14"/>
        <v>____</v>
      </c>
    </row>
    <row r="1821" spans="1:31" ht="14">
      <c r="A1821" s="23"/>
      <c r="B1821" s="23"/>
      <c r="C1821" s="23"/>
      <c r="D1821" s="23"/>
      <c r="E1821" s="23"/>
      <c r="F1821" s="23"/>
      <c r="G1821" s="23"/>
      <c r="H1821" s="22"/>
      <c r="I1821" s="23"/>
      <c r="J1821" s="23"/>
      <c r="K1821" s="23"/>
      <c r="L1821" s="32" t="s">
        <v>39</v>
      </c>
      <c r="M1821" s="33">
        <v>47</v>
      </c>
      <c r="N1821" s="33">
        <v>8</v>
      </c>
      <c r="O1821" s="33">
        <v>14</v>
      </c>
      <c r="P1821" s="32">
        <v>0</v>
      </c>
      <c r="Q1821" s="33">
        <v>0</v>
      </c>
      <c r="R1821" s="32">
        <v>0</v>
      </c>
      <c r="S1821" s="32"/>
      <c r="T1821" s="3">
        <v>8.6480000000000001E-2</v>
      </c>
      <c r="U1821" s="3">
        <v>3.3750000000000002E-2</v>
      </c>
      <c r="V1821" s="3">
        <v>0</v>
      </c>
      <c r="W1821" s="3">
        <v>0</v>
      </c>
      <c r="X1821" s="3"/>
      <c r="Y1821" s="3">
        <v>0</v>
      </c>
      <c r="Z1821" s="23"/>
      <c r="AA1821" s="23"/>
      <c r="AB1821" s="3" t="str">
        <f t="shared" si="15"/>
        <v>___</v>
      </c>
      <c r="AC1821" s="3" t="str">
        <f t="shared" si="14"/>
        <v>____</v>
      </c>
    </row>
    <row r="1822" spans="1:31" ht="14">
      <c r="A1822" s="23"/>
      <c r="B1822" s="32">
        <v>905</v>
      </c>
      <c r="C1822" s="32">
        <v>55</v>
      </c>
      <c r="D1822" s="23"/>
      <c r="E1822" s="23"/>
      <c r="F1822" s="23"/>
      <c r="G1822" s="32" t="s">
        <v>35</v>
      </c>
      <c r="H1822" s="33">
        <v>2</v>
      </c>
      <c r="I1822" s="32">
        <v>16.5</v>
      </c>
      <c r="J1822" s="32">
        <v>25.5</v>
      </c>
      <c r="K1822" s="32">
        <v>5</v>
      </c>
      <c r="L1822" s="32" t="s">
        <v>36</v>
      </c>
      <c r="M1822" s="33">
        <v>54</v>
      </c>
      <c r="N1822" s="33">
        <v>6</v>
      </c>
      <c r="O1822" s="33">
        <v>15</v>
      </c>
      <c r="P1822" s="32">
        <v>0</v>
      </c>
      <c r="Q1822" s="33">
        <v>0</v>
      </c>
      <c r="R1822" s="32">
        <v>0</v>
      </c>
      <c r="S1822" s="32"/>
      <c r="T1822" s="3">
        <v>1.1560000000000001E-2</v>
      </c>
      <c r="U1822" s="3">
        <v>3.6080000000000001E-2</v>
      </c>
      <c r="V1822" s="3">
        <v>0</v>
      </c>
      <c r="W1822" s="3">
        <v>0</v>
      </c>
      <c r="X1822" s="3"/>
      <c r="Y1822" s="3">
        <v>0</v>
      </c>
      <c r="Z1822" s="23"/>
      <c r="AA1822" s="23"/>
      <c r="AB1822" s="3" t="str">
        <f t="shared" si="15"/>
        <v>905_55__vv</v>
      </c>
      <c r="AC1822" s="3" t="str">
        <f t="shared" si="14"/>
        <v>905_55__vv_2</v>
      </c>
      <c r="AE1822" s="3" t="s">
        <v>37</v>
      </c>
    </row>
    <row r="1823" spans="1:31" ht="14">
      <c r="A1823" s="23"/>
      <c r="B1823" s="23"/>
      <c r="C1823" s="23"/>
      <c r="D1823" s="23"/>
      <c r="E1823" s="23"/>
      <c r="F1823" s="23"/>
      <c r="G1823" s="23"/>
      <c r="H1823" s="22"/>
      <c r="I1823" s="23"/>
      <c r="J1823" s="23"/>
      <c r="K1823" s="23"/>
      <c r="L1823" s="32" t="s">
        <v>38</v>
      </c>
      <c r="M1823" s="33">
        <v>28</v>
      </c>
      <c r="N1823" s="33">
        <v>11</v>
      </c>
      <c r="O1823" s="33">
        <v>12</v>
      </c>
      <c r="P1823" s="32">
        <v>0</v>
      </c>
      <c r="Q1823" s="33">
        <v>0</v>
      </c>
      <c r="R1823" s="32">
        <v>0</v>
      </c>
      <c r="S1823" s="32"/>
      <c r="T1823" s="3">
        <v>9.987E-2</v>
      </c>
      <c r="U1823" s="3">
        <v>9.6900000000000007E-3</v>
      </c>
      <c r="V1823" s="3">
        <v>0</v>
      </c>
      <c r="W1823" s="3">
        <v>0</v>
      </c>
      <c r="X1823" s="3"/>
      <c r="Y1823" s="3">
        <v>0</v>
      </c>
      <c r="Z1823" s="23"/>
      <c r="AA1823" s="23"/>
      <c r="AB1823" s="3" t="str">
        <f t="shared" si="15"/>
        <v>___</v>
      </c>
      <c r="AC1823" s="3" t="str">
        <f t="shared" si="14"/>
        <v>____</v>
      </c>
    </row>
    <row r="1824" spans="1:31" ht="14">
      <c r="A1824" s="23"/>
      <c r="B1824" s="23"/>
      <c r="C1824" s="23"/>
      <c r="D1824" s="23"/>
      <c r="E1824" s="23"/>
      <c r="F1824" s="23"/>
      <c r="G1824" s="23"/>
      <c r="H1824" s="22"/>
      <c r="I1824" s="23"/>
      <c r="J1824" s="23"/>
      <c r="K1824" s="23"/>
      <c r="L1824" s="32" t="s">
        <v>39</v>
      </c>
      <c r="M1824" s="33">
        <v>74</v>
      </c>
      <c r="N1824" s="33">
        <v>0</v>
      </c>
      <c r="O1824" s="33">
        <v>15</v>
      </c>
      <c r="P1824" s="32">
        <v>0</v>
      </c>
      <c r="Q1824" s="33">
        <v>0</v>
      </c>
      <c r="R1824" s="32">
        <v>0</v>
      </c>
      <c r="S1824" s="32"/>
      <c r="T1824" s="3">
        <v>0</v>
      </c>
      <c r="U1824" s="3">
        <v>6.5129999999999993E-2</v>
      </c>
      <c r="V1824" s="3">
        <v>0</v>
      </c>
      <c r="W1824" s="3">
        <v>0</v>
      </c>
      <c r="X1824" s="3"/>
      <c r="Y1824" s="3">
        <v>0</v>
      </c>
      <c r="Z1824" s="23"/>
      <c r="AA1824" s="23"/>
      <c r="AB1824" s="3" t="str">
        <f t="shared" si="15"/>
        <v>___</v>
      </c>
      <c r="AC1824" s="3" t="str">
        <f t="shared" si="14"/>
        <v>____</v>
      </c>
    </row>
    <row r="1825" spans="1:31" ht="14">
      <c r="A1825" s="23"/>
      <c r="B1825" s="32">
        <v>905</v>
      </c>
      <c r="C1825" s="32">
        <v>55</v>
      </c>
      <c r="D1825" s="23"/>
      <c r="E1825" s="23"/>
      <c r="F1825" s="23"/>
      <c r="G1825" s="32" t="s">
        <v>35</v>
      </c>
      <c r="H1825" s="33">
        <v>3</v>
      </c>
      <c r="I1825" s="32">
        <v>11.1</v>
      </c>
      <c r="J1825" s="32">
        <v>15.1</v>
      </c>
      <c r="K1825" s="32">
        <v>4</v>
      </c>
      <c r="L1825" s="32" t="s">
        <v>36</v>
      </c>
      <c r="M1825" s="33">
        <v>38</v>
      </c>
      <c r="N1825" s="33">
        <v>9</v>
      </c>
      <c r="O1825" s="33">
        <v>11</v>
      </c>
      <c r="P1825" s="32">
        <v>0</v>
      </c>
      <c r="Q1825" s="33">
        <v>0</v>
      </c>
      <c r="R1825" s="32">
        <v>0</v>
      </c>
      <c r="S1825" s="32"/>
      <c r="T1825" s="3">
        <v>7.7109999999999998E-2</v>
      </c>
      <c r="U1825" s="3">
        <v>1.2619999999999999E-2</v>
      </c>
      <c r="V1825" s="3">
        <v>0</v>
      </c>
      <c r="W1825" s="3">
        <v>0</v>
      </c>
      <c r="X1825" s="3"/>
      <c r="Y1825" s="3">
        <v>0</v>
      </c>
      <c r="Z1825" s="23"/>
      <c r="AA1825" s="23"/>
      <c r="AB1825" s="3" t="str">
        <f t="shared" si="15"/>
        <v>905_55__vv</v>
      </c>
      <c r="AC1825" s="3" t="str">
        <f t="shared" si="14"/>
        <v>905_55__vv_3</v>
      </c>
      <c r="AE1825" s="3" t="s">
        <v>37</v>
      </c>
    </row>
    <row r="1826" spans="1:31" ht="14">
      <c r="A1826" s="23"/>
      <c r="B1826" s="23"/>
      <c r="C1826" s="23"/>
      <c r="D1826" s="23"/>
      <c r="E1826" s="23"/>
      <c r="F1826" s="23"/>
      <c r="G1826" s="23"/>
      <c r="H1826" s="22"/>
      <c r="I1826" s="23"/>
      <c r="J1826" s="23"/>
      <c r="K1826" s="23"/>
      <c r="L1826" s="32" t="s">
        <v>38</v>
      </c>
      <c r="M1826" s="33">
        <v>39</v>
      </c>
      <c r="N1826" s="33">
        <v>9</v>
      </c>
      <c r="O1826" s="33">
        <v>12</v>
      </c>
      <c r="P1826" s="32">
        <v>0</v>
      </c>
      <c r="Q1826" s="33">
        <v>0</v>
      </c>
      <c r="R1826" s="32">
        <v>0</v>
      </c>
      <c r="S1826" s="32"/>
      <c r="T1826" s="3">
        <v>7.6189999999999994E-2</v>
      </c>
      <c r="U1826" s="3">
        <v>2.29E-2</v>
      </c>
      <c r="V1826" s="3">
        <v>0</v>
      </c>
      <c r="W1826" s="3">
        <v>0</v>
      </c>
      <c r="X1826" s="3"/>
      <c r="Y1826" s="3">
        <v>0</v>
      </c>
      <c r="Z1826" s="23"/>
      <c r="AA1826" s="23"/>
      <c r="AB1826" s="3" t="str">
        <f t="shared" si="15"/>
        <v>___</v>
      </c>
      <c r="AC1826" s="3" t="str">
        <f t="shared" si="14"/>
        <v>____</v>
      </c>
    </row>
    <row r="1827" spans="1:31" ht="14">
      <c r="A1827" s="23"/>
      <c r="B1827" s="23"/>
      <c r="C1827" s="23"/>
      <c r="D1827" s="23"/>
      <c r="E1827" s="23"/>
      <c r="F1827" s="23"/>
      <c r="G1827" s="23"/>
      <c r="H1827" s="22"/>
      <c r="I1827" s="23"/>
      <c r="J1827" s="23"/>
      <c r="K1827" s="23"/>
      <c r="L1827" s="32" t="s">
        <v>39</v>
      </c>
      <c r="M1827" s="33">
        <v>41</v>
      </c>
      <c r="N1827" s="33">
        <v>1</v>
      </c>
      <c r="O1827" s="33">
        <v>12</v>
      </c>
      <c r="P1827" s="32">
        <v>0</v>
      </c>
      <c r="Q1827" s="33">
        <v>0</v>
      </c>
      <c r="R1827" s="32">
        <v>0</v>
      </c>
      <c r="S1827" s="32"/>
      <c r="T1827" s="3">
        <v>4.6899999999999997E-3</v>
      </c>
      <c r="U1827" s="3">
        <v>2.9860000000000001E-2</v>
      </c>
      <c r="V1827" s="3">
        <v>0</v>
      </c>
      <c r="W1827" s="3">
        <v>0</v>
      </c>
      <c r="X1827" s="3"/>
      <c r="Y1827" s="3">
        <v>0</v>
      </c>
      <c r="Z1827" s="23"/>
      <c r="AA1827" s="23"/>
      <c r="AB1827" s="3" t="str">
        <f t="shared" si="15"/>
        <v>___</v>
      </c>
      <c r="AC1827" s="3" t="str">
        <f t="shared" si="14"/>
        <v>____</v>
      </c>
    </row>
    <row r="1828" spans="1:31" ht="14">
      <c r="A1828" s="23"/>
      <c r="B1828" s="32">
        <v>970</v>
      </c>
      <c r="C1828" s="32">
        <v>26</v>
      </c>
      <c r="D1828" s="23"/>
      <c r="E1828" s="23"/>
      <c r="F1828" s="23"/>
      <c r="G1828" s="32" t="s">
        <v>35</v>
      </c>
      <c r="H1828" s="33">
        <v>1</v>
      </c>
      <c r="I1828" s="32">
        <v>21.1</v>
      </c>
      <c r="J1828" s="32">
        <v>17</v>
      </c>
      <c r="K1828" s="32">
        <v>3</v>
      </c>
      <c r="L1828" s="32" t="s">
        <v>36</v>
      </c>
      <c r="M1828" s="33">
        <v>30</v>
      </c>
      <c r="N1828" s="33">
        <v>13</v>
      </c>
      <c r="O1828" s="33">
        <v>16</v>
      </c>
      <c r="P1828" s="32">
        <v>0</v>
      </c>
      <c r="Q1828" s="33">
        <v>0</v>
      </c>
      <c r="R1828" s="32">
        <v>0</v>
      </c>
      <c r="S1828" s="32"/>
      <c r="T1828" s="3">
        <v>7.2300000000000003E-2</v>
      </c>
      <c r="U1828" s="3">
        <v>7.11E-3</v>
      </c>
      <c r="V1828" s="3">
        <v>0</v>
      </c>
      <c r="W1828" s="3">
        <v>0</v>
      </c>
      <c r="X1828" s="3"/>
      <c r="Y1828" s="3">
        <v>0</v>
      </c>
      <c r="Z1828" s="23"/>
      <c r="AA1828" s="23"/>
      <c r="AB1828" s="3" t="str">
        <f t="shared" si="15"/>
        <v>970_26__vv</v>
      </c>
      <c r="AC1828" s="3" t="str">
        <f t="shared" si="14"/>
        <v>970_26__vv_1</v>
      </c>
      <c r="AE1828" s="3" t="s">
        <v>37</v>
      </c>
    </row>
    <row r="1829" spans="1:31" ht="14">
      <c r="A1829" s="23"/>
      <c r="B1829" s="23"/>
      <c r="C1829" s="23"/>
      <c r="D1829" s="23"/>
      <c r="E1829" s="23"/>
      <c r="F1829" s="23"/>
      <c r="G1829" s="23"/>
      <c r="H1829" s="22"/>
      <c r="I1829" s="23"/>
      <c r="J1829" s="23"/>
      <c r="K1829" s="23"/>
      <c r="L1829" s="32" t="s">
        <v>38</v>
      </c>
      <c r="M1829" s="33">
        <v>72</v>
      </c>
      <c r="N1829" s="33">
        <v>10</v>
      </c>
      <c r="O1829" s="33">
        <v>16</v>
      </c>
      <c r="P1829" s="32">
        <v>0</v>
      </c>
      <c r="Q1829" s="33">
        <v>0</v>
      </c>
      <c r="R1829" s="32">
        <v>0</v>
      </c>
      <c r="S1829" s="32"/>
      <c r="T1829" s="3">
        <v>0.26941999999999999</v>
      </c>
      <c r="U1829" s="3">
        <v>4.8680000000000001E-2</v>
      </c>
      <c r="V1829" s="3">
        <v>0</v>
      </c>
      <c r="W1829" s="3">
        <v>0</v>
      </c>
      <c r="X1829" s="3"/>
      <c r="Y1829" s="3">
        <v>0</v>
      </c>
      <c r="Z1829" s="23"/>
      <c r="AA1829" s="23"/>
      <c r="AB1829" s="3" t="str">
        <f t="shared" si="15"/>
        <v>___</v>
      </c>
      <c r="AC1829" s="3" t="str">
        <f t="shared" si="14"/>
        <v>____</v>
      </c>
    </row>
    <row r="1830" spans="1:31" ht="14">
      <c r="A1830" s="23"/>
      <c r="B1830" s="23"/>
      <c r="C1830" s="23"/>
      <c r="D1830" s="23"/>
      <c r="E1830" s="23"/>
      <c r="F1830" s="23"/>
      <c r="G1830" s="23"/>
      <c r="H1830" s="22"/>
      <c r="I1830" s="23"/>
      <c r="J1830" s="23"/>
      <c r="K1830" s="23"/>
      <c r="L1830" s="32" t="s">
        <v>39</v>
      </c>
      <c r="M1830" s="33">
        <v>70</v>
      </c>
      <c r="N1830" s="33">
        <v>1</v>
      </c>
      <c r="O1830" s="33">
        <v>7</v>
      </c>
      <c r="P1830" s="32">
        <v>0</v>
      </c>
      <c r="Q1830" s="33">
        <v>0</v>
      </c>
      <c r="R1830" s="32">
        <v>0</v>
      </c>
      <c r="S1830" s="32"/>
      <c r="T1830" s="3">
        <v>4.5900000000000003E-3</v>
      </c>
      <c r="U1830" s="3">
        <v>5.8560000000000001E-2</v>
      </c>
      <c r="V1830" s="3">
        <v>0</v>
      </c>
      <c r="W1830" s="3">
        <v>0</v>
      </c>
      <c r="X1830" s="3"/>
      <c r="Y1830" s="3">
        <v>0</v>
      </c>
      <c r="Z1830" s="23"/>
      <c r="AA1830" s="23"/>
      <c r="AB1830" s="3" t="str">
        <f t="shared" si="15"/>
        <v>___</v>
      </c>
      <c r="AC1830" s="3" t="str">
        <f t="shared" si="14"/>
        <v>____</v>
      </c>
    </row>
    <row r="1831" spans="1:31" ht="14">
      <c r="A1831" s="23"/>
      <c r="B1831" s="32">
        <v>970</v>
      </c>
      <c r="C1831" s="32">
        <v>26</v>
      </c>
      <c r="D1831" s="23"/>
      <c r="E1831" s="23"/>
      <c r="F1831" s="23"/>
      <c r="G1831" s="32" t="s">
        <v>35</v>
      </c>
      <c r="H1831" s="33">
        <v>2</v>
      </c>
      <c r="I1831" s="32">
        <v>22.6</v>
      </c>
      <c r="J1831" s="32">
        <v>21.6</v>
      </c>
      <c r="K1831" s="32">
        <v>5</v>
      </c>
      <c r="L1831" s="32" t="s">
        <v>36</v>
      </c>
      <c r="M1831" s="33">
        <v>47</v>
      </c>
      <c r="N1831" s="33">
        <v>13</v>
      </c>
      <c r="O1831" s="33">
        <v>15</v>
      </c>
      <c r="P1831" s="32">
        <v>0</v>
      </c>
      <c r="Q1831" s="33">
        <v>0</v>
      </c>
      <c r="R1831" s="32">
        <v>0</v>
      </c>
      <c r="S1831" s="32"/>
      <c r="T1831" s="3">
        <v>0.10148</v>
      </c>
      <c r="U1831" s="3">
        <v>1.4800000000000001E-2</v>
      </c>
      <c r="V1831" s="3">
        <v>0</v>
      </c>
      <c r="W1831" s="3">
        <v>0</v>
      </c>
      <c r="X1831" s="3"/>
      <c r="Y1831" s="3">
        <v>0</v>
      </c>
      <c r="Z1831" s="23"/>
      <c r="AA1831" s="23"/>
      <c r="AB1831" s="3" t="str">
        <f t="shared" si="15"/>
        <v>970_26__vv</v>
      </c>
      <c r="AC1831" s="3" t="str">
        <f t="shared" si="14"/>
        <v>970_26__vv_2</v>
      </c>
      <c r="AE1831" s="3" t="s">
        <v>37</v>
      </c>
    </row>
    <row r="1832" spans="1:31" ht="14">
      <c r="A1832" s="23"/>
      <c r="B1832" s="23"/>
      <c r="C1832" s="23"/>
      <c r="D1832" s="23"/>
      <c r="E1832" s="23"/>
      <c r="F1832" s="23"/>
      <c r="G1832" s="23"/>
      <c r="H1832" s="22"/>
      <c r="I1832" s="23"/>
      <c r="J1832" s="23"/>
      <c r="K1832" s="23"/>
      <c r="L1832" s="32" t="s">
        <v>38</v>
      </c>
      <c r="M1832" s="33">
        <v>48</v>
      </c>
      <c r="N1832" s="33">
        <v>7</v>
      </c>
      <c r="O1832" s="33">
        <v>12</v>
      </c>
      <c r="P1832" s="32">
        <v>0</v>
      </c>
      <c r="Q1832" s="33">
        <v>2</v>
      </c>
      <c r="R1832" s="32">
        <v>0</v>
      </c>
      <c r="S1832" s="32"/>
      <c r="T1832" s="3">
        <v>0.19933999999999999</v>
      </c>
      <c r="U1832" s="3">
        <v>3.5409999999999997E-2</v>
      </c>
      <c r="V1832" s="3">
        <v>7.0279999999999995E-2</v>
      </c>
      <c r="W1832" s="3">
        <v>0</v>
      </c>
      <c r="X1832" s="3"/>
      <c r="Y1832" s="3">
        <v>0</v>
      </c>
      <c r="Z1832" s="32" t="s">
        <v>246</v>
      </c>
      <c r="AA1832" s="23"/>
      <c r="AB1832" s="3" t="str">
        <f t="shared" si="15"/>
        <v>___</v>
      </c>
      <c r="AC1832" s="3" t="str">
        <f t="shared" si="14"/>
        <v>____</v>
      </c>
    </row>
    <row r="1833" spans="1:31" ht="14">
      <c r="A1833" s="23"/>
      <c r="B1833" s="23"/>
      <c r="C1833" s="23"/>
      <c r="D1833" s="23"/>
      <c r="E1833" s="23"/>
      <c r="F1833" s="23"/>
      <c r="G1833" s="23"/>
      <c r="H1833" s="22"/>
      <c r="I1833" s="23"/>
      <c r="J1833" s="23"/>
      <c r="K1833" s="23"/>
      <c r="L1833" s="32" t="s">
        <v>39</v>
      </c>
      <c r="M1833" s="33">
        <v>38</v>
      </c>
      <c r="N1833" s="33">
        <v>7</v>
      </c>
      <c r="O1833" s="33">
        <v>13</v>
      </c>
      <c r="P1833" s="32">
        <v>0</v>
      </c>
      <c r="Q1833" s="33">
        <v>0</v>
      </c>
      <c r="R1833" s="32">
        <v>0</v>
      </c>
      <c r="S1833" s="32"/>
      <c r="T1833" s="3">
        <v>0.1216</v>
      </c>
      <c r="U1833" s="3">
        <v>3.4669999999999999E-2</v>
      </c>
      <c r="V1833" s="3">
        <v>0</v>
      </c>
      <c r="W1833" s="3">
        <v>0</v>
      </c>
      <c r="X1833" s="3"/>
      <c r="Y1833" s="3">
        <v>0</v>
      </c>
      <c r="Z1833" s="23"/>
      <c r="AA1833" s="23"/>
      <c r="AB1833" s="3" t="str">
        <f t="shared" si="15"/>
        <v>___</v>
      </c>
      <c r="AC1833" s="3" t="str">
        <f t="shared" si="14"/>
        <v>____</v>
      </c>
    </row>
    <row r="1834" spans="1:31" ht="14">
      <c r="A1834" s="23"/>
      <c r="B1834" s="32">
        <v>970</v>
      </c>
      <c r="C1834" s="32">
        <v>26</v>
      </c>
      <c r="D1834" s="23"/>
      <c r="E1834" s="23"/>
      <c r="F1834" s="23"/>
      <c r="G1834" s="32" t="s">
        <v>35</v>
      </c>
      <c r="H1834" s="33">
        <v>3</v>
      </c>
      <c r="I1834" s="32">
        <v>25</v>
      </c>
      <c r="J1834" s="32">
        <v>20.100000000000001</v>
      </c>
      <c r="K1834" s="32">
        <v>3</v>
      </c>
      <c r="L1834" s="32" t="s">
        <v>36</v>
      </c>
      <c r="M1834" s="33">
        <v>32</v>
      </c>
      <c r="N1834" s="33">
        <v>12</v>
      </c>
      <c r="O1834" s="33">
        <v>12</v>
      </c>
      <c r="P1834" s="32">
        <v>0</v>
      </c>
      <c r="Q1834" s="33">
        <v>0</v>
      </c>
      <c r="R1834" s="32">
        <v>0</v>
      </c>
      <c r="S1834" s="32"/>
      <c r="T1834" s="3">
        <v>5.9380000000000002E-2</v>
      </c>
      <c r="U1834" s="3">
        <v>8.4600000000000005E-3</v>
      </c>
      <c r="V1834" s="3">
        <v>0</v>
      </c>
      <c r="W1834" s="3">
        <v>0</v>
      </c>
      <c r="X1834" s="3"/>
      <c r="Y1834" s="3">
        <v>0</v>
      </c>
      <c r="Z1834" s="23"/>
      <c r="AA1834" s="23"/>
      <c r="AB1834" s="3" t="str">
        <f t="shared" si="15"/>
        <v>970_26__vv</v>
      </c>
      <c r="AC1834" s="3" t="str">
        <f t="shared" si="14"/>
        <v>970_26__vv_3</v>
      </c>
      <c r="AE1834" s="3" t="s">
        <v>37</v>
      </c>
    </row>
    <row r="1835" spans="1:31" ht="14">
      <c r="A1835" s="23"/>
      <c r="B1835" s="23"/>
      <c r="C1835" s="23"/>
      <c r="D1835" s="23"/>
      <c r="E1835" s="23"/>
      <c r="F1835" s="23"/>
      <c r="G1835" s="23"/>
      <c r="H1835" s="22"/>
      <c r="I1835" s="23"/>
      <c r="J1835" s="23"/>
      <c r="K1835" s="23"/>
      <c r="L1835" s="32" t="s">
        <v>38</v>
      </c>
      <c r="M1835" s="33">
        <v>74</v>
      </c>
      <c r="N1835" s="33">
        <v>8</v>
      </c>
      <c r="O1835" s="33">
        <v>15</v>
      </c>
      <c r="P1835" s="32">
        <v>0</v>
      </c>
      <c r="Q1835" s="33">
        <v>2</v>
      </c>
      <c r="R1835" s="32">
        <v>0</v>
      </c>
      <c r="S1835" s="32"/>
      <c r="T1835" s="3">
        <v>0.15614</v>
      </c>
      <c r="U1835" s="3">
        <v>5.7889999999999997E-2</v>
      </c>
      <c r="V1835" s="3">
        <v>0.1069</v>
      </c>
      <c r="W1835" s="3">
        <v>0</v>
      </c>
      <c r="X1835" s="3"/>
      <c r="Y1835" s="3">
        <v>0</v>
      </c>
      <c r="Z1835" s="23"/>
      <c r="AA1835" s="23"/>
      <c r="AB1835" s="3" t="str">
        <f t="shared" si="15"/>
        <v>___</v>
      </c>
      <c r="AC1835" s="3" t="str">
        <f t="shared" si="14"/>
        <v>____</v>
      </c>
    </row>
    <row r="1836" spans="1:31" ht="14">
      <c r="A1836" s="23"/>
      <c r="B1836" s="23"/>
      <c r="C1836" s="23"/>
      <c r="D1836" s="23"/>
      <c r="E1836" s="23"/>
      <c r="F1836" s="23"/>
      <c r="G1836" s="23"/>
      <c r="H1836" s="22"/>
      <c r="I1836" s="23"/>
      <c r="J1836" s="23"/>
      <c r="K1836" s="23"/>
      <c r="L1836" s="32" t="s">
        <v>39</v>
      </c>
      <c r="M1836" s="33">
        <v>98</v>
      </c>
      <c r="N1836" s="33">
        <v>3</v>
      </c>
      <c r="O1836" s="33">
        <v>15</v>
      </c>
      <c r="P1836" s="32">
        <v>0</v>
      </c>
      <c r="Q1836" s="33">
        <v>0</v>
      </c>
      <c r="R1836" s="32">
        <v>0</v>
      </c>
      <c r="S1836" s="32"/>
      <c r="T1836" s="3">
        <v>2.5180000000000001E-2</v>
      </c>
      <c r="U1836" s="3">
        <v>0.10066</v>
      </c>
      <c r="V1836" s="3">
        <v>0</v>
      </c>
      <c r="W1836" s="3">
        <v>0</v>
      </c>
      <c r="X1836" s="3"/>
      <c r="Y1836" s="3">
        <v>0</v>
      </c>
      <c r="Z1836" s="32" t="s">
        <v>247</v>
      </c>
      <c r="AA1836" s="23"/>
      <c r="AB1836" s="3" t="str">
        <f t="shared" si="15"/>
        <v>___</v>
      </c>
      <c r="AC1836" s="3" t="str">
        <f t="shared" si="14"/>
        <v>____</v>
      </c>
    </row>
    <row r="1837" spans="1:31" ht="14">
      <c r="A1837" s="23"/>
      <c r="B1837" s="32">
        <v>970</v>
      </c>
      <c r="C1837" s="32">
        <v>42</v>
      </c>
      <c r="D1837" s="23"/>
      <c r="E1837" s="23"/>
      <c r="F1837" s="23"/>
      <c r="G1837" s="32" t="s">
        <v>40</v>
      </c>
      <c r="H1837" s="33">
        <v>1</v>
      </c>
      <c r="I1837" s="32">
        <v>14.2</v>
      </c>
      <c r="J1837" s="32">
        <v>14</v>
      </c>
      <c r="K1837" s="32">
        <v>5</v>
      </c>
      <c r="L1837" s="32" t="s">
        <v>36</v>
      </c>
      <c r="M1837" s="33">
        <v>16</v>
      </c>
      <c r="N1837" s="33">
        <v>6</v>
      </c>
      <c r="O1837" s="33">
        <v>6</v>
      </c>
      <c r="P1837" s="32">
        <v>2</v>
      </c>
      <c r="Q1837" s="33">
        <v>0</v>
      </c>
      <c r="R1837" s="32">
        <v>0</v>
      </c>
      <c r="S1837" s="32"/>
      <c r="T1837" s="3">
        <v>1.103E-2</v>
      </c>
      <c r="U1837" s="3">
        <v>3.8700000000000002E-3</v>
      </c>
      <c r="V1837" s="3">
        <v>0</v>
      </c>
      <c r="W1837" s="3">
        <v>0</v>
      </c>
      <c r="X1837" s="3"/>
      <c r="Y1837" s="3">
        <v>0</v>
      </c>
      <c r="Z1837" s="23"/>
      <c r="AA1837" s="23"/>
      <c r="AB1837" s="3" t="str">
        <f t="shared" si="15"/>
        <v>970_42__vm</v>
      </c>
      <c r="AC1837" s="3" t="str">
        <f t="shared" si="14"/>
        <v>970_42__vm_1</v>
      </c>
      <c r="AE1837" s="3" t="s">
        <v>37</v>
      </c>
    </row>
    <row r="1838" spans="1:31" ht="14">
      <c r="A1838" s="23"/>
      <c r="B1838" s="23"/>
      <c r="C1838" s="23"/>
      <c r="D1838" s="23"/>
      <c r="E1838" s="23"/>
      <c r="F1838" s="23"/>
      <c r="G1838" s="23"/>
      <c r="H1838" s="22"/>
      <c r="I1838" s="23"/>
      <c r="J1838" s="23"/>
      <c r="K1838" s="23"/>
      <c r="L1838" s="32" t="s">
        <v>38</v>
      </c>
      <c r="M1838" s="33">
        <v>14</v>
      </c>
      <c r="N1838" s="33">
        <v>0</v>
      </c>
      <c r="O1838" s="33">
        <v>3</v>
      </c>
      <c r="P1838" s="32">
        <v>0</v>
      </c>
      <c r="Q1838" s="33">
        <v>0</v>
      </c>
      <c r="R1838" s="32">
        <v>0</v>
      </c>
      <c r="S1838" s="32"/>
      <c r="T1838" s="3">
        <v>0</v>
      </c>
      <c r="U1838" s="3">
        <v>4.4600000000000004E-3</v>
      </c>
      <c r="V1838" s="3">
        <v>0</v>
      </c>
      <c r="W1838" s="3">
        <v>0</v>
      </c>
      <c r="X1838" s="3"/>
      <c r="Y1838" s="3">
        <v>0</v>
      </c>
      <c r="Z1838" s="23"/>
      <c r="AA1838" s="23"/>
      <c r="AB1838" s="3" t="str">
        <f t="shared" si="15"/>
        <v>___</v>
      </c>
      <c r="AC1838" s="3" t="str">
        <f t="shared" si="14"/>
        <v>____</v>
      </c>
    </row>
    <row r="1839" spans="1:31" ht="14">
      <c r="A1839" s="23"/>
      <c r="B1839" s="23"/>
      <c r="C1839" s="23"/>
      <c r="D1839" s="23"/>
      <c r="E1839" s="23"/>
      <c r="F1839" s="23"/>
      <c r="G1839" s="23"/>
      <c r="H1839" s="22"/>
      <c r="I1839" s="23"/>
      <c r="J1839" s="23"/>
      <c r="K1839" s="23"/>
      <c r="L1839" s="32" t="s">
        <v>39</v>
      </c>
      <c r="M1839" s="33">
        <v>32</v>
      </c>
      <c r="N1839" s="33">
        <v>0</v>
      </c>
      <c r="O1839" s="33">
        <v>5</v>
      </c>
      <c r="P1839" s="32">
        <v>0</v>
      </c>
      <c r="Q1839" s="33">
        <v>1</v>
      </c>
      <c r="R1839" s="32">
        <v>0</v>
      </c>
      <c r="S1839" s="32"/>
      <c r="T1839" s="3">
        <v>0</v>
      </c>
      <c r="U1839" s="3">
        <v>1.721E-2</v>
      </c>
      <c r="V1839" s="3">
        <v>5.7400000000000003E-3</v>
      </c>
      <c r="W1839" s="3">
        <v>0</v>
      </c>
      <c r="X1839" s="3"/>
      <c r="Y1839" s="3">
        <v>0</v>
      </c>
      <c r="Z1839" s="23"/>
      <c r="AA1839" s="23"/>
      <c r="AB1839" s="3" t="str">
        <f t="shared" si="15"/>
        <v>___</v>
      </c>
      <c r="AC1839" s="3" t="str">
        <f t="shared" si="14"/>
        <v>____</v>
      </c>
    </row>
    <row r="1840" spans="1:31" ht="14">
      <c r="A1840" s="23"/>
      <c r="B1840" s="32">
        <v>970</v>
      </c>
      <c r="C1840" s="32">
        <v>42</v>
      </c>
      <c r="D1840" s="23"/>
      <c r="E1840" s="23"/>
      <c r="F1840" s="23"/>
      <c r="G1840" s="32" t="s">
        <v>40</v>
      </c>
      <c r="H1840" s="33">
        <v>2</v>
      </c>
      <c r="I1840" s="32">
        <v>22.5</v>
      </c>
      <c r="J1840" s="32">
        <v>22.1</v>
      </c>
      <c r="K1840" s="32">
        <v>5</v>
      </c>
      <c r="L1840" s="32" t="s">
        <v>36</v>
      </c>
      <c r="M1840" s="33">
        <v>59</v>
      </c>
      <c r="N1840" s="33">
        <v>8</v>
      </c>
      <c r="O1840" s="33">
        <v>8</v>
      </c>
      <c r="P1840" s="32">
        <v>0</v>
      </c>
      <c r="Q1840" s="33">
        <v>0</v>
      </c>
      <c r="R1840" s="32">
        <v>0</v>
      </c>
      <c r="S1840" s="32"/>
      <c r="T1840" s="3">
        <v>3.6560000000000002E-2</v>
      </c>
      <c r="U1840" s="3">
        <v>3.1759999999999997E-2</v>
      </c>
      <c r="V1840" s="3">
        <v>0</v>
      </c>
      <c r="W1840" s="3">
        <v>0</v>
      </c>
      <c r="X1840" s="3"/>
      <c r="Y1840" s="3">
        <v>0</v>
      </c>
      <c r="Z1840" s="23"/>
      <c r="AA1840" s="23"/>
      <c r="AB1840" s="3" t="str">
        <f t="shared" si="15"/>
        <v>970_42__vm</v>
      </c>
      <c r="AC1840" s="3" t="str">
        <f t="shared" si="14"/>
        <v>970_42__vm_2</v>
      </c>
      <c r="AE1840" s="3" t="s">
        <v>37</v>
      </c>
    </row>
    <row r="1841" spans="1:31" ht="14">
      <c r="A1841" s="23"/>
      <c r="B1841" s="23"/>
      <c r="C1841" s="23"/>
      <c r="D1841" s="23"/>
      <c r="E1841" s="23"/>
      <c r="F1841" s="23"/>
      <c r="G1841" s="23"/>
      <c r="H1841" s="22"/>
      <c r="I1841" s="23"/>
      <c r="J1841" s="23"/>
      <c r="K1841" s="23"/>
      <c r="L1841" s="32" t="s">
        <v>38</v>
      </c>
      <c r="M1841" s="33">
        <v>79</v>
      </c>
      <c r="N1841" s="33">
        <v>0</v>
      </c>
      <c r="O1841" s="33">
        <v>4</v>
      </c>
      <c r="P1841" s="32">
        <v>0</v>
      </c>
      <c r="Q1841" s="33">
        <v>2</v>
      </c>
      <c r="R1841" s="32">
        <v>0</v>
      </c>
      <c r="S1841" s="32"/>
      <c r="T1841" s="3">
        <v>0</v>
      </c>
      <c r="U1841" s="3">
        <v>0.10042</v>
      </c>
      <c r="V1841" s="3">
        <v>0.1429</v>
      </c>
      <c r="W1841" s="3">
        <v>0</v>
      </c>
      <c r="X1841" s="3"/>
      <c r="Y1841" s="3">
        <v>0</v>
      </c>
      <c r="Z1841" s="23"/>
      <c r="AA1841" s="23"/>
      <c r="AB1841" s="3" t="str">
        <f t="shared" si="15"/>
        <v>___</v>
      </c>
      <c r="AC1841" s="3" t="str">
        <f t="shared" si="14"/>
        <v>____</v>
      </c>
    </row>
    <row r="1842" spans="1:31" ht="14">
      <c r="A1842" s="23"/>
      <c r="B1842" s="23"/>
      <c r="C1842" s="23"/>
      <c r="D1842" s="23"/>
      <c r="E1842" s="23"/>
      <c r="F1842" s="23"/>
      <c r="G1842" s="23"/>
      <c r="H1842" s="22"/>
      <c r="I1842" s="23"/>
      <c r="J1842" s="23"/>
      <c r="K1842" s="23"/>
      <c r="L1842" s="32" t="s">
        <v>39</v>
      </c>
      <c r="M1842" s="33">
        <v>7</v>
      </c>
      <c r="N1842" s="33">
        <v>0</v>
      </c>
      <c r="O1842" s="33">
        <v>0</v>
      </c>
      <c r="P1842" s="32">
        <v>0</v>
      </c>
      <c r="Q1842" s="33">
        <v>1</v>
      </c>
      <c r="R1842" s="32">
        <v>0</v>
      </c>
      <c r="S1842" s="32"/>
      <c r="T1842" s="3">
        <v>0</v>
      </c>
      <c r="U1842" s="3">
        <v>1.8079999999999999E-2</v>
      </c>
      <c r="V1842" s="3">
        <v>0.28985</v>
      </c>
      <c r="W1842" s="3">
        <v>0</v>
      </c>
      <c r="X1842" s="3"/>
      <c r="Y1842" s="3">
        <v>0</v>
      </c>
      <c r="Z1842" s="23"/>
      <c r="AA1842" s="23"/>
      <c r="AB1842" s="3" t="str">
        <f t="shared" si="15"/>
        <v>___</v>
      </c>
      <c r="AC1842" s="3" t="str">
        <f t="shared" si="14"/>
        <v>____</v>
      </c>
    </row>
    <row r="1843" spans="1:31" ht="14">
      <c r="A1843" s="23"/>
      <c r="B1843" s="32">
        <v>970</v>
      </c>
      <c r="C1843" s="32">
        <v>42</v>
      </c>
      <c r="D1843" s="23"/>
      <c r="E1843" s="23"/>
      <c r="F1843" s="23"/>
      <c r="G1843" s="32" t="s">
        <v>40</v>
      </c>
      <c r="H1843" s="33">
        <v>3</v>
      </c>
      <c r="I1843" s="32">
        <v>27</v>
      </c>
      <c r="J1843" s="32">
        <v>30</v>
      </c>
      <c r="K1843" s="32">
        <v>5</v>
      </c>
      <c r="L1843" s="32" t="s">
        <v>36</v>
      </c>
      <c r="M1843" s="33">
        <v>67</v>
      </c>
      <c r="N1843" s="33">
        <v>8</v>
      </c>
      <c r="O1843" s="33">
        <v>8</v>
      </c>
      <c r="P1843" s="32">
        <v>0</v>
      </c>
      <c r="Q1843" s="33">
        <v>0</v>
      </c>
      <c r="R1843" s="32">
        <v>0</v>
      </c>
      <c r="S1843" s="32"/>
      <c r="T1843" s="3">
        <v>8.0949999999999994E-2</v>
      </c>
      <c r="U1843" s="3">
        <v>3.6990000000000002E-2</v>
      </c>
      <c r="V1843" s="3">
        <v>0</v>
      </c>
      <c r="W1843" s="3">
        <v>0</v>
      </c>
      <c r="X1843" s="3"/>
      <c r="Y1843" s="3">
        <v>0</v>
      </c>
      <c r="Z1843" s="23"/>
      <c r="AA1843" s="23"/>
      <c r="AB1843" s="3" t="str">
        <f t="shared" si="15"/>
        <v>970_42__vm</v>
      </c>
      <c r="AC1843" s="3" t="str">
        <f t="shared" si="14"/>
        <v>970_42__vm_3</v>
      </c>
      <c r="AE1843" s="3" t="s">
        <v>37</v>
      </c>
    </row>
    <row r="1844" spans="1:31" ht="14">
      <c r="A1844" s="23"/>
      <c r="B1844" s="23"/>
      <c r="C1844" s="23"/>
      <c r="D1844" s="23"/>
      <c r="E1844" s="23"/>
      <c r="F1844" s="23"/>
      <c r="G1844" s="23"/>
      <c r="H1844" s="22"/>
      <c r="I1844" s="23"/>
      <c r="J1844" s="23"/>
      <c r="K1844" s="23"/>
      <c r="L1844" s="32" t="s">
        <v>38</v>
      </c>
      <c r="M1844" s="33">
        <v>67</v>
      </c>
      <c r="N1844" s="33">
        <v>0</v>
      </c>
      <c r="O1844" s="33">
        <v>2</v>
      </c>
      <c r="P1844" s="32">
        <v>0</v>
      </c>
      <c r="Q1844" s="33">
        <v>2</v>
      </c>
      <c r="R1844" s="32">
        <v>0</v>
      </c>
      <c r="S1844" s="32"/>
      <c r="T1844" s="3">
        <v>0</v>
      </c>
      <c r="U1844" s="3">
        <v>6.2300000000000001E-2</v>
      </c>
      <c r="V1844" s="3">
        <v>4.0149999999999998E-2</v>
      </c>
      <c r="W1844" s="3">
        <v>0</v>
      </c>
      <c r="X1844" s="3"/>
      <c r="Y1844" s="3">
        <v>0</v>
      </c>
      <c r="Z1844" s="23"/>
      <c r="AA1844" s="23"/>
      <c r="AB1844" s="3" t="str">
        <f t="shared" si="15"/>
        <v>___</v>
      </c>
      <c r="AC1844" s="3" t="str">
        <f t="shared" si="14"/>
        <v>____</v>
      </c>
    </row>
    <row r="1845" spans="1:31" ht="14">
      <c r="A1845" s="23"/>
      <c r="B1845" s="23"/>
      <c r="C1845" s="23"/>
      <c r="D1845" s="23"/>
      <c r="E1845" s="23"/>
      <c r="F1845" s="23"/>
      <c r="G1845" s="23"/>
      <c r="H1845" s="22"/>
      <c r="I1845" s="23"/>
      <c r="J1845" s="23"/>
      <c r="K1845" s="23"/>
      <c r="L1845" s="32" t="s">
        <v>39</v>
      </c>
      <c r="M1845" s="33">
        <v>37</v>
      </c>
      <c r="N1845" s="33">
        <v>0</v>
      </c>
      <c r="O1845" s="33">
        <v>2</v>
      </c>
      <c r="P1845" s="32">
        <v>0</v>
      </c>
      <c r="Q1845" s="33">
        <v>1</v>
      </c>
      <c r="R1845" s="32">
        <v>0</v>
      </c>
      <c r="S1845" s="32"/>
      <c r="T1845" s="3">
        <v>0</v>
      </c>
      <c r="U1845" s="3">
        <v>4.8910000000000002E-2</v>
      </c>
      <c r="V1845" s="3">
        <v>0</v>
      </c>
      <c r="W1845" s="3">
        <v>0</v>
      </c>
      <c r="X1845" s="3"/>
      <c r="Y1845" s="3">
        <v>0</v>
      </c>
      <c r="Z1845" s="23"/>
      <c r="AA1845" s="23"/>
      <c r="AB1845" s="3" t="str">
        <f t="shared" si="15"/>
        <v>___</v>
      </c>
      <c r="AC1845" s="3" t="str">
        <f t="shared" si="14"/>
        <v>____</v>
      </c>
    </row>
    <row r="1846" spans="1:31" ht="14">
      <c r="A1846" s="23"/>
      <c r="B1846" s="32">
        <v>792</v>
      </c>
      <c r="C1846" s="32">
        <v>22</v>
      </c>
      <c r="D1846" s="23"/>
      <c r="E1846" s="23"/>
      <c r="F1846" s="23"/>
      <c r="G1846" s="32" t="s">
        <v>40</v>
      </c>
      <c r="H1846" s="33">
        <v>1</v>
      </c>
      <c r="I1846" s="32">
        <v>11.4</v>
      </c>
      <c r="J1846" s="32">
        <v>15.2</v>
      </c>
      <c r="K1846" s="32">
        <v>6</v>
      </c>
      <c r="L1846" s="32" t="s">
        <v>36</v>
      </c>
      <c r="M1846" s="33">
        <v>28</v>
      </c>
      <c r="N1846" s="33">
        <v>7</v>
      </c>
      <c r="O1846" s="33">
        <v>7</v>
      </c>
      <c r="P1846" s="32"/>
      <c r="Q1846" s="32">
        <v>0</v>
      </c>
      <c r="R1846" s="23"/>
      <c r="S1846" s="23"/>
      <c r="T1846" s="3">
        <v>1.5440000000000001E-2</v>
      </c>
      <c r="U1846" s="3">
        <v>9.8200000000000006E-3</v>
      </c>
      <c r="V1846" s="3">
        <v>0</v>
      </c>
      <c r="W1846" s="3">
        <v>0</v>
      </c>
      <c r="X1846" s="3"/>
      <c r="Y1846" s="3">
        <v>0</v>
      </c>
      <c r="Z1846" s="23"/>
      <c r="AA1846" s="23"/>
      <c r="AB1846" s="3" t="str">
        <f t="shared" si="15"/>
        <v>792_22__vm</v>
      </c>
      <c r="AC1846" s="3" t="str">
        <f t="shared" si="14"/>
        <v>792_22__vm_1</v>
      </c>
      <c r="AE1846" s="3" t="s">
        <v>37</v>
      </c>
    </row>
    <row r="1847" spans="1:31" ht="14">
      <c r="A1847" s="23"/>
      <c r="B1847" s="23"/>
      <c r="C1847" s="23"/>
      <c r="D1847" s="23"/>
      <c r="E1847" s="23"/>
      <c r="F1847" s="23"/>
      <c r="G1847" s="23"/>
      <c r="H1847" s="22"/>
      <c r="I1847" s="23"/>
      <c r="J1847" s="23"/>
      <c r="K1847" s="23"/>
      <c r="L1847" s="32" t="s">
        <v>38</v>
      </c>
      <c r="M1847" s="33">
        <v>31</v>
      </c>
      <c r="N1847" s="33">
        <v>0</v>
      </c>
      <c r="O1847" s="33">
        <v>6</v>
      </c>
      <c r="P1847" s="32">
        <v>1</v>
      </c>
      <c r="Q1847" s="32">
        <v>1</v>
      </c>
      <c r="R1847" s="23"/>
      <c r="S1847" s="23"/>
      <c r="T1847" s="3">
        <v>0</v>
      </c>
      <c r="U1847" s="3">
        <v>1.583E-2</v>
      </c>
      <c r="V1847" s="3">
        <v>2.3390000000000001E-2</v>
      </c>
      <c r="W1847" s="3">
        <v>0</v>
      </c>
      <c r="X1847" s="3"/>
      <c r="Y1847" s="3">
        <v>0</v>
      </c>
      <c r="Z1847" s="23"/>
      <c r="AA1847" s="23"/>
      <c r="AB1847" s="3" t="str">
        <f t="shared" si="15"/>
        <v>___</v>
      </c>
      <c r="AC1847" s="3" t="str">
        <f t="shared" si="14"/>
        <v>____</v>
      </c>
    </row>
    <row r="1848" spans="1:31" ht="14">
      <c r="A1848" s="23"/>
      <c r="B1848" s="23"/>
      <c r="C1848" s="23"/>
      <c r="D1848" s="23"/>
      <c r="E1848" s="23"/>
      <c r="F1848" s="23"/>
      <c r="G1848" s="23"/>
      <c r="H1848" s="22"/>
      <c r="I1848" s="23"/>
      <c r="J1848" s="23"/>
      <c r="K1848" s="23"/>
      <c r="L1848" s="32" t="s">
        <v>39</v>
      </c>
      <c r="M1848" s="33">
        <v>29</v>
      </c>
      <c r="N1848" s="33">
        <v>0</v>
      </c>
      <c r="O1848" s="33">
        <v>6</v>
      </c>
      <c r="P1848" s="32">
        <v>1</v>
      </c>
      <c r="Q1848" s="32">
        <v>1</v>
      </c>
      <c r="R1848" s="23"/>
      <c r="S1848" s="23"/>
      <c r="T1848" s="3">
        <v>0</v>
      </c>
      <c r="U1848" s="3">
        <v>2.1510000000000001E-2</v>
      </c>
      <c r="V1848" s="3">
        <v>4.2459999999999998E-2</v>
      </c>
      <c r="W1848" s="3">
        <v>0</v>
      </c>
      <c r="X1848" s="3"/>
      <c r="Z1848" s="23"/>
      <c r="AA1848" s="23"/>
      <c r="AB1848" s="3" t="str">
        <f t="shared" si="15"/>
        <v>___</v>
      </c>
      <c r="AC1848" s="3" t="str">
        <f t="shared" si="14"/>
        <v>____</v>
      </c>
    </row>
    <row r="1849" spans="1:31" ht="14">
      <c r="A1849" s="23"/>
      <c r="B1849" s="32">
        <v>792</v>
      </c>
      <c r="C1849" s="32">
        <v>22</v>
      </c>
      <c r="D1849" s="23"/>
      <c r="E1849" s="23"/>
      <c r="F1849" s="23"/>
      <c r="G1849" s="32" t="s">
        <v>40</v>
      </c>
      <c r="H1849" s="33">
        <v>2</v>
      </c>
      <c r="I1849" s="32">
        <v>11.5</v>
      </c>
      <c r="J1849" s="32">
        <v>13.1</v>
      </c>
      <c r="K1849" s="32">
        <v>4</v>
      </c>
      <c r="L1849" s="32" t="s">
        <v>36</v>
      </c>
      <c r="M1849" s="33">
        <v>31</v>
      </c>
      <c r="N1849" s="33">
        <v>5</v>
      </c>
      <c r="O1849" s="33">
        <v>7</v>
      </c>
      <c r="P1849" s="32"/>
      <c r="Q1849" s="32">
        <v>0</v>
      </c>
      <c r="R1849" s="23"/>
      <c r="S1849" s="23"/>
      <c r="T1849" s="3">
        <v>2.4879999999999999E-2</v>
      </c>
      <c r="U1849" s="3">
        <v>1.0880000000000001E-2</v>
      </c>
      <c r="V1849" s="3">
        <v>0</v>
      </c>
      <c r="W1849" s="3">
        <v>0</v>
      </c>
      <c r="X1849" s="3"/>
      <c r="Y1849" s="3">
        <v>0</v>
      </c>
      <c r="Z1849" s="23"/>
      <c r="AA1849" s="23"/>
      <c r="AB1849" s="3" t="str">
        <f t="shared" si="15"/>
        <v>792_22__vm</v>
      </c>
      <c r="AC1849" s="3" t="str">
        <f t="shared" si="14"/>
        <v>792_22__vm_2</v>
      </c>
      <c r="AD1849" s="3" t="s">
        <v>37</v>
      </c>
      <c r="AE1849" s="3" t="s">
        <v>37</v>
      </c>
    </row>
    <row r="1850" spans="1:31" ht="14">
      <c r="A1850" s="23"/>
      <c r="B1850" s="23"/>
      <c r="C1850" s="23"/>
      <c r="D1850" s="23"/>
      <c r="E1850" s="23"/>
      <c r="F1850" s="23"/>
      <c r="G1850" s="23"/>
      <c r="H1850" s="22"/>
      <c r="I1850" s="23"/>
      <c r="J1850" s="23"/>
      <c r="K1850" s="23"/>
      <c r="L1850" s="32" t="s">
        <v>38</v>
      </c>
      <c r="M1850" s="33">
        <v>40</v>
      </c>
      <c r="N1850" s="33">
        <v>0</v>
      </c>
      <c r="O1850" s="33">
        <v>9</v>
      </c>
      <c r="P1850" s="32">
        <v>2</v>
      </c>
      <c r="Q1850" s="32">
        <v>2</v>
      </c>
      <c r="R1850" s="23"/>
      <c r="S1850" s="23"/>
      <c r="T1850" s="3">
        <v>0</v>
      </c>
      <c r="U1850" s="3">
        <v>1.908E-2</v>
      </c>
      <c r="V1850" s="3">
        <v>1.7659999999999999E-2</v>
      </c>
      <c r="W1850" s="3">
        <v>0</v>
      </c>
      <c r="X1850" s="3"/>
      <c r="Y1850" s="3">
        <v>0</v>
      </c>
      <c r="Z1850" s="23"/>
      <c r="AA1850" s="23"/>
      <c r="AB1850" s="3" t="str">
        <f t="shared" si="15"/>
        <v>___</v>
      </c>
      <c r="AC1850" s="3" t="str">
        <f t="shared" si="14"/>
        <v>____</v>
      </c>
    </row>
    <row r="1851" spans="1:31" ht="14">
      <c r="A1851" s="23"/>
      <c r="B1851" s="23"/>
      <c r="C1851" s="23"/>
      <c r="D1851" s="23"/>
      <c r="E1851" s="23"/>
      <c r="F1851" s="23"/>
      <c r="G1851" s="23"/>
      <c r="H1851" s="22"/>
      <c r="I1851" s="23"/>
      <c r="J1851" s="23"/>
      <c r="K1851" s="23"/>
      <c r="L1851" s="32" t="s">
        <v>39</v>
      </c>
      <c r="M1851" s="33">
        <v>38</v>
      </c>
      <c r="N1851" s="33">
        <v>0</v>
      </c>
      <c r="O1851" s="33">
        <v>9</v>
      </c>
      <c r="P1851" s="32">
        <v>2</v>
      </c>
      <c r="Q1851" s="32">
        <v>2</v>
      </c>
      <c r="R1851" s="23"/>
      <c r="S1851" s="23"/>
      <c r="T1851" s="3">
        <v>0</v>
      </c>
      <c r="U1851" s="3">
        <v>4.6620000000000002E-2</v>
      </c>
      <c r="V1851" s="3">
        <v>0.17332</v>
      </c>
      <c r="W1851" s="3">
        <v>0</v>
      </c>
      <c r="X1851" s="3"/>
      <c r="Y1851" s="3">
        <v>0</v>
      </c>
      <c r="Z1851" s="23"/>
      <c r="AA1851" s="23"/>
      <c r="AB1851" s="3" t="str">
        <f t="shared" si="15"/>
        <v>___</v>
      </c>
      <c r="AC1851" s="3" t="str">
        <f t="shared" si="14"/>
        <v>____</v>
      </c>
    </row>
    <row r="1852" spans="1:31" ht="14">
      <c r="A1852" s="23"/>
      <c r="B1852" s="32">
        <v>792</v>
      </c>
      <c r="C1852" s="32">
        <v>22</v>
      </c>
      <c r="D1852" s="23"/>
      <c r="E1852" s="23"/>
      <c r="F1852" s="23"/>
      <c r="G1852" s="32" t="s">
        <v>40</v>
      </c>
      <c r="H1852" s="33">
        <v>3</v>
      </c>
      <c r="I1852" s="32">
        <v>13.3</v>
      </c>
      <c r="J1852" s="32">
        <v>15.4</v>
      </c>
      <c r="K1852" s="32">
        <v>7</v>
      </c>
      <c r="L1852" s="32" t="s">
        <v>36</v>
      </c>
      <c r="M1852" s="33">
        <v>8</v>
      </c>
      <c r="N1852" s="33">
        <v>5</v>
      </c>
      <c r="O1852" s="33">
        <v>0</v>
      </c>
      <c r="P1852" s="32"/>
      <c r="Q1852" s="32">
        <v>0</v>
      </c>
      <c r="R1852" s="23"/>
      <c r="S1852" s="23"/>
      <c r="T1852" s="3">
        <v>5.5399999999999998E-3</v>
      </c>
      <c r="U1852" s="3">
        <v>2.5899999999999999E-3</v>
      </c>
      <c r="V1852" s="3">
        <v>0</v>
      </c>
      <c r="W1852" s="3">
        <v>0</v>
      </c>
      <c r="X1852" s="3"/>
      <c r="Y1852" s="3">
        <v>0</v>
      </c>
      <c r="Z1852" s="23"/>
      <c r="AA1852" s="23"/>
      <c r="AB1852" s="3" t="str">
        <f t="shared" si="15"/>
        <v>792_22__vm</v>
      </c>
      <c r="AC1852" s="3" t="str">
        <f t="shared" si="14"/>
        <v>792_22__vm_3</v>
      </c>
      <c r="AD1852" s="3" t="s">
        <v>37</v>
      </c>
      <c r="AE1852" s="3" t="s">
        <v>37</v>
      </c>
    </row>
    <row r="1853" spans="1:31" ht="14">
      <c r="A1853" s="23"/>
      <c r="B1853" s="23"/>
      <c r="C1853" s="23"/>
      <c r="D1853" s="23"/>
      <c r="E1853" s="23"/>
      <c r="F1853" s="23"/>
      <c r="G1853" s="23"/>
      <c r="H1853" s="22"/>
      <c r="I1853" s="23"/>
      <c r="J1853" s="23"/>
      <c r="K1853" s="23"/>
      <c r="L1853" s="32" t="s">
        <v>38</v>
      </c>
      <c r="M1853" s="33">
        <v>51</v>
      </c>
      <c r="N1853" s="33">
        <v>0</v>
      </c>
      <c r="O1853" s="33">
        <v>7</v>
      </c>
      <c r="P1853" s="32">
        <v>2</v>
      </c>
      <c r="Q1853" s="32">
        <v>2</v>
      </c>
      <c r="R1853" s="23"/>
      <c r="S1853" s="23"/>
      <c r="T1853" s="3">
        <v>0</v>
      </c>
      <c r="U1853" s="3">
        <v>2.7810000000000001E-2</v>
      </c>
      <c r="V1853" s="3">
        <v>1.7000000000000001E-2</v>
      </c>
      <c r="W1853" s="3">
        <v>0</v>
      </c>
      <c r="X1853" s="3"/>
      <c r="Y1853" s="3">
        <v>0</v>
      </c>
      <c r="Z1853" s="23"/>
      <c r="AA1853" s="23"/>
      <c r="AB1853" s="3" t="str">
        <f t="shared" si="15"/>
        <v>___</v>
      </c>
      <c r="AC1853" s="3" t="str">
        <f t="shared" si="14"/>
        <v>____</v>
      </c>
    </row>
    <row r="1854" spans="1:31" ht="14">
      <c r="A1854" s="23"/>
      <c r="B1854" s="23"/>
      <c r="C1854" s="23"/>
      <c r="D1854" s="23"/>
      <c r="E1854" s="23"/>
      <c r="F1854" s="23"/>
      <c r="G1854" s="23"/>
      <c r="H1854" s="22"/>
      <c r="I1854" s="23"/>
      <c r="J1854" s="23"/>
      <c r="K1854" s="23"/>
      <c r="L1854" s="32" t="s">
        <v>39</v>
      </c>
      <c r="M1854" s="33">
        <v>24</v>
      </c>
      <c r="N1854" s="33">
        <v>0</v>
      </c>
      <c r="O1854" s="33">
        <v>6</v>
      </c>
      <c r="P1854" s="32"/>
      <c r="Q1854" s="32">
        <v>0</v>
      </c>
      <c r="R1854" s="23"/>
      <c r="S1854" s="23"/>
      <c r="T1854" s="3">
        <v>0</v>
      </c>
      <c r="U1854" s="3">
        <v>1.7350000000000001E-2</v>
      </c>
      <c r="V1854" s="3">
        <v>0</v>
      </c>
      <c r="W1854" s="3">
        <v>0</v>
      </c>
      <c r="X1854" s="3"/>
      <c r="Z1854" s="23"/>
      <c r="AA1854" s="23"/>
      <c r="AB1854" s="3" t="str">
        <f t="shared" si="15"/>
        <v>___</v>
      </c>
      <c r="AC1854" s="3" t="str">
        <f t="shared" si="14"/>
        <v>____</v>
      </c>
    </row>
    <row r="1855" spans="1:31" ht="14">
      <c r="A1855" s="23"/>
      <c r="B1855" s="32">
        <v>792</v>
      </c>
      <c r="C1855" s="32">
        <v>22</v>
      </c>
      <c r="D1855" s="23"/>
      <c r="E1855" s="23"/>
      <c r="F1855" s="23"/>
      <c r="G1855" s="32" t="s">
        <v>35</v>
      </c>
      <c r="H1855" s="33">
        <v>1</v>
      </c>
      <c r="I1855" s="32">
        <v>6.7</v>
      </c>
      <c r="J1855" s="32">
        <v>7.2</v>
      </c>
      <c r="K1855" s="32">
        <v>3</v>
      </c>
      <c r="L1855" s="32" t="s">
        <v>36</v>
      </c>
      <c r="M1855" s="33">
        <v>18</v>
      </c>
      <c r="N1855" s="33">
        <v>6</v>
      </c>
      <c r="O1855" s="33">
        <v>8</v>
      </c>
      <c r="P1855" s="32"/>
      <c r="Q1855" s="32">
        <v>0</v>
      </c>
      <c r="R1855" s="23"/>
      <c r="S1855" s="23"/>
      <c r="T1855" s="3">
        <v>1.06E-2</v>
      </c>
      <c r="U1855" s="3">
        <v>2.3500000000000001E-3</v>
      </c>
      <c r="V1855" s="3">
        <v>0</v>
      </c>
      <c r="W1855" s="3">
        <v>0</v>
      </c>
      <c r="X1855" s="3"/>
      <c r="Y1855" s="3">
        <v>0</v>
      </c>
      <c r="Z1855" s="23"/>
      <c r="AA1855" s="23"/>
      <c r="AB1855" s="3" t="str">
        <f t="shared" si="15"/>
        <v>792_22__vv</v>
      </c>
      <c r="AC1855" s="3" t="str">
        <f t="shared" si="14"/>
        <v>792_22__vv_1</v>
      </c>
      <c r="AD1855" s="3" t="s">
        <v>37</v>
      </c>
      <c r="AE1855" s="3" t="s">
        <v>37</v>
      </c>
    </row>
    <row r="1856" spans="1:31" ht="14">
      <c r="A1856" s="23"/>
      <c r="B1856" s="23"/>
      <c r="C1856" s="23"/>
      <c r="D1856" s="23"/>
      <c r="E1856" s="23"/>
      <c r="F1856" s="23"/>
      <c r="G1856" s="23"/>
      <c r="H1856" s="22"/>
      <c r="I1856" s="23"/>
      <c r="J1856" s="23"/>
      <c r="K1856" s="23"/>
      <c r="L1856" s="32" t="s">
        <v>38</v>
      </c>
      <c r="M1856" s="33">
        <v>44</v>
      </c>
      <c r="N1856" s="33">
        <v>2</v>
      </c>
      <c r="O1856" s="33">
        <v>11</v>
      </c>
      <c r="P1856" s="32">
        <v>1</v>
      </c>
      <c r="Q1856" s="32">
        <v>1</v>
      </c>
      <c r="R1856" s="23"/>
      <c r="S1856" s="23"/>
      <c r="T1856" s="3">
        <v>9.8099999999999993E-3</v>
      </c>
      <c r="U1856" s="3">
        <v>1.9529999999999999E-2</v>
      </c>
      <c r="V1856" s="3">
        <v>1.8259999999999998E-2</v>
      </c>
      <c r="W1856" s="3">
        <v>0</v>
      </c>
      <c r="X1856" s="3"/>
      <c r="Y1856" s="3">
        <v>0</v>
      </c>
      <c r="Z1856" s="23"/>
      <c r="AA1856" s="23"/>
      <c r="AB1856" s="3" t="str">
        <f t="shared" si="15"/>
        <v>___</v>
      </c>
      <c r="AC1856" s="3" t="str">
        <f t="shared" si="14"/>
        <v>____</v>
      </c>
    </row>
    <row r="1857" spans="1:31" ht="14">
      <c r="A1857" s="23"/>
      <c r="B1857" s="23"/>
      <c r="C1857" s="23"/>
      <c r="D1857" s="23"/>
      <c r="E1857" s="23"/>
      <c r="F1857" s="23"/>
      <c r="G1857" s="23"/>
      <c r="H1857" s="22"/>
      <c r="I1857" s="23"/>
      <c r="J1857" s="23"/>
      <c r="K1857" s="23"/>
      <c r="L1857" s="32" t="s">
        <v>39</v>
      </c>
      <c r="M1857" s="33">
        <v>19</v>
      </c>
      <c r="N1857" s="33">
        <v>0</v>
      </c>
      <c r="O1857" s="33">
        <v>2</v>
      </c>
      <c r="P1857" s="32"/>
      <c r="Q1857" s="32">
        <v>0</v>
      </c>
      <c r="R1857" s="23"/>
      <c r="S1857" s="23"/>
      <c r="T1857" s="3">
        <v>0</v>
      </c>
      <c r="U1857" s="3">
        <v>5.8599999999999998E-3</v>
      </c>
      <c r="V1857" s="3">
        <v>0</v>
      </c>
      <c r="W1857" s="3">
        <v>0</v>
      </c>
      <c r="X1857" s="3"/>
      <c r="Y1857" s="3">
        <v>0</v>
      </c>
      <c r="Z1857" s="23"/>
      <c r="AA1857" s="23"/>
      <c r="AB1857" s="3" t="str">
        <f t="shared" si="15"/>
        <v>___</v>
      </c>
      <c r="AC1857" s="3" t="str">
        <f t="shared" si="14"/>
        <v>____</v>
      </c>
    </row>
    <row r="1858" spans="1:31" ht="14">
      <c r="A1858" s="23"/>
      <c r="B1858" s="32">
        <v>792</v>
      </c>
      <c r="C1858" s="32">
        <v>22</v>
      </c>
      <c r="D1858" s="23"/>
      <c r="E1858" s="23"/>
      <c r="F1858" s="23"/>
      <c r="G1858" s="32" t="s">
        <v>35</v>
      </c>
      <c r="H1858" s="33">
        <v>2</v>
      </c>
      <c r="I1858" s="32">
        <v>10.9</v>
      </c>
      <c r="J1858" s="32">
        <v>10.7</v>
      </c>
      <c r="K1858" s="32">
        <v>5</v>
      </c>
      <c r="L1858" s="32" t="s">
        <v>36</v>
      </c>
      <c r="M1858" s="33">
        <v>17</v>
      </c>
      <c r="N1858" s="33">
        <v>8</v>
      </c>
      <c r="O1858" s="33">
        <v>10</v>
      </c>
      <c r="P1858" s="32"/>
      <c r="Q1858" s="32">
        <v>0</v>
      </c>
      <c r="R1858" s="23"/>
      <c r="S1858" s="23"/>
      <c r="T1858" s="3">
        <v>4.0829999999999998E-2</v>
      </c>
      <c r="U1858" s="3">
        <v>4.4200000000000003E-3</v>
      </c>
      <c r="V1858" s="3">
        <v>0</v>
      </c>
      <c r="W1858" s="3">
        <v>0</v>
      </c>
      <c r="X1858" s="3"/>
      <c r="Y1858" s="3">
        <v>0</v>
      </c>
      <c r="Z1858" s="23"/>
      <c r="AA1858" s="23"/>
      <c r="AB1858" s="3" t="str">
        <f t="shared" si="15"/>
        <v>792_22__vv</v>
      </c>
      <c r="AC1858" s="3" t="str">
        <f t="shared" si="14"/>
        <v>792_22__vv_2</v>
      </c>
      <c r="AD1858" s="3" t="s">
        <v>37</v>
      </c>
      <c r="AE1858" s="3" t="s">
        <v>37</v>
      </c>
    </row>
    <row r="1859" spans="1:31" ht="14">
      <c r="A1859" s="23"/>
      <c r="B1859" s="23"/>
      <c r="C1859" s="23"/>
      <c r="D1859" s="23"/>
      <c r="E1859" s="23"/>
      <c r="F1859" s="23"/>
      <c r="G1859" s="23"/>
      <c r="H1859" s="22"/>
      <c r="I1859" s="23"/>
      <c r="J1859" s="23"/>
      <c r="K1859" s="23"/>
      <c r="L1859" s="32" t="s">
        <v>38</v>
      </c>
      <c r="M1859" s="33">
        <v>22</v>
      </c>
      <c r="N1859" s="33">
        <v>7</v>
      </c>
      <c r="O1859" s="33">
        <v>10</v>
      </c>
      <c r="P1859" s="32"/>
      <c r="Q1859" s="32">
        <v>0</v>
      </c>
      <c r="R1859" s="23"/>
      <c r="S1859" s="23"/>
      <c r="T1859" s="3">
        <v>5.2900000000000003E-2</v>
      </c>
      <c r="U1859" s="3">
        <v>8.77E-3</v>
      </c>
      <c r="V1859" s="3">
        <v>0</v>
      </c>
      <c r="W1859" s="3">
        <v>0</v>
      </c>
      <c r="X1859" s="3"/>
      <c r="Y1859" s="3">
        <v>0</v>
      </c>
      <c r="Z1859" s="23"/>
      <c r="AA1859" s="23"/>
      <c r="AB1859" s="3" t="str">
        <f t="shared" si="15"/>
        <v>___</v>
      </c>
      <c r="AC1859" s="3" t="str">
        <f t="shared" si="14"/>
        <v>____</v>
      </c>
    </row>
    <row r="1860" spans="1:31" ht="14">
      <c r="A1860" s="23"/>
      <c r="B1860" s="23"/>
      <c r="C1860" s="23"/>
      <c r="D1860" s="23"/>
      <c r="E1860" s="23"/>
      <c r="F1860" s="23"/>
      <c r="G1860" s="23"/>
      <c r="H1860" s="22"/>
      <c r="I1860" s="23"/>
      <c r="J1860" s="23"/>
      <c r="K1860" s="23"/>
      <c r="L1860" s="32" t="s">
        <v>39</v>
      </c>
      <c r="M1860" s="33">
        <v>19</v>
      </c>
      <c r="N1860" s="33">
        <v>7</v>
      </c>
      <c r="O1860" s="33">
        <v>10</v>
      </c>
      <c r="P1860" s="32"/>
      <c r="Q1860" s="32">
        <v>0</v>
      </c>
      <c r="R1860" s="23"/>
      <c r="S1860" s="23"/>
      <c r="T1860" s="3">
        <v>2.9440000000000001E-2</v>
      </c>
      <c r="U1860" s="3">
        <v>7.9000000000000008E-3</v>
      </c>
      <c r="V1860" s="3">
        <v>0</v>
      </c>
      <c r="W1860" s="3">
        <v>0</v>
      </c>
      <c r="X1860" s="3"/>
      <c r="Z1860" s="23"/>
      <c r="AA1860" s="23"/>
      <c r="AB1860" s="3" t="str">
        <f t="shared" si="15"/>
        <v>___</v>
      </c>
      <c r="AC1860" s="3" t="str">
        <f t="shared" si="14"/>
        <v>____</v>
      </c>
    </row>
    <row r="1861" spans="1:31" ht="14">
      <c r="A1861" s="23"/>
      <c r="B1861" s="32">
        <v>792</v>
      </c>
      <c r="C1861" s="32">
        <v>22</v>
      </c>
      <c r="D1861" s="23"/>
      <c r="E1861" s="23"/>
      <c r="F1861" s="23"/>
      <c r="G1861" s="32" t="s">
        <v>35</v>
      </c>
      <c r="H1861" s="33">
        <v>3</v>
      </c>
      <c r="I1861" s="32">
        <v>7.3</v>
      </c>
      <c r="J1861" s="32">
        <v>9.1</v>
      </c>
      <c r="K1861" s="32">
        <v>4</v>
      </c>
      <c r="L1861" s="32" t="s">
        <v>36</v>
      </c>
      <c r="M1861" s="33">
        <v>25</v>
      </c>
      <c r="N1861" s="33">
        <v>7</v>
      </c>
      <c r="O1861" s="33">
        <v>7</v>
      </c>
      <c r="P1861" s="32"/>
      <c r="Q1861" s="32">
        <v>0</v>
      </c>
      <c r="R1861" s="23"/>
      <c r="S1861" s="23"/>
      <c r="T1861" s="3">
        <v>3.134E-2</v>
      </c>
      <c r="U1861" s="3">
        <v>5.3800000000000002E-3</v>
      </c>
      <c r="V1861" s="3">
        <v>0</v>
      </c>
      <c r="W1861" s="3">
        <v>0</v>
      </c>
      <c r="X1861" s="3"/>
      <c r="Y1861" s="3">
        <v>0</v>
      </c>
      <c r="Z1861" s="23"/>
      <c r="AA1861" s="23"/>
      <c r="AB1861" s="3" t="str">
        <f t="shared" si="15"/>
        <v>792_22__vv</v>
      </c>
      <c r="AC1861" s="3" t="str">
        <f t="shared" si="14"/>
        <v>792_22__vv_3</v>
      </c>
      <c r="AD1861" s="3" t="s">
        <v>37</v>
      </c>
      <c r="AE1861" s="3" t="s">
        <v>37</v>
      </c>
    </row>
    <row r="1862" spans="1:31" ht="14">
      <c r="A1862" s="23"/>
      <c r="B1862" s="23"/>
      <c r="C1862" s="23"/>
      <c r="D1862" s="23"/>
      <c r="E1862" s="23"/>
      <c r="F1862" s="23"/>
      <c r="G1862" s="23"/>
      <c r="H1862" s="22"/>
      <c r="I1862" s="23"/>
      <c r="J1862" s="23"/>
      <c r="K1862" s="23"/>
      <c r="L1862" s="32" t="s">
        <v>38</v>
      </c>
      <c r="M1862" s="33">
        <v>26</v>
      </c>
      <c r="N1862" s="33">
        <v>9</v>
      </c>
      <c r="O1862" s="33">
        <v>10</v>
      </c>
      <c r="P1862" s="32"/>
      <c r="Q1862" s="32">
        <v>0</v>
      </c>
      <c r="R1862" s="23"/>
      <c r="S1862" s="23"/>
      <c r="T1862" s="3">
        <v>5.0439999999999999E-2</v>
      </c>
      <c r="U1862" s="3">
        <v>1.021E-2</v>
      </c>
      <c r="V1862" s="3">
        <v>0</v>
      </c>
      <c r="W1862" s="3">
        <v>0</v>
      </c>
      <c r="X1862" s="3"/>
      <c r="Y1862" s="3">
        <v>0</v>
      </c>
      <c r="Z1862" s="23"/>
      <c r="AA1862" s="23"/>
      <c r="AB1862" s="3" t="str">
        <f t="shared" si="15"/>
        <v>___</v>
      </c>
      <c r="AC1862" s="3" t="str">
        <f t="shared" si="14"/>
        <v>____</v>
      </c>
    </row>
    <row r="1863" spans="1:31" ht="14">
      <c r="A1863" s="23"/>
      <c r="B1863" s="23"/>
      <c r="C1863" s="23"/>
      <c r="D1863" s="23"/>
      <c r="E1863" s="23"/>
      <c r="F1863" s="23"/>
      <c r="G1863" s="23"/>
      <c r="H1863" s="22"/>
      <c r="I1863" s="23"/>
      <c r="J1863" s="23"/>
      <c r="K1863" s="23"/>
      <c r="L1863" s="32" t="s">
        <v>39</v>
      </c>
      <c r="M1863" s="33">
        <v>27</v>
      </c>
      <c r="N1863" s="33">
        <v>2</v>
      </c>
      <c r="O1863" s="33">
        <v>6</v>
      </c>
      <c r="P1863" s="32"/>
      <c r="Q1863" s="32">
        <v>0</v>
      </c>
      <c r="R1863" s="23"/>
      <c r="S1863" s="23"/>
      <c r="T1863" s="3">
        <v>7.0800000000000004E-3</v>
      </c>
      <c r="U1863" s="3">
        <v>1.406E-2</v>
      </c>
      <c r="V1863" s="3">
        <v>0</v>
      </c>
      <c r="W1863" s="3">
        <v>0</v>
      </c>
      <c r="X1863" s="3"/>
      <c r="Y1863" s="3">
        <v>0</v>
      </c>
      <c r="Z1863" s="23"/>
      <c r="AA1863" s="23"/>
      <c r="AB1863" s="3" t="str">
        <f t="shared" si="15"/>
        <v>___</v>
      </c>
      <c r="AC1863" s="3" t="str">
        <f t="shared" si="14"/>
        <v>____</v>
      </c>
    </row>
    <row r="1864" spans="1:31" ht="14">
      <c r="A1864" s="23"/>
      <c r="B1864" s="32">
        <v>1427</v>
      </c>
      <c r="C1864" s="32">
        <v>13</v>
      </c>
      <c r="D1864" s="23"/>
      <c r="E1864" s="23"/>
      <c r="F1864" s="23"/>
      <c r="G1864" s="32" t="s">
        <v>35</v>
      </c>
      <c r="H1864" s="33">
        <v>1</v>
      </c>
      <c r="I1864" s="32">
        <v>6.5</v>
      </c>
      <c r="J1864" s="32">
        <v>6.9</v>
      </c>
      <c r="K1864" s="32">
        <v>5</v>
      </c>
      <c r="L1864" s="32" t="s">
        <v>36</v>
      </c>
      <c r="M1864" s="33">
        <v>14</v>
      </c>
      <c r="N1864" s="33">
        <v>8</v>
      </c>
      <c r="O1864" s="33">
        <v>8</v>
      </c>
      <c r="P1864" s="32"/>
      <c r="Q1864" s="32">
        <v>0</v>
      </c>
      <c r="R1864" s="23"/>
      <c r="S1864" s="23"/>
      <c r="T1864" s="3">
        <v>2.9770000000000001E-2</v>
      </c>
      <c r="U1864" s="3">
        <v>2.0899999999999998E-3</v>
      </c>
      <c r="V1864" s="3">
        <v>0</v>
      </c>
      <c r="W1864" s="3">
        <v>0</v>
      </c>
      <c r="X1864" s="3"/>
      <c r="Y1864" s="3">
        <v>0</v>
      </c>
      <c r="Z1864" s="23"/>
      <c r="AA1864" s="23"/>
      <c r="AB1864" s="3" t="str">
        <f t="shared" si="15"/>
        <v>1427_13__vv</v>
      </c>
      <c r="AC1864" s="3" t="str">
        <f t="shared" si="14"/>
        <v>1427_13__vv_1</v>
      </c>
      <c r="AD1864" s="3" t="s">
        <v>37</v>
      </c>
      <c r="AE1864" s="3" t="s">
        <v>37</v>
      </c>
    </row>
    <row r="1865" spans="1:31" ht="14">
      <c r="A1865" s="23"/>
      <c r="B1865" s="23"/>
      <c r="C1865" s="23"/>
      <c r="D1865" s="23"/>
      <c r="E1865" s="23"/>
      <c r="F1865" s="23"/>
      <c r="G1865" s="23"/>
      <c r="H1865" s="22"/>
      <c r="I1865" s="23"/>
      <c r="J1865" s="23"/>
      <c r="K1865" s="23"/>
      <c r="L1865" s="32" t="s">
        <v>38</v>
      </c>
      <c r="M1865" s="33">
        <v>16</v>
      </c>
      <c r="N1865" s="33">
        <v>5</v>
      </c>
      <c r="O1865" s="33">
        <v>10</v>
      </c>
      <c r="P1865" s="32"/>
      <c r="Q1865" s="32">
        <v>0</v>
      </c>
      <c r="R1865" s="23"/>
      <c r="S1865" s="23"/>
      <c r="T1865" s="3">
        <v>2.3539999999999998E-2</v>
      </c>
      <c r="U1865" s="3">
        <v>4.6299999999999996E-3</v>
      </c>
      <c r="V1865" s="3">
        <v>0</v>
      </c>
      <c r="W1865" s="3">
        <v>0</v>
      </c>
      <c r="X1865" s="3"/>
      <c r="Y1865" s="3">
        <v>0</v>
      </c>
      <c r="Z1865" s="23"/>
      <c r="AA1865" s="23"/>
      <c r="AB1865" s="3" t="str">
        <f t="shared" si="15"/>
        <v>___</v>
      </c>
      <c r="AC1865" s="3" t="str">
        <f t="shared" si="14"/>
        <v>____</v>
      </c>
    </row>
    <row r="1866" spans="1:31" ht="14">
      <c r="A1866" s="23"/>
      <c r="B1866" s="23"/>
      <c r="C1866" s="23"/>
      <c r="D1866" s="23"/>
      <c r="E1866" s="23"/>
      <c r="F1866" s="23"/>
      <c r="G1866" s="23"/>
      <c r="H1866" s="22"/>
      <c r="I1866" s="23"/>
      <c r="J1866" s="23"/>
      <c r="K1866" s="23"/>
      <c r="L1866" s="32" t="s">
        <v>39</v>
      </c>
      <c r="M1866" s="33">
        <v>9</v>
      </c>
      <c r="N1866" s="33">
        <v>2</v>
      </c>
      <c r="O1866" s="33">
        <v>6</v>
      </c>
      <c r="P1866" s="32"/>
      <c r="Q1866" s="32">
        <v>0</v>
      </c>
      <c r="R1866" s="23"/>
      <c r="S1866" s="23"/>
      <c r="T1866" s="3">
        <v>5.8300000000000001E-3</v>
      </c>
      <c r="U1866" s="3">
        <v>3.5000000000000001E-3</v>
      </c>
      <c r="V1866" s="3">
        <v>0</v>
      </c>
      <c r="W1866" s="3">
        <v>0</v>
      </c>
      <c r="X1866" s="3"/>
      <c r="Y1866" s="3">
        <v>0</v>
      </c>
      <c r="Z1866" s="23"/>
      <c r="AA1866" s="23"/>
      <c r="AB1866" s="3" t="str">
        <f t="shared" si="15"/>
        <v>___</v>
      </c>
      <c r="AC1866" s="3" t="str">
        <f t="shared" si="14"/>
        <v>____</v>
      </c>
    </row>
    <row r="1867" spans="1:31" ht="14">
      <c r="A1867" s="23"/>
      <c r="B1867" s="32">
        <v>1427</v>
      </c>
      <c r="C1867" s="32">
        <v>13</v>
      </c>
      <c r="D1867" s="23"/>
      <c r="E1867" s="23"/>
      <c r="F1867" s="23"/>
      <c r="G1867" s="32" t="s">
        <v>35</v>
      </c>
      <c r="H1867" s="33">
        <v>2</v>
      </c>
      <c r="I1867" s="32">
        <v>8</v>
      </c>
      <c r="J1867" s="32">
        <v>13.9</v>
      </c>
      <c r="K1867" s="32">
        <v>6</v>
      </c>
      <c r="L1867" s="32" t="s">
        <v>36</v>
      </c>
      <c r="M1867" s="33">
        <v>32</v>
      </c>
      <c r="N1867" s="33">
        <v>10</v>
      </c>
      <c r="O1867" s="33">
        <v>12</v>
      </c>
      <c r="P1867" s="32"/>
      <c r="Q1867" s="32">
        <v>0</v>
      </c>
      <c r="R1867" s="23"/>
      <c r="S1867" s="23"/>
      <c r="T1867" s="3">
        <v>6.9180000000000005E-2</v>
      </c>
      <c r="U1867" s="3">
        <v>8.3300000000000006E-3</v>
      </c>
      <c r="V1867" s="3">
        <v>0</v>
      </c>
      <c r="W1867" s="3">
        <v>0</v>
      </c>
      <c r="X1867" s="3"/>
      <c r="Y1867" s="3">
        <v>0</v>
      </c>
      <c r="Z1867" s="23"/>
      <c r="AA1867" s="23"/>
      <c r="AB1867" s="3" t="str">
        <f t="shared" si="15"/>
        <v>1427_13__vv</v>
      </c>
      <c r="AC1867" s="3" t="str">
        <f t="shared" si="14"/>
        <v>1427_13__vv_2</v>
      </c>
      <c r="AD1867" s="3" t="s">
        <v>37</v>
      </c>
      <c r="AE1867" s="3" t="s">
        <v>37</v>
      </c>
    </row>
    <row r="1868" spans="1:31" ht="14">
      <c r="A1868" s="23"/>
      <c r="B1868" s="23"/>
      <c r="C1868" s="23"/>
      <c r="D1868" s="23"/>
      <c r="E1868" s="23"/>
      <c r="F1868" s="23"/>
      <c r="G1868" s="23"/>
      <c r="H1868" s="22"/>
      <c r="I1868" s="23"/>
      <c r="J1868" s="23"/>
      <c r="K1868" s="23"/>
      <c r="L1868" s="32" t="s">
        <v>38</v>
      </c>
      <c r="M1868" s="33">
        <v>43</v>
      </c>
      <c r="N1868" s="33">
        <v>8</v>
      </c>
      <c r="O1868" s="33">
        <v>12</v>
      </c>
      <c r="P1868" s="32"/>
      <c r="Q1868" s="32">
        <v>0</v>
      </c>
      <c r="R1868" s="23"/>
      <c r="S1868" s="23"/>
      <c r="T1868" s="3">
        <v>6.6680000000000003E-2</v>
      </c>
      <c r="U1868" s="3">
        <v>2.138E-2</v>
      </c>
      <c r="V1868" s="3">
        <v>0</v>
      </c>
      <c r="W1868" s="3">
        <v>0</v>
      </c>
      <c r="X1868" s="3"/>
      <c r="Y1868" s="3">
        <v>0</v>
      </c>
      <c r="Z1868" s="32" t="s">
        <v>248</v>
      </c>
      <c r="AA1868" s="23"/>
      <c r="AB1868" s="3" t="str">
        <f t="shared" si="15"/>
        <v>___</v>
      </c>
      <c r="AC1868" s="3" t="str">
        <f t="shared" si="14"/>
        <v>____</v>
      </c>
    </row>
    <row r="1869" spans="1:31" ht="14">
      <c r="A1869" s="23"/>
      <c r="B1869" s="23"/>
      <c r="C1869" s="23"/>
      <c r="D1869" s="23"/>
      <c r="E1869" s="23"/>
      <c r="F1869" s="23"/>
      <c r="G1869" s="23"/>
      <c r="H1869" s="22"/>
      <c r="I1869" s="23"/>
      <c r="J1869" s="23"/>
      <c r="K1869" s="23"/>
      <c r="L1869" s="32" t="s">
        <v>39</v>
      </c>
      <c r="M1869" s="33">
        <v>15</v>
      </c>
      <c r="N1869" s="33">
        <v>0</v>
      </c>
      <c r="O1869" s="33">
        <v>7</v>
      </c>
      <c r="P1869" s="32">
        <v>1</v>
      </c>
      <c r="Q1869" s="32">
        <v>1</v>
      </c>
      <c r="R1869" s="23"/>
      <c r="S1869" s="23"/>
      <c r="T1869" s="3">
        <v>0</v>
      </c>
      <c r="U1869" s="3">
        <v>1.409E-2</v>
      </c>
      <c r="V1869" s="3">
        <v>9.4380000000000006E-2</v>
      </c>
      <c r="W1869" s="3">
        <v>0</v>
      </c>
      <c r="X1869" s="3"/>
      <c r="Y1869" s="3">
        <v>0</v>
      </c>
      <c r="Z1869" s="23"/>
      <c r="AA1869" s="23"/>
      <c r="AB1869" s="3" t="str">
        <f t="shared" si="15"/>
        <v>___</v>
      </c>
      <c r="AC1869" s="3" t="str">
        <f t="shared" si="14"/>
        <v>____</v>
      </c>
    </row>
    <row r="1870" spans="1:31" ht="14">
      <c r="A1870" s="23"/>
      <c r="B1870" s="32">
        <v>1427</v>
      </c>
      <c r="C1870" s="32">
        <v>13</v>
      </c>
      <c r="D1870" s="23"/>
      <c r="E1870" s="23"/>
      <c r="F1870" s="23"/>
      <c r="G1870" s="32" t="s">
        <v>35</v>
      </c>
      <c r="H1870" s="33">
        <v>3</v>
      </c>
      <c r="I1870" s="32">
        <v>7.1</v>
      </c>
      <c r="J1870" s="32">
        <v>12.1</v>
      </c>
      <c r="K1870" s="32">
        <v>3</v>
      </c>
      <c r="L1870" s="32" t="s">
        <v>36</v>
      </c>
      <c r="M1870" s="33">
        <v>11</v>
      </c>
      <c r="N1870" s="33">
        <v>9</v>
      </c>
      <c r="O1870" s="33">
        <v>10</v>
      </c>
      <c r="P1870" s="32"/>
      <c r="Q1870" s="32">
        <v>0</v>
      </c>
      <c r="R1870" s="23"/>
      <c r="S1870" s="23"/>
      <c r="T1870" s="3">
        <v>2.2429999999999999E-2</v>
      </c>
      <c r="U1870" s="3">
        <v>2.0600000000000002E-3</v>
      </c>
      <c r="V1870" s="3">
        <v>0</v>
      </c>
      <c r="W1870" s="3">
        <v>0</v>
      </c>
      <c r="X1870" s="3"/>
      <c r="Y1870" s="3">
        <v>0</v>
      </c>
      <c r="Z1870" s="23"/>
      <c r="AA1870" s="23"/>
      <c r="AB1870" s="3" t="str">
        <f t="shared" si="15"/>
        <v>1427_13__vv</v>
      </c>
      <c r="AC1870" s="3" t="str">
        <f t="shared" si="14"/>
        <v>1427_13__vv_3</v>
      </c>
      <c r="AD1870" s="3" t="s">
        <v>49</v>
      </c>
      <c r="AE1870" s="3" t="s">
        <v>37</v>
      </c>
    </row>
    <row r="1871" spans="1:31" ht="14">
      <c r="A1871" s="23"/>
      <c r="B1871" s="23"/>
      <c r="C1871" s="23"/>
      <c r="D1871" s="23"/>
      <c r="E1871" s="23"/>
      <c r="F1871" s="23"/>
      <c r="G1871" s="23"/>
      <c r="H1871" s="22"/>
      <c r="I1871" s="23"/>
      <c r="J1871" s="23"/>
      <c r="K1871" s="23"/>
      <c r="L1871" s="32" t="s">
        <v>38</v>
      </c>
      <c r="M1871" s="33">
        <v>22</v>
      </c>
      <c r="N1871" s="33">
        <v>10</v>
      </c>
      <c r="O1871" s="33">
        <v>14</v>
      </c>
      <c r="P1871" s="32"/>
      <c r="Q1871" s="32">
        <v>0</v>
      </c>
      <c r="R1871" s="23"/>
      <c r="S1871" s="23"/>
      <c r="T1871" s="3">
        <v>5.7829999999999999E-2</v>
      </c>
      <c r="U1871" s="3">
        <v>9.3500000000000007E-3</v>
      </c>
      <c r="V1871" s="3">
        <v>0</v>
      </c>
      <c r="W1871" s="3">
        <v>0</v>
      </c>
      <c r="X1871" s="3"/>
      <c r="Y1871" s="3">
        <v>0</v>
      </c>
      <c r="Z1871" s="23"/>
      <c r="AA1871" s="23"/>
      <c r="AB1871" s="3" t="str">
        <f t="shared" si="15"/>
        <v>___</v>
      </c>
      <c r="AC1871" s="3" t="str">
        <f t="shared" si="14"/>
        <v>____</v>
      </c>
    </row>
    <row r="1872" spans="1:31" ht="14">
      <c r="A1872" s="23"/>
      <c r="B1872" s="23"/>
      <c r="C1872" s="23"/>
      <c r="D1872" s="23"/>
      <c r="E1872" s="23"/>
      <c r="F1872" s="23"/>
      <c r="G1872" s="23"/>
      <c r="H1872" s="22"/>
      <c r="I1872" s="23"/>
      <c r="J1872" s="23"/>
      <c r="K1872" s="23"/>
      <c r="L1872" s="32" t="s">
        <v>39</v>
      </c>
      <c r="M1872" s="33">
        <v>87</v>
      </c>
      <c r="N1872" s="33">
        <v>5</v>
      </c>
      <c r="O1872" s="33">
        <v>16</v>
      </c>
      <c r="P1872" s="32"/>
      <c r="Q1872" s="32">
        <v>0</v>
      </c>
      <c r="R1872" s="23"/>
      <c r="S1872" s="23"/>
      <c r="T1872" s="3">
        <v>3.8490000000000003E-2</v>
      </c>
      <c r="U1872" s="3">
        <v>3.6580000000000001E-2</v>
      </c>
      <c r="V1872" s="3">
        <v>0</v>
      </c>
      <c r="W1872" s="3">
        <v>0</v>
      </c>
      <c r="X1872" s="3"/>
      <c r="Y1872" s="3">
        <v>0</v>
      </c>
      <c r="Z1872" s="23"/>
      <c r="AA1872" s="23"/>
      <c r="AB1872" s="3" t="str">
        <f t="shared" si="15"/>
        <v>___</v>
      </c>
      <c r="AC1872" s="3" t="str">
        <f t="shared" si="14"/>
        <v>____</v>
      </c>
    </row>
    <row r="1873" spans="1:31" ht="14">
      <c r="A1873" s="23"/>
      <c r="B1873" s="32">
        <v>1427</v>
      </c>
      <c r="C1873" s="32">
        <v>13</v>
      </c>
      <c r="D1873" s="23"/>
      <c r="E1873" s="23"/>
      <c r="F1873" s="23"/>
      <c r="G1873" s="32" t="s">
        <v>40</v>
      </c>
      <c r="H1873" s="33">
        <v>1</v>
      </c>
      <c r="I1873" s="32">
        <v>7.5</v>
      </c>
      <c r="J1873" s="32">
        <v>8.1999999999999993</v>
      </c>
      <c r="K1873" s="32">
        <v>4</v>
      </c>
      <c r="L1873" s="32" t="s">
        <v>36</v>
      </c>
      <c r="M1873" s="33">
        <v>16</v>
      </c>
      <c r="N1873" s="33">
        <v>5</v>
      </c>
      <c r="O1873" s="33">
        <v>6</v>
      </c>
      <c r="P1873" s="32"/>
      <c r="Q1873" s="32">
        <v>0</v>
      </c>
      <c r="R1873" s="23"/>
      <c r="S1873" s="23"/>
      <c r="T1873" s="3">
        <v>9.9100000000000004E-3</v>
      </c>
      <c r="U1873" s="3">
        <v>4.28E-3</v>
      </c>
      <c r="V1873" s="3">
        <v>0</v>
      </c>
      <c r="W1873" s="3">
        <v>0</v>
      </c>
      <c r="X1873" s="3"/>
      <c r="Y1873" s="3">
        <v>0</v>
      </c>
      <c r="Z1873" s="23"/>
      <c r="AA1873" s="23"/>
      <c r="AB1873" s="3" t="str">
        <f t="shared" si="15"/>
        <v>1427_13__vm</v>
      </c>
      <c r="AC1873" s="3" t="str">
        <f t="shared" si="14"/>
        <v>1427_13__vm_1</v>
      </c>
      <c r="AD1873" s="3" t="s">
        <v>37</v>
      </c>
      <c r="AE1873" s="3" t="s">
        <v>37</v>
      </c>
    </row>
    <row r="1874" spans="1:31" ht="14">
      <c r="A1874" s="23"/>
      <c r="B1874" s="23"/>
      <c r="C1874" s="23"/>
      <c r="D1874" s="23"/>
      <c r="E1874" s="23"/>
      <c r="F1874" s="23"/>
      <c r="G1874" s="23"/>
      <c r="H1874" s="22"/>
      <c r="I1874" s="23"/>
      <c r="J1874" s="23"/>
      <c r="K1874" s="23"/>
      <c r="L1874" s="32" t="s">
        <v>38</v>
      </c>
      <c r="M1874" s="33">
        <v>26</v>
      </c>
      <c r="N1874" s="33">
        <v>0</v>
      </c>
      <c r="O1874" s="33">
        <v>7</v>
      </c>
      <c r="P1874" s="32">
        <v>1</v>
      </c>
      <c r="Q1874" s="32">
        <v>1</v>
      </c>
      <c r="R1874" s="23"/>
      <c r="S1874" s="23"/>
      <c r="T1874" s="3">
        <v>0</v>
      </c>
      <c r="U1874" s="3">
        <v>1.1610000000000001E-2</v>
      </c>
      <c r="V1874" s="3">
        <v>8.7200000000000003E-3</v>
      </c>
      <c r="W1874" s="3">
        <v>0</v>
      </c>
      <c r="X1874" s="3"/>
      <c r="Y1874" s="3">
        <v>0</v>
      </c>
      <c r="Z1874" s="23"/>
      <c r="AA1874" s="23"/>
      <c r="AB1874" s="3" t="str">
        <f t="shared" si="15"/>
        <v>___</v>
      </c>
      <c r="AC1874" s="3" t="str">
        <f t="shared" si="14"/>
        <v>____</v>
      </c>
    </row>
    <row r="1875" spans="1:31" ht="14">
      <c r="A1875" s="23"/>
      <c r="B1875" s="23"/>
      <c r="C1875" s="23"/>
      <c r="D1875" s="23"/>
      <c r="E1875" s="23"/>
      <c r="F1875" s="23"/>
      <c r="G1875" s="23"/>
      <c r="H1875" s="22"/>
      <c r="I1875" s="23"/>
      <c r="J1875" s="23"/>
      <c r="K1875" s="23"/>
      <c r="L1875" s="32" t="s">
        <v>39</v>
      </c>
      <c r="M1875" s="33">
        <v>36</v>
      </c>
      <c r="N1875" s="33">
        <v>0</v>
      </c>
      <c r="O1875" s="33">
        <v>15</v>
      </c>
      <c r="P1875" s="32">
        <v>2</v>
      </c>
      <c r="Q1875" s="32">
        <v>2</v>
      </c>
      <c r="R1875" s="23"/>
      <c r="S1875" s="23"/>
      <c r="T1875" s="3">
        <v>0</v>
      </c>
      <c r="U1875" s="3">
        <v>3.3930000000000002E-2</v>
      </c>
      <c r="V1875" s="3">
        <v>4.7730000000000002E-2</v>
      </c>
      <c r="W1875" s="3">
        <v>0</v>
      </c>
      <c r="X1875" s="3"/>
      <c r="Y1875" s="3">
        <v>0</v>
      </c>
      <c r="Z1875" s="23"/>
      <c r="AA1875" s="23"/>
      <c r="AB1875" s="3" t="str">
        <f t="shared" si="15"/>
        <v>___</v>
      </c>
      <c r="AC1875" s="3" t="str">
        <f t="shared" si="14"/>
        <v>____</v>
      </c>
    </row>
    <row r="1876" spans="1:31" ht="14">
      <c r="A1876" s="23"/>
      <c r="B1876" s="32">
        <v>1427</v>
      </c>
      <c r="C1876" s="32">
        <v>13</v>
      </c>
      <c r="D1876" s="23"/>
      <c r="E1876" s="23"/>
      <c r="F1876" s="23"/>
      <c r="G1876" s="32" t="s">
        <v>40</v>
      </c>
      <c r="H1876" s="33">
        <v>2</v>
      </c>
      <c r="I1876" s="32">
        <v>7.7</v>
      </c>
      <c r="J1876" s="32">
        <v>8.6999999999999993</v>
      </c>
      <c r="K1876" s="32">
        <v>7</v>
      </c>
      <c r="L1876" s="32" t="s">
        <v>36</v>
      </c>
      <c r="M1876" s="33">
        <v>14</v>
      </c>
      <c r="N1876" s="33">
        <v>5</v>
      </c>
      <c r="O1876" s="33">
        <v>5</v>
      </c>
      <c r="P1876" s="32"/>
      <c r="Q1876" s="32">
        <v>0</v>
      </c>
      <c r="R1876" s="23"/>
      <c r="S1876" s="23"/>
      <c r="T1876" s="3">
        <v>9.1699999999999993E-3</v>
      </c>
      <c r="U1876" s="3">
        <v>3.0100000000000001E-3</v>
      </c>
      <c r="V1876" s="3">
        <v>0</v>
      </c>
      <c r="W1876" s="3">
        <v>0</v>
      </c>
      <c r="X1876" s="3"/>
      <c r="Y1876" s="3">
        <v>0</v>
      </c>
      <c r="Z1876" s="23"/>
      <c r="AA1876" s="23"/>
      <c r="AB1876" s="3" t="str">
        <f t="shared" si="15"/>
        <v>1427_13__vm</v>
      </c>
      <c r="AC1876" s="3" t="str">
        <f t="shared" si="14"/>
        <v>1427_13__vm_2</v>
      </c>
      <c r="AD1876" s="3" t="s">
        <v>37</v>
      </c>
      <c r="AE1876" s="3" t="s">
        <v>37</v>
      </c>
    </row>
    <row r="1877" spans="1:31" ht="14">
      <c r="A1877" s="23"/>
      <c r="B1877" s="23"/>
      <c r="C1877" s="23"/>
      <c r="D1877" s="23"/>
      <c r="E1877" s="23"/>
      <c r="F1877" s="23"/>
      <c r="G1877" s="23"/>
      <c r="H1877" s="22"/>
      <c r="I1877" s="23"/>
      <c r="J1877" s="23"/>
      <c r="K1877" s="23"/>
      <c r="L1877" s="32" t="s">
        <v>38</v>
      </c>
      <c r="M1877" s="33">
        <v>11</v>
      </c>
      <c r="N1877" s="33">
        <v>0</v>
      </c>
      <c r="O1877" s="33">
        <v>4</v>
      </c>
      <c r="P1877" s="32">
        <v>1</v>
      </c>
      <c r="Q1877" s="32">
        <v>1</v>
      </c>
      <c r="R1877" s="23"/>
      <c r="S1877" s="23"/>
      <c r="T1877" s="3">
        <v>0</v>
      </c>
      <c r="U1877" s="3">
        <v>3.3600000000000001E-3</v>
      </c>
      <c r="V1877" s="3">
        <v>3.7499999999999999E-3</v>
      </c>
      <c r="W1877" s="3">
        <v>0</v>
      </c>
      <c r="X1877" s="3"/>
      <c r="Y1877" s="3">
        <v>0</v>
      </c>
      <c r="Z1877" s="23"/>
      <c r="AA1877" s="23"/>
      <c r="AB1877" s="3" t="str">
        <f t="shared" si="15"/>
        <v>___</v>
      </c>
      <c r="AC1877" s="3" t="str">
        <f t="shared" si="14"/>
        <v>____</v>
      </c>
    </row>
    <row r="1878" spans="1:31" ht="14">
      <c r="A1878" s="23"/>
      <c r="B1878" s="23"/>
      <c r="C1878" s="23"/>
      <c r="D1878" s="23"/>
      <c r="E1878" s="23"/>
      <c r="F1878" s="23"/>
      <c r="G1878" s="23"/>
      <c r="H1878" s="22"/>
      <c r="I1878" s="23"/>
      <c r="J1878" s="23"/>
      <c r="K1878" s="23"/>
      <c r="L1878" s="32" t="s">
        <v>39</v>
      </c>
      <c r="M1878" s="33">
        <v>16</v>
      </c>
      <c r="N1878" s="33">
        <v>0</v>
      </c>
      <c r="O1878" s="33">
        <v>6</v>
      </c>
      <c r="P1878" s="32">
        <v>1</v>
      </c>
      <c r="Q1878" s="32">
        <v>1</v>
      </c>
      <c r="R1878" s="23"/>
      <c r="S1878" s="23"/>
      <c r="T1878" s="3">
        <v>0</v>
      </c>
      <c r="U1878" s="3">
        <v>7.1700000000000002E-3</v>
      </c>
      <c r="V1878" s="3">
        <v>9.4000000000000004E-3</v>
      </c>
      <c r="W1878" s="3">
        <v>0</v>
      </c>
      <c r="X1878" s="3"/>
      <c r="Y1878" s="3">
        <v>0</v>
      </c>
      <c r="Z1878" s="23"/>
      <c r="AA1878" s="23"/>
      <c r="AB1878" s="3" t="str">
        <f t="shared" si="15"/>
        <v>___</v>
      </c>
      <c r="AC1878" s="3" t="str">
        <f t="shared" si="14"/>
        <v>____</v>
      </c>
    </row>
    <row r="1879" spans="1:31" ht="14">
      <c r="A1879" s="23"/>
      <c r="B1879" s="32">
        <v>1427</v>
      </c>
      <c r="C1879" s="32">
        <v>13</v>
      </c>
      <c r="D1879" s="23"/>
      <c r="E1879" s="23"/>
      <c r="F1879" s="23"/>
      <c r="G1879" s="32" t="s">
        <v>40</v>
      </c>
      <c r="H1879" s="33">
        <v>3</v>
      </c>
      <c r="I1879" s="32">
        <v>10.4</v>
      </c>
      <c r="J1879" s="32">
        <v>11.3</v>
      </c>
      <c r="K1879" s="32">
        <v>6</v>
      </c>
      <c r="L1879" s="32" t="s">
        <v>36</v>
      </c>
      <c r="M1879" s="33">
        <v>17</v>
      </c>
      <c r="N1879" s="33">
        <v>6</v>
      </c>
      <c r="O1879" s="33">
        <v>6</v>
      </c>
      <c r="P1879" s="32"/>
      <c r="Q1879" s="32">
        <v>0</v>
      </c>
      <c r="R1879" s="23"/>
      <c r="S1879" s="23"/>
      <c r="T1879" s="3">
        <v>1.242E-2</v>
      </c>
      <c r="U1879" s="3">
        <v>4.8500000000000001E-3</v>
      </c>
      <c r="V1879" s="3">
        <v>0</v>
      </c>
      <c r="W1879" s="3">
        <v>0</v>
      </c>
      <c r="X1879" s="3"/>
      <c r="Y1879" s="3">
        <v>0</v>
      </c>
      <c r="Z1879" s="23"/>
      <c r="AA1879" s="23"/>
      <c r="AB1879" s="3" t="str">
        <f t="shared" si="15"/>
        <v>1427_13__vm</v>
      </c>
      <c r="AC1879" s="3" t="str">
        <f t="shared" si="14"/>
        <v>1427_13__vm_3</v>
      </c>
      <c r="AD1879" s="3" t="s">
        <v>37</v>
      </c>
      <c r="AE1879" s="3" t="s">
        <v>37</v>
      </c>
    </row>
    <row r="1880" spans="1:31" ht="14">
      <c r="A1880" s="23"/>
      <c r="B1880" s="23"/>
      <c r="C1880" s="23"/>
      <c r="D1880" s="23"/>
      <c r="E1880" s="23"/>
      <c r="F1880" s="23"/>
      <c r="G1880" s="23"/>
      <c r="H1880" s="22"/>
      <c r="I1880" s="23"/>
      <c r="J1880" s="23"/>
      <c r="K1880" s="23"/>
      <c r="L1880" s="32" t="s">
        <v>38</v>
      </c>
      <c r="M1880" s="33">
        <v>32</v>
      </c>
      <c r="N1880" s="33">
        <v>0</v>
      </c>
      <c r="O1880" s="33">
        <v>6</v>
      </c>
      <c r="P1880" s="32">
        <v>2</v>
      </c>
      <c r="Q1880" s="32">
        <v>2</v>
      </c>
      <c r="R1880" s="23"/>
      <c r="S1880" s="23"/>
      <c r="T1880" s="3">
        <v>0</v>
      </c>
      <c r="U1880" s="3">
        <v>1.8200000000000001E-2</v>
      </c>
      <c r="V1880" s="3">
        <v>2.6239999999999999E-2</v>
      </c>
      <c r="W1880" s="3">
        <v>0</v>
      </c>
      <c r="X1880" s="3"/>
      <c r="Y1880" s="3">
        <v>0</v>
      </c>
      <c r="Z1880" s="23"/>
      <c r="AA1880" s="23"/>
      <c r="AB1880" s="3" t="str">
        <f t="shared" si="15"/>
        <v>___</v>
      </c>
      <c r="AC1880" s="3" t="str">
        <f t="shared" si="14"/>
        <v>____</v>
      </c>
    </row>
    <row r="1881" spans="1:31" ht="14">
      <c r="A1881" s="23"/>
      <c r="B1881" s="23"/>
      <c r="C1881" s="23"/>
      <c r="D1881" s="23"/>
      <c r="E1881" s="23"/>
      <c r="F1881" s="23"/>
      <c r="G1881" s="23"/>
      <c r="H1881" s="22"/>
      <c r="I1881" s="23"/>
      <c r="J1881" s="23"/>
      <c r="K1881" s="23"/>
      <c r="L1881" s="32" t="s">
        <v>39</v>
      </c>
      <c r="M1881" s="33">
        <v>18</v>
      </c>
      <c r="N1881" s="33">
        <v>0</v>
      </c>
      <c r="O1881" s="33">
        <v>6</v>
      </c>
      <c r="P1881" s="32">
        <v>1</v>
      </c>
      <c r="Q1881" s="32">
        <v>1</v>
      </c>
      <c r="R1881" s="23"/>
      <c r="S1881" s="23"/>
      <c r="T1881" s="3">
        <v>0</v>
      </c>
      <c r="U1881" s="3">
        <v>1.434E-2</v>
      </c>
      <c r="V1881" s="3">
        <v>2.019E-2</v>
      </c>
      <c r="W1881" s="3">
        <v>0</v>
      </c>
      <c r="X1881" s="3"/>
      <c r="Y1881" s="3">
        <v>0</v>
      </c>
      <c r="Z1881" s="23"/>
      <c r="AA1881" s="23"/>
      <c r="AB1881" s="3" t="str">
        <f t="shared" si="15"/>
        <v>___</v>
      </c>
      <c r="AC1881" s="3" t="str">
        <f t="shared" si="14"/>
        <v>____</v>
      </c>
    </row>
    <row r="1882" spans="1:31" ht="14">
      <c r="A1882" s="23"/>
      <c r="B1882" s="32">
        <v>905</v>
      </c>
      <c r="C1882" s="32">
        <v>44</v>
      </c>
      <c r="D1882" s="23"/>
      <c r="E1882" s="23"/>
      <c r="F1882" s="23"/>
      <c r="G1882" s="32" t="s">
        <v>35</v>
      </c>
      <c r="H1882" s="33">
        <v>1</v>
      </c>
      <c r="I1882" s="32">
        <v>14.7</v>
      </c>
      <c r="J1882" s="32">
        <v>20.7</v>
      </c>
      <c r="K1882" s="32">
        <v>7</v>
      </c>
      <c r="L1882" s="32" t="s">
        <v>36</v>
      </c>
      <c r="M1882" s="33">
        <v>30</v>
      </c>
      <c r="N1882" s="33">
        <v>11</v>
      </c>
      <c r="O1882" s="33">
        <v>11</v>
      </c>
      <c r="P1882" s="32"/>
      <c r="Q1882" s="32">
        <v>0</v>
      </c>
      <c r="R1882" s="23"/>
      <c r="S1882" s="23"/>
      <c r="T1882" s="3">
        <v>9.92E-3</v>
      </c>
      <c r="U1882" s="3">
        <v>9.92E-3</v>
      </c>
      <c r="V1882" s="3">
        <v>0</v>
      </c>
      <c r="W1882" s="3">
        <v>0</v>
      </c>
      <c r="X1882" s="3"/>
      <c r="Y1882" s="3">
        <v>0</v>
      </c>
      <c r="Z1882" s="23"/>
      <c r="AA1882" s="23"/>
      <c r="AB1882" s="3" t="str">
        <f t="shared" si="15"/>
        <v>905_44__vv</v>
      </c>
      <c r="AC1882" s="3" t="str">
        <f t="shared" si="14"/>
        <v>905_44__vv_1</v>
      </c>
      <c r="AE1882" s="3" t="s">
        <v>37</v>
      </c>
    </row>
    <row r="1883" spans="1:31" ht="14">
      <c r="A1883" s="23"/>
      <c r="B1883" s="23"/>
      <c r="C1883" s="23"/>
      <c r="D1883" s="23"/>
      <c r="E1883" s="23"/>
      <c r="F1883" s="23"/>
      <c r="G1883" s="23"/>
      <c r="H1883" s="22"/>
      <c r="I1883" s="23"/>
      <c r="J1883" s="23"/>
      <c r="K1883" s="23"/>
      <c r="L1883" s="32" t="s">
        <v>38</v>
      </c>
      <c r="M1883" s="33">
        <v>41</v>
      </c>
      <c r="N1883" s="33">
        <v>8</v>
      </c>
      <c r="O1883" s="33">
        <v>12</v>
      </c>
      <c r="P1883" s="32">
        <v>1</v>
      </c>
      <c r="Q1883" s="32">
        <v>1</v>
      </c>
      <c r="R1883" s="23"/>
      <c r="S1883" s="23"/>
      <c r="T1883" s="3">
        <v>0.13286000000000001</v>
      </c>
      <c r="U1883" s="3">
        <v>2.5749999999999999E-2</v>
      </c>
      <c r="V1883" s="3">
        <v>5.4039999999999998E-2</v>
      </c>
      <c r="W1883" s="3">
        <v>0</v>
      </c>
      <c r="X1883" s="3"/>
      <c r="Y1883" s="3">
        <v>0</v>
      </c>
      <c r="Z1883" s="23"/>
      <c r="AA1883" s="23"/>
      <c r="AB1883" s="3" t="str">
        <f t="shared" si="15"/>
        <v>___</v>
      </c>
      <c r="AC1883" s="3" t="str">
        <f t="shared" si="14"/>
        <v>____</v>
      </c>
    </row>
    <row r="1884" spans="1:31" ht="14">
      <c r="A1884" s="23"/>
      <c r="B1884" s="23"/>
      <c r="C1884" s="23"/>
      <c r="D1884" s="23"/>
      <c r="E1884" s="23"/>
      <c r="F1884" s="23"/>
      <c r="G1884" s="23"/>
      <c r="H1884" s="22"/>
      <c r="I1884" s="23"/>
      <c r="J1884" s="23"/>
      <c r="K1884" s="23"/>
      <c r="L1884" s="32" t="s">
        <v>39</v>
      </c>
      <c r="M1884" s="33">
        <v>37</v>
      </c>
      <c r="N1884" s="33">
        <v>7</v>
      </c>
      <c r="O1884" s="33">
        <v>11</v>
      </c>
      <c r="P1884" s="32"/>
      <c r="Q1884" s="32">
        <v>0</v>
      </c>
      <c r="R1884" s="23"/>
      <c r="S1884" s="23"/>
      <c r="T1884" s="3">
        <v>6.3670000000000004E-2</v>
      </c>
      <c r="U1884" s="3">
        <v>3.1230000000000001E-2</v>
      </c>
      <c r="V1884" s="3">
        <v>0</v>
      </c>
      <c r="W1884" s="3">
        <v>0</v>
      </c>
      <c r="X1884" s="3"/>
      <c r="Y1884" s="3">
        <v>0</v>
      </c>
      <c r="Z1884" s="23"/>
      <c r="AA1884" s="23"/>
      <c r="AB1884" s="3" t="str">
        <f t="shared" si="15"/>
        <v>___</v>
      </c>
      <c r="AC1884" s="3" t="str">
        <f t="shared" si="14"/>
        <v>____</v>
      </c>
    </row>
    <row r="1885" spans="1:31" ht="14">
      <c r="A1885" s="23"/>
      <c r="B1885" s="32">
        <v>905</v>
      </c>
      <c r="C1885" s="32">
        <v>44</v>
      </c>
      <c r="D1885" s="23"/>
      <c r="E1885" s="23"/>
      <c r="F1885" s="23"/>
      <c r="G1885" s="32" t="s">
        <v>35</v>
      </c>
      <c r="H1885" s="33">
        <v>2</v>
      </c>
      <c r="I1885" s="32">
        <v>17.100000000000001</v>
      </c>
      <c r="J1885" s="32">
        <v>15.2</v>
      </c>
      <c r="K1885" s="32">
        <v>5</v>
      </c>
      <c r="L1885" s="32" t="s">
        <v>36</v>
      </c>
      <c r="M1885" s="33">
        <v>28</v>
      </c>
      <c r="N1885" s="33">
        <v>11</v>
      </c>
      <c r="O1885" s="33">
        <v>11</v>
      </c>
      <c r="P1885" s="32"/>
      <c r="Q1885" s="32">
        <v>0</v>
      </c>
      <c r="R1885" s="23"/>
      <c r="S1885" s="23"/>
      <c r="T1885" s="3">
        <v>9.3710000000000002E-2</v>
      </c>
      <c r="U1885" s="3">
        <v>1.106E-2</v>
      </c>
      <c r="V1885" s="3">
        <v>0</v>
      </c>
      <c r="W1885" s="3">
        <v>0</v>
      </c>
      <c r="X1885" s="3"/>
      <c r="Y1885" s="3">
        <v>0</v>
      </c>
      <c r="Z1885" s="23"/>
      <c r="AA1885" s="23"/>
      <c r="AB1885" s="3" t="str">
        <f t="shared" si="15"/>
        <v>905_44__vv</v>
      </c>
      <c r="AC1885" s="3" t="str">
        <f t="shared" si="14"/>
        <v>905_44__vv_2</v>
      </c>
      <c r="AE1885" s="3" t="s">
        <v>37</v>
      </c>
    </row>
    <row r="1886" spans="1:31" ht="14">
      <c r="A1886" s="23"/>
      <c r="B1886" s="23"/>
      <c r="C1886" s="23"/>
      <c r="D1886" s="23"/>
      <c r="E1886" s="23"/>
      <c r="F1886" s="23"/>
      <c r="G1886" s="23"/>
      <c r="H1886" s="22"/>
      <c r="I1886" s="23"/>
      <c r="J1886" s="23"/>
      <c r="K1886" s="23"/>
      <c r="L1886" s="32" t="s">
        <v>38</v>
      </c>
      <c r="M1886" s="33">
        <v>34</v>
      </c>
      <c r="N1886" s="33">
        <v>6</v>
      </c>
      <c r="O1886" s="33">
        <v>9</v>
      </c>
      <c r="P1886" s="32"/>
      <c r="Q1886" s="32">
        <v>0</v>
      </c>
      <c r="R1886" s="23"/>
      <c r="S1886" s="23"/>
      <c r="T1886" s="3">
        <v>0.10219</v>
      </c>
      <c r="U1886" s="3">
        <v>1.9810000000000001E-2</v>
      </c>
      <c r="V1886" s="3">
        <v>0</v>
      </c>
      <c r="W1886" s="3">
        <v>0</v>
      </c>
      <c r="X1886" s="3"/>
      <c r="Y1886" s="3">
        <v>0</v>
      </c>
      <c r="Z1886" s="23"/>
      <c r="AA1886" s="23"/>
      <c r="AB1886" s="3" t="str">
        <f t="shared" si="15"/>
        <v>___</v>
      </c>
      <c r="AC1886" s="3" t="str">
        <f t="shared" si="14"/>
        <v>____</v>
      </c>
    </row>
    <row r="1887" spans="1:31" ht="14">
      <c r="A1887" s="23"/>
      <c r="B1887" s="23"/>
      <c r="C1887" s="23"/>
      <c r="D1887" s="23"/>
      <c r="E1887" s="23"/>
      <c r="F1887" s="23"/>
      <c r="G1887" s="23"/>
      <c r="H1887" s="22"/>
      <c r="I1887" s="23"/>
      <c r="J1887" s="23"/>
      <c r="K1887" s="23"/>
      <c r="L1887" s="32" t="s">
        <v>39</v>
      </c>
      <c r="M1887" s="33">
        <v>53</v>
      </c>
      <c r="N1887" s="33">
        <v>6</v>
      </c>
      <c r="O1887" s="33">
        <v>10</v>
      </c>
      <c r="P1887" s="32"/>
      <c r="Q1887" s="32">
        <v>0</v>
      </c>
      <c r="R1887" s="23"/>
      <c r="S1887" s="23"/>
      <c r="T1887" s="3">
        <v>4.2369999999999998E-2</v>
      </c>
      <c r="U1887" s="3">
        <v>4.3749999999999997E-2</v>
      </c>
      <c r="V1887" s="3">
        <v>0</v>
      </c>
      <c r="W1887" s="3">
        <v>0</v>
      </c>
      <c r="X1887" s="3"/>
      <c r="Y1887" s="3">
        <v>0</v>
      </c>
      <c r="Z1887" s="23"/>
      <c r="AA1887" s="23"/>
      <c r="AB1887" s="3" t="str">
        <f t="shared" si="15"/>
        <v>___</v>
      </c>
      <c r="AC1887" s="3" t="str">
        <f t="shared" si="14"/>
        <v>____</v>
      </c>
    </row>
    <row r="1888" spans="1:31" ht="14">
      <c r="A1888" s="23"/>
      <c r="B1888" s="32">
        <v>905</v>
      </c>
      <c r="C1888" s="32">
        <v>44</v>
      </c>
      <c r="D1888" s="23"/>
      <c r="E1888" s="23"/>
      <c r="F1888" s="23"/>
      <c r="G1888" s="32" t="s">
        <v>35</v>
      </c>
      <c r="H1888" s="33">
        <v>3</v>
      </c>
      <c r="I1888" s="32">
        <v>12.6</v>
      </c>
      <c r="J1888" s="32">
        <v>16.100000000000001</v>
      </c>
      <c r="K1888" s="32">
        <v>4</v>
      </c>
      <c r="L1888" s="32" t="s">
        <v>36</v>
      </c>
      <c r="M1888" s="33">
        <v>59</v>
      </c>
      <c r="N1888" s="33">
        <v>11</v>
      </c>
      <c r="O1888" s="33">
        <v>14</v>
      </c>
      <c r="P1888" s="32"/>
      <c r="Q1888" s="32">
        <v>0</v>
      </c>
      <c r="R1888" s="23"/>
      <c r="S1888" s="23"/>
      <c r="T1888" s="3">
        <v>0.12759000000000001</v>
      </c>
      <c r="U1888" s="3">
        <v>2.8309999999999998E-2</v>
      </c>
      <c r="V1888" s="3">
        <v>0</v>
      </c>
      <c r="W1888" s="3">
        <v>0</v>
      </c>
      <c r="X1888" s="3"/>
      <c r="Y1888" s="3">
        <v>0</v>
      </c>
      <c r="Z1888" s="23"/>
      <c r="AA1888" s="23"/>
      <c r="AB1888" s="3" t="str">
        <f t="shared" si="15"/>
        <v>905_44__vv</v>
      </c>
      <c r="AC1888" s="3" t="str">
        <f t="shared" si="14"/>
        <v>905_44__vv_3</v>
      </c>
      <c r="AE1888" s="3" t="s">
        <v>37</v>
      </c>
    </row>
    <row r="1889" spans="1:31" ht="14">
      <c r="A1889" s="23"/>
      <c r="B1889" s="23"/>
      <c r="C1889" s="23"/>
      <c r="D1889" s="23"/>
      <c r="E1889" s="23"/>
      <c r="F1889" s="23"/>
      <c r="G1889" s="23"/>
      <c r="H1889" s="22"/>
      <c r="I1889" s="23"/>
      <c r="J1889" s="23"/>
      <c r="K1889" s="23"/>
      <c r="L1889" s="32" t="s">
        <v>38</v>
      </c>
      <c r="M1889" s="33">
        <v>49</v>
      </c>
      <c r="N1889" s="33">
        <v>3</v>
      </c>
      <c r="O1889" s="33">
        <v>11</v>
      </c>
      <c r="P1889" s="32"/>
      <c r="Q1889" s="32">
        <v>0</v>
      </c>
      <c r="R1889" s="23"/>
      <c r="S1889" s="23"/>
      <c r="T1889" s="3">
        <v>4.0800000000000003E-2</v>
      </c>
      <c r="U1889" s="3">
        <v>3.6269999999999997E-2</v>
      </c>
      <c r="V1889" s="3">
        <v>0</v>
      </c>
      <c r="W1889" s="3">
        <v>0</v>
      </c>
      <c r="X1889" s="3"/>
      <c r="Y1889" s="3">
        <v>0</v>
      </c>
      <c r="Z1889" s="23"/>
      <c r="AA1889" s="23"/>
      <c r="AB1889" s="3" t="str">
        <f t="shared" si="15"/>
        <v>___</v>
      </c>
      <c r="AC1889" s="3" t="str">
        <f t="shared" si="14"/>
        <v>____</v>
      </c>
    </row>
    <row r="1890" spans="1:31" ht="14">
      <c r="A1890" s="23"/>
      <c r="B1890" s="23"/>
      <c r="C1890" s="23"/>
      <c r="D1890" s="23"/>
      <c r="E1890" s="23"/>
      <c r="F1890" s="23"/>
      <c r="G1890" s="23"/>
      <c r="H1890" s="22"/>
      <c r="I1890" s="23"/>
      <c r="J1890" s="23"/>
      <c r="K1890" s="23"/>
      <c r="L1890" s="32" t="s">
        <v>39</v>
      </c>
      <c r="M1890" s="33">
        <v>53</v>
      </c>
      <c r="N1890" s="33">
        <v>0</v>
      </c>
      <c r="O1890" s="33">
        <v>11</v>
      </c>
      <c r="P1890" s="32"/>
      <c r="Q1890" s="32">
        <v>0</v>
      </c>
      <c r="R1890" s="23"/>
      <c r="S1890" s="23"/>
      <c r="T1890" s="3">
        <v>0</v>
      </c>
      <c r="U1890" s="3">
        <v>4.8599999999999997E-2</v>
      </c>
      <c r="V1890" s="3">
        <v>0</v>
      </c>
      <c r="W1890" s="3">
        <v>0</v>
      </c>
      <c r="X1890" s="3"/>
      <c r="Y1890" s="3">
        <v>0</v>
      </c>
      <c r="Z1890" s="23"/>
      <c r="AA1890" s="23"/>
      <c r="AB1890" s="3" t="str">
        <f t="shared" si="15"/>
        <v>___</v>
      </c>
      <c r="AC1890" s="3" t="str">
        <f t="shared" si="14"/>
        <v>____</v>
      </c>
    </row>
    <row r="1891" spans="1:31" ht="14">
      <c r="A1891" s="23"/>
      <c r="B1891" s="32">
        <v>905</v>
      </c>
      <c r="C1891" s="32">
        <v>44</v>
      </c>
      <c r="D1891" s="23"/>
      <c r="E1891" s="23"/>
      <c r="F1891" s="23"/>
      <c r="G1891" s="32" t="s">
        <v>40</v>
      </c>
      <c r="H1891" s="33">
        <v>1</v>
      </c>
      <c r="I1891" s="32">
        <v>16.8</v>
      </c>
      <c r="J1891" s="32">
        <v>22.3</v>
      </c>
      <c r="K1891" s="23"/>
      <c r="L1891" s="32" t="s">
        <v>36</v>
      </c>
      <c r="M1891" s="33">
        <v>57</v>
      </c>
      <c r="N1891" s="33">
        <v>9</v>
      </c>
      <c r="O1891" s="33">
        <v>9</v>
      </c>
      <c r="P1891" s="32"/>
      <c r="Q1891" s="32">
        <v>0</v>
      </c>
      <c r="R1891" s="23"/>
      <c r="S1891" s="23"/>
      <c r="T1891" s="3">
        <v>4.5499999999999999E-2</v>
      </c>
      <c r="U1891" s="3">
        <v>2.7109999999999999E-2</v>
      </c>
      <c r="V1891" s="3">
        <v>0</v>
      </c>
      <c r="W1891" s="3">
        <v>0</v>
      </c>
      <c r="X1891" s="3"/>
      <c r="Y1891" s="3">
        <v>0</v>
      </c>
      <c r="Z1891" s="32" t="s">
        <v>249</v>
      </c>
      <c r="AA1891" s="23"/>
      <c r="AB1891" s="3" t="str">
        <f t="shared" si="15"/>
        <v>905_44__vm</v>
      </c>
      <c r="AC1891" s="3" t="str">
        <f t="shared" si="14"/>
        <v>905_44__vm_1</v>
      </c>
      <c r="AE1891" s="3" t="s">
        <v>37</v>
      </c>
    </row>
    <row r="1892" spans="1:31" ht="14">
      <c r="A1892" s="23"/>
      <c r="B1892" s="23"/>
      <c r="C1892" s="23"/>
      <c r="D1892" s="23"/>
      <c r="E1892" s="23"/>
      <c r="F1892" s="23"/>
      <c r="G1892" s="23"/>
      <c r="H1892" s="22"/>
      <c r="I1892" s="23"/>
      <c r="J1892" s="23"/>
      <c r="K1892" s="23"/>
      <c r="L1892" s="32" t="s">
        <v>38</v>
      </c>
      <c r="M1892" s="33">
        <v>53</v>
      </c>
      <c r="N1892" s="33">
        <v>0</v>
      </c>
      <c r="O1892" s="33">
        <v>2</v>
      </c>
      <c r="P1892" s="32">
        <v>4</v>
      </c>
      <c r="Q1892" s="32">
        <v>3</v>
      </c>
      <c r="R1892" s="23"/>
      <c r="S1892" s="23"/>
      <c r="T1892" s="3">
        <v>0</v>
      </c>
      <c r="U1892" s="3">
        <v>5.4969999999999998E-2</v>
      </c>
      <c r="V1892" s="3">
        <v>0.11433</v>
      </c>
      <c r="W1892" s="3">
        <v>0</v>
      </c>
      <c r="X1892" s="3"/>
      <c r="Y1892" s="3">
        <v>0</v>
      </c>
      <c r="Z1892" s="23"/>
      <c r="AA1892" s="23"/>
      <c r="AB1892" s="3" t="str">
        <f t="shared" si="15"/>
        <v>___</v>
      </c>
      <c r="AC1892" s="3" t="str">
        <f t="shared" si="14"/>
        <v>____</v>
      </c>
    </row>
    <row r="1893" spans="1:31" ht="14">
      <c r="A1893" s="23"/>
      <c r="B1893" s="23"/>
      <c r="C1893" s="23"/>
      <c r="D1893" s="23"/>
      <c r="E1893" s="23"/>
      <c r="F1893" s="23"/>
      <c r="G1893" s="23"/>
      <c r="H1893" s="22"/>
      <c r="I1893" s="23"/>
      <c r="J1893" s="23"/>
      <c r="K1893" s="23"/>
      <c r="L1893" s="32" t="s">
        <v>39</v>
      </c>
      <c r="M1893" s="33">
        <v>40</v>
      </c>
      <c r="N1893" s="33">
        <v>0</v>
      </c>
      <c r="O1893" s="33">
        <v>5</v>
      </c>
      <c r="P1893" s="32">
        <v>0</v>
      </c>
      <c r="Q1893" s="32">
        <v>0</v>
      </c>
      <c r="R1893" s="23"/>
      <c r="S1893" s="23"/>
      <c r="T1893" s="3">
        <v>0</v>
      </c>
      <c r="U1893" s="3">
        <v>4.5900000000000003E-2</v>
      </c>
      <c r="V1893" s="3">
        <v>0</v>
      </c>
      <c r="W1893" s="3">
        <v>0</v>
      </c>
      <c r="X1893" s="3"/>
      <c r="Y1893" s="3">
        <v>0</v>
      </c>
      <c r="Z1893" s="23"/>
      <c r="AA1893" s="23"/>
      <c r="AB1893" s="3" t="str">
        <f t="shared" si="15"/>
        <v>___</v>
      </c>
      <c r="AC1893" s="3" t="str">
        <f t="shared" si="14"/>
        <v>____</v>
      </c>
    </row>
    <row r="1894" spans="1:31" ht="14">
      <c r="A1894" s="23"/>
      <c r="B1894" s="32">
        <v>905</v>
      </c>
      <c r="C1894" s="32">
        <v>44</v>
      </c>
      <c r="D1894" s="23"/>
      <c r="E1894" s="23"/>
      <c r="F1894" s="23"/>
      <c r="G1894" s="32" t="s">
        <v>40</v>
      </c>
      <c r="H1894" s="33">
        <v>2</v>
      </c>
      <c r="I1894" s="32">
        <v>17.899999999999999</v>
      </c>
      <c r="J1894" s="32">
        <v>22.4</v>
      </c>
      <c r="K1894" s="32">
        <v>8</v>
      </c>
      <c r="L1894" s="32" t="s">
        <v>36</v>
      </c>
      <c r="M1894" s="33">
        <v>27</v>
      </c>
      <c r="N1894" s="33">
        <v>6</v>
      </c>
      <c r="O1894" s="33">
        <v>6</v>
      </c>
      <c r="P1894" s="32"/>
      <c r="Q1894" s="32">
        <v>0</v>
      </c>
      <c r="R1894" s="23"/>
      <c r="S1894" s="23"/>
      <c r="T1894" s="3">
        <v>1.9539999999999998E-2</v>
      </c>
      <c r="U1894" s="3">
        <v>8.5000000000000006E-3</v>
      </c>
      <c r="V1894" s="3">
        <v>0</v>
      </c>
      <c r="W1894" s="3">
        <v>0</v>
      </c>
      <c r="X1894" s="3"/>
      <c r="Y1894" s="3">
        <v>0</v>
      </c>
      <c r="Z1894" s="23"/>
      <c r="AA1894" s="23"/>
      <c r="AB1894" s="3" t="str">
        <f t="shared" si="15"/>
        <v>905_44__vm</v>
      </c>
      <c r="AC1894" s="3" t="str">
        <f t="shared" si="14"/>
        <v>905_44__vm_2</v>
      </c>
      <c r="AE1894" s="3" t="s">
        <v>37</v>
      </c>
    </row>
    <row r="1895" spans="1:31" ht="14">
      <c r="A1895" s="23"/>
      <c r="B1895" s="23"/>
      <c r="C1895" s="23"/>
      <c r="D1895" s="23"/>
      <c r="E1895" s="23"/>
      <c r="F1895" s="23"/>
      <c r="G1895" s="23"/>
      <c r="H1895" s="22"/>
      <c r="I1895" s="23"/>
      <c r="J1895" s="23"/>
      <c r="K1895" s="23"/>
      <c r="L1895" s="32" t="s">
        <v>38</v>
      </c>
      <c r="M1895" s="33">
        <v>35</v>
      </c>
      <c r="N1895" s="33">
        <v>0</v>
      </c>
      <c r="O1895" s="33">
        <v>3</v>
      </c>
      <c r="P1895" s="32">
        <v>2</v>
      </c>
      <c r="Q1895" s="32">
        <v>2</v>
      </c>
      <c r="R1895" s="23"/>
      <c r="S1895" s="23"/>
      <c r="T1895" s="3">
        <v>0</v>
      </c>
      <c r="U1895" s="3">
        <v>1.5599999999999999E-2</v>
      </c>
      <c r="V1895" s="3">
        <v>2.232E-2</v>
      </c>
      <c r="W1895" s="3">
        <v>0</v>
      </c>
      <c r="X1895" s="3"/>
      <c r="Y1895" s="3">
        <v>0</v>
      </c>
      <c r="Z1895" s="23"/>
      <c r="AA1895" s="23"/>
      <c r="AB1895" s="3" t="str">
        <f t="shared" si="15"/>
        <v>___</v>
      </c>
      <c r="AC1895" s="3" t="str">
        <f t="shared" si="14"/>
        <v>____</v>
      </c>
    </row>
    <row r="1896" spans="1:31" ht="14">
      <c r="A1896" s="23"/>
      <c r="B1896" s="23"/>
      <c r="C1896" s="23"/>
      <c r="D1896" s="23"/>
      <c r="E1896" s="23"/>
      <c r="F1896" s="23"/>
      <c r="G1896" s="23"/>
      <c r="H1896" s="22"/>
      <c r="I1896" s="23"/>
      <c r="J1896" s="23"/>
      <c r="K1896" s="23"/>
      <c r="L1896" s="32" t="s">
        <v>39</v>
      </c>
      <c r="M1896" s="33">
        <v>49</v>
      </c>
      <c r="N1896" s="33">
        <v>0</v>
      </c>
      <c r="O1896" s="33">
        <v>3</v>
      </c>
      <c r="P1896" s="32">
        <v>2</v>
      </c>
      <c r="Q1896" s="32">
        <v>2</v>
      </c>
      <c r="R1896" s="23"/>
      <c r="S1896" s="23"/>
      <c r="T1896" s="3">
        <v>0</v>
      </c>
      <c r="U1896" s="3">
        <v>3.7379999999999997E-2</v>
      </c>
      <c r="V1896" s="3">
        <v>9.8909999999999998E-2</v>
      </c>
      <c r="W1896" s="3">
        <v>0</v>
      </c>
      <c r="X1896" s="3"/>
      <c r="Y1896" s="3">
        <v>0</v>
      </c>
      <c r="Z1896" s="23"/>
      <c r="AA1896" s="23"/>
      <c r="AB1896" s="3" t="str">
        <f t="shared" si="15"/>
        <v>___</v>
      </c>
      <c r="AC1896" s="3" t="str">
        <f t="shared" si="14"/>
        <v>____</v>
      </c>
    </row>
    <row r="1897" spans="1:31" ht="14">
      <c r="A1897" s="23"/>
      <c r="B1897" s="32">
        <v>905</v>
      </c>
      <c r="C1897" s="32">
        <v>44</v>
      </c>
      <c r="D1897" s="23"/>
      <c r="E1897" s="23"/>
      <c r="F1897" s="23"/>
      <c r="G1897" s="32" t="s">
        <v>40</v>
      </c>
      <c r="H1897" s="33">
        <v>3</v>
      </c>
      <c r="I1897" s="32">
        <v>15.8</v>
      </c>
      <c r="J1897" s="32">
        <v>17.399999999999999</v>
      </c>
      <c r="K1897" s="32">
        <v>6</v>
      </c>
      <c r="L1897" s="32" t="s">
        <v>36</v>
      </c>
      <c r="M1897" s="33">
        <v>27</v>
      </c>
      <c r="N1897" s="33">
        <v>6</v>
      </c>
      <c r="O1897" s="33">
        <v>6</v>
      </c>
      <c r="P1897" s="23"/>
      <c r="Q1897" s="22"/>
      <c r="R1897" s="23"/>
      <c r="S1897" s="23"/>
      <c r="T1897" s="3">
        <v>1.451E-2</v>
      </c>
      <c r="U1897" s="3">
        <v>6.3899999999999998E-3</v>
      </c>
      <c r="V1897" s="3">
        <v>0</v>
      </c>
      <c r="W1897" s="3">
        <v>0</v>
      </c>
      <c r="X1897" s="3"/>
      <c r="Y1897" s="3">
        <v>0</v>
      </c>
      <c r="Z1897" s="23"/>
      <c r="AA1897" s="23"/>
      <c r="AB1897" s="3" t="str">
        <f t="shared" si="15"/>
        <v>905_44__vm</v>
      </c>
      <c r="AC1897" s="3" t="str">
        <f t="shared" si="14"/>
        <v>905_44__vm_3</v>
      </c>
      <c r="AE1897" s="3" t="s">
        <v>37</v>
      </c>
    </row>
    <row r="1898" spans="1:31" ht="14">
      <c r="A1898" s="23"/>
      <c r="B1898" s="23"/>
      <c r="C1898" s="23"/>
      <c r="D1898" s="23"/>
      <c r="E1898" s="23"/>
      <c r="F1898" s="23"/>
      <c r="G1898" s="23"/>
      <c r="H1898" s="22"/>
      <c r="I1898" s="23"/>
      <c r="J1898" s="23"/>
      <c r="K1898" s="23"/>
      <c r="L1898" s="32" t="s">
        <v>38</v>
      </c>
      <c r="M1898" s="33">
        <v>30</v>
      </c>
      <c r="N1898" s="33">
        <v>0</v>
      </c>
      <c r="O1898" s="33">
        <v>3</v>
      </c>
      <c r="P1898" s="32">
        <v>2</v>
      </c>
      <c r="Q1898" s="33">
        <v>2</v>
      </c>
      <c r="R1898" s="23"/>
      <c r="S1898" s="23"/>
      <c r="T1898" s="3">
        <v>0</v>
      </c>
      <c r="U1898" s="3">
        <v>1.1390000000000001E-2</v>
      </c>
      <c r="V1898" s="3">
        <v>1.4149999999999999E-2</v>
      </c>
      <c r="W1898" s="3">
        <v>0</v>
      </c>
      <c r="X1898" s="3"/>
      <c r="Y1898" s="3">
        <v>0</v>
      </c>
      <c r="Z1898" s="23"/>
      <c r="AA1898" s="23"/>
      <c r="AB1898" s="3" t="str">
        <f t="shared" si="15"/>
        <v>___</v>
      </c>
      <c r="AC1898" s="3" t="str">
        <f t="shared" si="14"/>
        <v>____</v>
      </c>
    </row>
    <row r="1899" spans="1:31" ht="14">
      <c r="A1899" s="23"/>
      <c r="B1899" s="23"/>
      <c r="C1899" s="23"/>
      <c r="D1899" s="23"/>
      <c r="E1899" s="23"/>
      <c r="F1899" s="23"/>
      <c r="G1899" s="23"/>
      <c r="H1899" s="22"/>
      <c r="I1899" s="23"/>
      <c r="J1899" s="23"/>
      <c r="K1899" s="23"/>
      <c r="L1899" s="32" t="s">
        <v>39</v>
      </c>
      <c r="M1899" s="33">
        <v>44</v>
      </c>
      <c r="N1899" s="33">
        <v>0</v>
      </c>
      <c r="O1899" s="33">
        <v>2</v>
      </c>
      <c r="P1899" s="32">
        <v>3</v>
      </c>
      <c r="Q1899" s="33">
        <v>2</v>
      </c>
      <c r="R1899" s="23"/>
      <c r="S1899" s="23"/>
      <c r="T1899" s="3">
        <v>0</v>
      </c>
      <c r="U1899" s="3">
        <v>2.4850000000000001E-2</v>
      </c>
      <c r="V1899" s="3">
        <v>2.4709999999999999E-2</v>
      </c>
      <c r="W1899" s="3">
        <v>0</v>
      </c>
      <c r="X1899" s="3"/>
      <c r="Y1899" s="3">
        <v>0</v>
      </c>
      <c r="Z1899" s="23"/>
      <c r="AA1899" s="23"/>
      <c r="AB1899" s="3" t="str">
        <f t="shared" si="15"/>
        <v>___</v>
      </c>
      <c r="AC1899" s="3" t="str">
        <f t="shared" si="14"/>
        <v>____</v>
      </c>
    </row>
    <row r="1900" spans="1:31" ht="14">
      <c r="A1900" s="23"/>
      <c r="B1900" s="32">
        <v>1427</v>
      </c>
      <c r="C1900" s="32">
        <v>46</v>
      </c>
      <c r="D1900" s="23"/>
      <c r="E1900" s="23"/>
      <c r="F1900" s="23"/>
      <c r="G1900" s="32" t="s">
        <v>35</v>
      </c>
      <c r="H1900" s="33">
        <v>1</v>
      </c>
      <c r="I1900" s="32">
        <v>13.6</v>
      </c>
      <c r="J1900" s="32">
        <v>21.9</v>
      </c>
      <c r="K1900" s="32">
        <v>7</v>
      </c>
      <c r="L1900" s="32" t="s">
        <v>36</v>
      </c>
      <c r="M1900" s="33">
        <v>11</v>
      </c>
      <c r="N1900" s="33">
        <v>8</v>
      </c>
      <c r="O1900" s="33">
        <v>10</v>
      </c>
      <c r="P1900" s="23"/>
      <c r="Q1900" s="33">
        <v>0</v>
      </c>
      <c r="R1900" s="23"/>
      <c r="S1900" s="23"/>
      <c r="T1900" s="3">
        <v>1.278E-2</v>
      </c>
      <c r="U1900" s="3">
        <v>1.6299999999999999E-3</v>
      </c>
      <c r="V1900" s="3">
        <v>0</v>
      </c>
      <c r="W1900" s="3">
        <v>0</v>
      </c>
      <c r="X1900" s="3"/>
      <c r="Y1900" s="3">
        <v>0</v>
      </c>
      <c r="Z1900" s="23"/>
      <c r="AA1900" s="23"/>
      <c r="AB1900" s="3" t="str">
        <f t="shared" si="15"/>
        <v>1427_46__vv</v>
      </c>
      <c r="AC1900" s="3" t="str">
        <f t="shared" si="14"/>
        <v>1427_46__vv_1</v>
      </c>
      <c r="AE1900" s="3" t="s">
        <v>37</v>
      </c>
    </row>
    <row r="1901" spans="1:31" ht="14">
      <c r="A1901" s="23"/>
      <c r="B1901" s="23"/>
      <c r="C1901" s="23"/>
      <c r="D1901" s="23"/>
      <c r="E1901" s="23"/>
      <c r="F1901" s="23"/>
      <c r="G1901" s="23"/>
      <c r="H1901" s="22"/>
      <c r="I1901" s="23"/>
      <c r="J1901" s="23"/>
      <c r="K1901" s="23"/>
      <c r="L1901" s="32" t="s">
        <v>38</v>
      </c>
      <c r="M1901" s="33">
        <v>17</v>
      </c>
      <c r="N1901" s="33">
        <v>7</v>
      </c>
      <c r="O1901" s="33">
        <v>9</v>
      </c>
      <c r="P1901" s="23"/>
      <c r="Q1901" s="33">
        <v>0</v>
      </c>
      <c r="R1901" s="23"/>
      <c r="S1901" s="23"/>
      <c r="T1901" s="3">
        <v>4.1009999999999998E-2</v>
      </c>
      <c r="U1901" s="3">
        <v>4.0400000000000002E-3</v>
      </c>
      <c r="V1901" s="3">
        <v>0</v>
      </c>
      <c r="W1901" s="3">
        <v>0</v>
      </c>
      <c r="X1901" s="3"/>
      <c r="Y1901" s="3">
        <v>0</v>
      </c>
      <c r="Z1901" s="23"/>
      <c r="AA1901" s="23"/>
      <c r="AB1901" s="3" t="str">
        <f t="shared" si="15"/>
        <v>___</v>
      </c>
      <c r="AC1901" s="3" t="str">
        <f t="shared" si="14"/>
        <v>____</v>
      </c>
    </row>
    <row r="1902" spans="1:31" ht="14">
      <c r="A1902" s="23"/>
      <c r="B1902" s="23"/>
      <c r="C1902" s="23"/>
      <c r="D1902" s="23"/>
      <c r="E1902" s="23"/>
      <c r="F1902" s="23"/>
      <c r="G1902" s="23"/>
      <c r="H1902" s="22"/>
      <c r="I1902" s="23"/>
      <c r="J1902" s="23"/>
      <c r="K1902" s="23"/>
      <c r="L1902" s="32" t="s">
        <v>39</v>
      </c>
      <c r="M1902" s="33">
        <v>29</v>
      </c>
      <c r="N1902" s="33">
        <v>8</v>
      </c>
      <c r="O1902" s="33">
        <v>12</v>
      </c>
      <c r="P1902" s="23"/>
      <c r="Q1902" s="33">
        <v>0</v>
      </c>
      <c r="R1902" s="23"/>
      <c r="S1902" s="23"/>
      <c r="T1902" s="3">
        <v>9.4740000000000005E-2</v>
      </c>
      <c r="U1902" s="3">
        <v>1.2999999999999999E-2</v>
      </c>
      <c r="V1902" s="3">
        <v>0</v>
      </c>
      <c r="W1902" s="3">
        <v>0</v>
      </c>
      <c r="X1902" s="3"/>
      <c r="Y1902" s="3">
        <v>0</v>
      </c>
      <c r="Z1902" s="23"/>
      <c r="AA1902" s="23"/>
      <c r="AB1902" s="3" t="str">
        <f t="shared" si="15"/>
        <v>___</v>
      </c>
      <c r="AC1902" s="3" t="str">
        <f t="shared" si="14"/>
        <v>____</v>
      </c>
    </row>
    <row r="1903" spans="1:31" ht="14">
      <c r="A1903" s="23"/>
      <c r="B1903" s="32">
        <v>1427</v>
      </c>
      <c r="C1903" s="32">
        <v>46</v>
      </c>
      <c r="D1903" s="23"/>
      <c r="E1903" s="23"/>
      <c r="F1903" s="23"/>
      <c r="G1903" s="32" t="s">
        <v>35</v>
      </c>
      <c r="H1903" s="33">
        <v>2</v>
      </c>
      <c r="I1903" s="32">
        <v>13</v>
      </c>
      <c r="J1903" s="32">
        <v>11.1</v>
      </c>
      <c r="K1903" s="32">
        <v>4</v>
      </c>
      <c r="L1903" s="32" t="s">
        <v>36</v>
      </c>
      <c r="M1903" s="33">
        <v>11</v>
      </c>
      <c r="N1903" s="33">
        <v>11</v>
      </c>
      <c r="O1903" s="33">
        <v>11</v>
      </c>
      <c r="P1903" s="23"/>
      <c r="Q1903" s="33">
        <v>0</v>
      </c>
      <c r="R1903" s="23"/>
      <c r="S1903" s="23"/>
      <c r="T1903" s="3">
        <v>3.1379999999999998E-2</v>
      </c>
      <c r="U1903" s="37">
        <v>286</v>
      </c>
      <c r="V1903" s="3">
        <v>0</v>
      </c>
      <c r="W1903" s="3">
        <v>0</v>
      </c>
      <c r="X1903" s="3"/>
      <c r="Y1903" s="3">
        <v>0</v>
      </c>
      <c r="Z1903" s="23"/>
      <c r="AA1903" s="23"/>
      <c r="AB1903" s="3" t="str">
        <f t="shared" si="15"/>
        <v>1427_46__vv</v>
      </c>
      <c r="AC1903" s="3" t="str">
        <f t="shared" si="14"/>
        <v>1427_46__vv_2</v>
      </c>
      <c r="AE1903" s="3" t="s">
        <v>37</v>
      </c>
    </row>
    <row r="1904" spans="1:31" ht="14">
      <c r="A1904" s="23"/>
      <c r="B1904" s="23"/>
      <c r="C1904" s="23"/>
      <c r="D1904" s="23"/>
      <c r="E1904" s="23"/>
      <c r="F1904" s="23"/>
      <c r="G1904" s="23"/>
      <c r="H1904" s="22"/>
      <c r="I1904" s="23"/>
      <c r="J1904" s="23"/>
      <c r="K1904" s="23"/>
      <c r="L1904" s="32" t="s">
        <v>38</v>
      </c>
      <c r="M1904" s="33">
        <v>19</v>
      </c>
      <c r="N1904" s="33">
        <v>11</v>
      </c>
      <c r="O1904" s="33">
        <v>13</v>
      </c>
      <c r="P1904" s="32">
        <v>1</v>
      </c>
      <c r="Q1904" s="33">
        <v>1</v>
      </c>
      <c r="R1904" s="23"/>
      <c r="S1904" s="23"/>
      <c r="T1904" s="3">
        <v>0.11242000000000001</v>
      </c>
      <c r="U1904" s="3">
        <v>1.4489999999999999E-2</v>
      </c>
      <c r="V1904" s="3">
        <v>9.8200000000000006E-3</v>
      </c>
      <c r="W1904" s="3">
        <v>0</v>
      </c>
      <c r="X1904" s="3"/>
      <c r="Z1904" s="32" t="s">
        <v>250</v>
      </c>
      <c r="AA1904" s="23"/>
      <c r="AB1904" s="3" t="str">
        <f t="shared" si="15"/>
        <v>___</v>
      </c>
      <c r="AC1904" s="3" t="str">
        <f t="shared" si="14"/>
        <v>____</v>
      </c>
    </row>
    <row r="1905" spans="1:31" ht="14">
      <c r="A1905" s="23"/>
      <c r="B1905" s="23"/>
      <c r="C1905" s="23"/>
      <c r="D1905" s="23"/>
      <c r="E1905" s="23"/>
      <c r="F1905" s="23"/>
      <c r="G1905" s="23"/>
      <c r="H1905" s="22"/>
      <c r="I1905" s="23"/>
      <c r="J1905" s="23"/>
      <c r="K1905" s="23"/>
      <c r="L1905" s="32" t="s">
        <v>39</v>
      </c>
      <c r="M1905" s="33">
        <v>59</v>
      </c>
      <c r="N1905" s="33">
        <v>8</v>
      </c>
      <c r="O1905" s="33">
        <v>24</v>
      </c>
      <c r="P1905" s="32">
        <v>1</v>
      </c>
      <c r="Q1905" s="33">
        <v>1</v>
      </c>
      <c r="R1905" s="23"/>
      <c r="S1905" s="23"/>
      <c r="T1905" s="3">
        <v>7.578E-2</v>
      </c>
      <c r="U1905" s="3">
        <v>7.9009999999999997E-2</v>
      </c>
      <c r="V1905" s="3">
        <v>0.13013</v>
      </c>
      <c r="W1905" s="3">
        <v>0</v>
      </c>
      <c r="X1905" s="3"/>
      <c r="Z1905" s="23"/>
      <c r="AA1905" s="23"/>
      <c r="AB1905" s="3" t="str">
        <f t="shared" si="15"/>
        <v>___</v>
      </c>
      <c r="AC1905" s="3" t="str">
        <f t="shared" si="14"/>
        <v>____</v>
      </c>
    </row>
    <row r="1906" spans="1:31" ht="14">
      <c r="A1906" s="23"/>
      <c r="B1906" s="32">
        <v>1427</v>
      </c>
      <c r="C1906" s="32">
        <v>46</v>
      </c>
      <c r="D1906" s="23"/>
      <c r="E1906" s="23"/>
      <c r="F1906" s="23"/>
      <c r="G1906" s="32" t="s">
        <v>35</v>
      </c>
      <c r="H1906" s="33">
        <v>3</v>
      </c>
      <c r="I1906" s="32">
        <v>20.8</v>
      </c>
      <c r="J1906" s="32">
        <v>18.5</v>
      </c>
      <c r="K1906" s="32">
        <v>5</v>
      </c>
      <c r="L1906" s="32" t="s">
        <v>36</v>
      </c>
      <c r="M1906" s="33">
        <v>19</v>
      </c>
      <c r="N1906" s="33">
        <v>11</v>
      </c>
      <c r="O1906" s="33">
        <v>11</v>
      </c>
      <c r="P1906" s="23"/>
      <c r="Q1906" s="33">
        <v>0</v>
      </c>
      <c r="R1906" s="23"/>
      <c r="S1906" s="23"/>
      <c r="T1906" s="3">
        <v>6.658E-2</v>
      </c>
      <c r="U1906" s="3">
        <v>6.7000000000000002E-3</v>
      </c>
      <c r="V1906" s="3">
        <v>0</v>
      </c>
      <c r="W1906" s="3">
        <v>0</v>
      </c>
      <c r="X1906" s="3"/>
      <c r="Z1906" s="32" t="s">
        <v>250</v>
      </c>
      <c r="AA1906" s="23"/>
      <c r="AB1906" s="3" t="str">
        <f t="shared" si="15"/>
        <v>1427_46__vv</v>
      </c>
      <c r="AC1906" s="3" t="str">
        <f t="shared" si="14"/>
        <v>1427_46__vv_3</v>
      </c>
      <c r="AD1906" s="3"/>
      <c r="AE1906" s="3" t="s">
        <v>37</v>
      </c>
    </row>
    <row r="1907" spans="1:31" ht="14">
      <c r="A1907" s="23"/>
      <c r="B1907" s="23"/>
      <c r="C1907" s="23"/>
      <c r="D1907" s="23"/>
      <c r="E1907" s="23"/>
      <c r="F1907" s="23"/>
      <c r="G1907" s="23"/>
      <c r="H1907" s="22"/>
      <c r="I1907" s="23"/>
      <c r="J1907" s="23"/>
      <c r="K1907" s="23"/>
      <c r="L1907" s="32" t="s">
        <v>38</v>
      </c>
      <c r="M1907" s="33">
        <v>27</v>
      </c>
      <c r="N1907" s="33">
        <v>13</v>
      </c>
      <c r="O1907" s="33">
        <v>14</v>
      </c>
      <c r="P1907" s="32">
        <v>1</v>
      </c>
      <c r="Q1907" s="33">
        <v>1</v>
      </c>
      <c r="R1907" s="23"/>
      <c r="S1907" s="23"/>
      <c r="T1907" s="3">
        <v>0.19056000000000001</v>
      </c>
      <c r="U1907" s="3">
        <v>1.7219999999999999E-2</v>
      </c>
      <c r="V1907" s="3">
        <v>7.0299999999999998E-3</v>
      </c>
      <c r="W1907" s="3">
        <v>0</v>
      </c>
      <c r="X1907" s="3"/>
      <c r="Z1907" s="23"/>
      <c r="AA1907" s="23"/>
      <c r="AB1907" s="3" t="str">
        <f t="shared" si="15"/>
        <v>___</v>
      </c>
      <c r="AC1907" s="3" t="str">
        <f t="shared" si="14"/>
        <v>____</v>
      </c>
    </row>
    <row r="1908" spans="1:31" ht="14">
      <c r="A1908" s="23"/>
      <c r="B1908" s="23"/>
      <c r="C1908" s="23"/>
      <c r="D1908" s="23"/>
      <c r="E1908" s="23"/>
      <c r="F1908" s="23"/>
      <c r="G1908" s="23"/>
      <c r="H1908" s="22"/>
      <c r="I1908" s="23"/>
      <c r="J1908" s="23"/>
      <c r="K1908" s="23"/>
      <c r="L1908" s="32" t="s">
        <v>39</v>
      </c>
      <c r="M1908" s="33">
        <v>67</v>
      </c>
      <c r="N1908" s="33">
        <v>8</v>
      </c>
      <c r="O1908" s="33">
        <v>17</v>
      </c>
      <c r="P1908" s="23"/>
      <c r="Q1908" s="33">
        <v>0</v>
      </c>
      <c r="R1908" s="23"/>
      <c r="S1908" s="23"/>
      <c r="T1908" s="3">
        <v>0.12659000000000001</v>
      </c>
      <c r="U1908" s="3">
        <v>6.8390000000000006E-2</v>
      </c>
      <c r="V1908" s="3">
        <v>0</v>
      </c>
      <c r="W1908" s="3">
        <v>0</v>
      </c>
      <c r="X1908" s="3"/>
      <c r="Z1908" s="23"/>
      <c r="AA1908" s="23"/>
      <c r="AB1908" s="3" t="str">
        <f t="shared" si="15"/>
        <v>___</v>
      </c>
      <c r="AC1908" s="3" t="str">
        <f t="shared" si="14"/>
        <v>____</v>
      </c>
    </row>
    <row r="1909" spans="1:31" ht="14">
      <c r="A1909" s="23"/>
      <c r="B1909" s="32">
        <v>1427</v>
      </c>
      <c r="C1909" s="32">
        <v>46</v>
      </c>
      <c r="D1909" s="23"/>
      <c r="E1909" s="23"/>
      <c r="F1909" s="23"/>
      <c r="G1909" s="32" t="s">
        <v>40</v>
      </c>
      <c r="H1909" s="33">
        <v>1</v>
      </c>
      <c r="I1909" s="32">
        <v>18.899999999999999</v>
      </c>
      <c r="J1909" s="32">
        <v>21.2</v>
      </c>
      <c r="K1909" s="32">
        <v>7</v>
      </c>
      <c r="L1909" s="32" t="s">
        <v>36</v>
      </c>
      <c r="M1909" s="33">
        <v>89</v>
      </c>
      <c r="N1909" s="33">
        <v>9</v>
      </c>
      <c r="O1909" s="33">
        <v>9</v>
      </c>
      <c r="P1909" s="23"/>
      <c r="Q1909" s="33">
        <v>0</v>
      </c>
      <c r="R1909" s="23"/>
      <c r="S1909" s="23"/>
      <c r="T1909" s="3">
        <v>8.9539999999999995E-2</v>
      </c>
      <c r="U1909" s="3">
        <v>7.1629999999999999E-2</v>
      </c>
      <c r="V1909" s="3">
        <v>0</v>
      </c>
      <c r="W1909" s="3">
        <v>0</v>
      </c>
      <c r="X1909" s="3"/>
      <c r="Z1909" s="32" t="s">
        <v>251</v>
      </c>
      <c r="AA1909" s="23"/>
      <c r="AB1909" s="3" t="str">
        <f t="shared" si="15"/>
        <v>1427_46__vm</v>
      </c>
      <c r="AC1909" s="3" t="str">
        <f t="shared" si="14"/>
        <v>1427_46__vm_1</v>
      </c>
      <c r="AD1909" s="3"/>
      <c r="AE1909" s="3" t="s">
        <v>37</v>
      </c>
    </row>
    <row r="1910" spans="1:31" ht="14">
      <c r="A1910" s="23"/>
      <c r="B1910" s="23"/>
      <c r="C1910" s="23"/>
      <c r="D1910" s="23"/>
      <c r="E1910" s="23"/>
      <c r="F1910" s="23"/>
      <c r="G1910" s="23"/>
      <c r="H1910" s="22"/>
      <c r="I1910" s="23"/>
      <c r="J1910" s="23"/>
      <c r="K1910" s="23"/>
      <c r="L1910" s="32" t="s">
        <v>38</v>
      </c>
      <c r="M1910" s="33">
        <v>27</v>
      </c>
      <c r="N1910" s="33">
        <v>0</v>
      </c>
      <c r="O1910" s="33">
        <v>5</v>
      </c>
      <c r="P1910" s="32">
        <v>1</v>
      </c>
      <c r="Q1910" s="33">
        <v>1</v>
      </c>
      <c r="R1910" s="23"/>
      <c r="S1910" s="23"/>
      <c r="T1910" s="3">
        <v>0</v>
      </c>
      <c r="U1910" s="3">
        <v>4.9759999999999999E-2</v>
      </c>
      <c r="V1910" s="3">
        <v>0.11786000000000001</v>
      </c>
      <c r="W1910" s="3">
        <v>0</v>
      </c>
      <c r="X1910" s="3"/>
      <c r="Z1910" s="23"/>
      <c r="AA1910" s="23"/>
      <c r="AB1910" s="3" t="str">
        <f t="shared" si="15"/>
        <v>___</v>
      </c>
      <c r="AC1910" s="3" t="str">
        <f t="shared" si="14"/>
        <v>____</v>
      </c>
    </row>
    <row r="1911" spans="1:31" ht="14">
      <c r="A1911" s="23"/>
      <c r="B1911" s="23"/>
      <c r="C1911" s="23"/>
      <c r="D1911" s="23"/>
      <c r="E1911" s="23"/>
      <c r="F1911" s="23"/>
      <c r="G1911" s="23"/>
      <c r="H1911" s="22"/>
      <c r="I1911" s="23"/>
      <c r="J1911" s="23"/>
      <c r="K1911" s="23"/>
      <c r="L1911" s="32" t="s">
        <v>39</v>
      </c>
      <c r="M1911" s="33">
        <v>46</v>
      </c>
      <c r="N1911" s="33">
        <v>0</v>
      </c>
      <c r="O1911" s="33">
        <v>3</v>
      </c>
      <c r="P1911" s="23"/>
      <c r="Q1911" s="33">
        <v>0</v>
      </c>
      <c r="R1911" s="23"/>
      <c r="S1911" s="23"/>
      <c r="T1911" s="3">
        <v>0</v>
      </c>
      <c r="U1911" s="3">
        <v>8.7999999999999995E-2</v>
      </c>
      <c r="V1911" s="3">
        <v>0</v>
      </c>
      <c r="W1911" s="3">
        <v>0</v>
      </c>
      <c r="X1911" s="3"/>
      <c r="Z1911" s="23"/>
      <c r="AA1911" s="23"/>
      <c r="AB1911" s="3" t="str">
        <f t="shared" si="15"/>
        <v>___</v>
      </c>
      <c r="AC1911" s="3" t="str">
        <f t="shared" si="14"/>
        <v>____</v>
      </c>
    </row>
    <row r="1912" spans="1:31" ht="14">
      <c r="A1912" s="23"/>
      <c r="B1912" s="32">
        <v>1427</v>
      </c>
      <c r="C1912" s="32">
        <v>46</v>
      </c>
      <c r="D1912" s="23"/>
      <c r="E1912" s="23"/>
      <c r="F1912" s="23"/>
      <c r="G1912" s="32" t="s">
        <v>40</v>
      </c>
      <c r="H1912" s="33">
        <v>2</v>
      </c>
      <c r="I1912" s="32">
        <v>23.1</v>
      </c>
      <c r="J1912" s="32">
        <v>27.8</v>
      </c>
      <c r="K1912" s="32">
        <v>7</v>
      </c>
      <c r="L1912" s="32" t="s">
        <v>36</v>
      </c>
      <c r="M1912" s="33">
        <v>10</v>
      </c>
      <c r="N1912" s="33">
        <v>3</v>
      </c>
      <c r="O1912" s="33">
        <v>3</v>
      </c>
      <c r="P1912" s="23"/>
      <c r="Q1912" s="33">
        <v>0</v>
      </c>
      <c r="R1912" s="23"/>
      <c r="S1912" s="23"/>
      <c r="T1912" s="3">
        <v>1.5810000000000001E-2</v>
      </c>
      <c r="U1912" s="3">
        <v>2.47E-3</v>
      </c>
      <c r="V1912" s="3">
        <v>0</v>
      </c>
      <c r="W1912" s="3">
        <v>0</v>
      </c>
      <c r="X1912" s="3"/>
      <c r="Z1912" s="23"/>
      <c r="AA1912" s="23"/>
      <c r="AB1912" s="3" t="str">
        <f t="shared" si="15"/>
        <v>1427_46__vm</v>
      </c>
      <c r="AC1912" s="3" t="str">
        <f t="shared" si="14"/>
        <v>1427_46__vm_2</v>
      </c>
      <c r="AD1912" s="3"/>
      <c r="AE1912" s="3" t="s">
        <v>37</v>
      </c>
    </row>
    <row r="1913" spans="1:31" ht="14">
      <c r="A1913" s="23"/>
      <c r="B1913" s="23"/>
      <c r="C1913" s="23"/>
      <c r="D1913" s="23"/>
      <c r="E1913" s="23"/>
      <c r="F1913" s="23"/>
      <c r="G1913" s="23"/>
      <c r="H1913" s="22"/>
      <c r="I1913" s="23"/>
      <c r="J1913" s="23"/>
      <c r="K1913" s="23"/>
      <c r="L1913" s="32" t="s">
        <v>38</v>
      </c>
      <c r="M1913" s="33">
        <v>22</v>
      </c>
      <c r="N1913" s="33">
        <v>0</v>
      </c>
      <c r="O1913" s="33">
        <v>4</v>
      </c>
      <c r="P1913" s="23"/>
      <c r="Q1913" s="33">
        <v>0</v>
      </c>
      <c r="R1913" s="23"/>
      <c r="S1913" s="23"/>
      <c r="T1913" s="3">
        <v>0</v>
      </c>
      <c r="U1913" s="3">
        <v>1.332E-2</v>
      </c>
      <c r="V1913" s="3">
        <v>0</v>
      </c>
      <c r="W1913" s="3">
        <v>0</v>
      </c>
      <c r="X1913" s="3"/>
      <c r="Z1913" s="23"/>
      <c r="AA1913" s="23"/>
      <c r="AB1913" s="3" t="str">
        <f t="shared" si="15"/>
        <v>___</v>
      </c>
      <c r="AC1913" s="3" t="str">
        <f t="shared" si="14"/>
        <v>____</v>
      </c>
    </row>
    <row r="1914" spans="1:31" ht="14">
      <c r="A1914" s="23"/>
      <c r="B1914" s="23"/>
      <c r="C1914" s="23"/>
      <c r="D1914" s="23"/>
      <c r="E1914" s="23"/>
      <c r="F1914" s="23"/>
      <c r="G1914" s="23"/>
      <c r="H1914" s="22"/>
      <c r="I1914" s="23"/>
      <c r="J1914" s="23"/>
      <c r="K1914" s="23"/>
      <c r="L1914" s="32" t="s">
        <v>39</v>
      </c>
      <c r="M1914" s="33">
        <v>63</v>
      </c>
      <c r="N1914" s="33">
        <v>0</v>
      </c>
      <c r="O1914" s="33">
        <v>8</v>
      </c>
      <c r="P1914" s="32">
        <v>4</v>
      </c>
      <c r="Q1914" s="33">
        <v>4</v>
      </c>
      <c r="R1914" s="23"/>
      <c r="S1914" s="23"/>
      <c r="T1914" s="3">
        <v>0</v>
      </c>
      <c r="U1914" s="3">
        <v>8.7120000000000003E-2</v>
      </c>
      <c r="V1914" s="3">
        <v>0.23755999999999999</v>
      </c>
      <c r="W1914" s="3">
        <v>0</v>
      </c>
      <c r="X1914" s="3"/>
      <c r="Z1914" s="23"/>
      <c r="AA1914" s="23"/>
      <c r="AB1914" s="3" t="str">
        <f t="shared" si="15"/>
        <v>___</v>
      </c>
      <c r="AC1914" s="3" t="str">
        <f t="shared" si="14"/>
        <v>____</v>
      </c>
    </row>
    <row r="1915" spans="1:31" ht="14">
      <c r="A1915" s="23"/>
      <c r="B1915" s="32">
        <v>1427</v>
      </c>
      <c r="C1915" s="32">
        <v>46</v>
      </c>
      <c r="D1915" s="23"/>
      <c r="E1915" s="23"/>
      <c r="F1915" s="23"/>
      <c r="G1915" s="32" t="s">
        <v>40</v>
      </c>
      <c r="H1915" s="33">
        <v>3</v>
      </c>
      <c r="I1915" s="32">
        <v>22.6</v>
      </c>
      <c r="J1915" s="32">
        <v>30.1</v>
      </c>
      <c r="K1915" s="32">
        <v>5</v>
      </c>
      <c r="L1915" s="32" t="s">
        <v>36</v>
      </c>
      <c r="M1915" s="33">
        <v>31</v>
      </c>
      <c r="N1915" s="33">
        <v>6</v>
      </c>
      <c r="O1915" s="33">
        <v>6</v>
      </c>
      <c r="P1915" s="23"/>
      <c r="Q1915" s="33">
        <v>0</v>
      </c>
      <c r="R1915" s="23"/>
      <c r="S1915" s="23"/>
      <c r="T1915" s="3">
        <v>4.3180000000000003E-2</v>
      </c>
      <c r="U1915" s="3">
        <v>1.3299999999999999E-2</v>
      </c>
      <c r="V1915" s="3">
        <v>0</v>
      </c>
      <c r="W1915" s="3">
        <v>0</v>
      </c>
      <c r="X1915" s="3"/>
      <c r="Z1915" s="23"/>
      <c r="AA1915" s="23"/>
      <c r="AB1915" s="3" t="str">
        <f t="shared" si="15"/>
        <v>1427_46__vm</v>
      </c>
      <c r="AC1915" s="3" t="str">
        <f t="shared" si="14"/>
        <v>1427_46__vm_3</v>
      </c>
      <c r="AE1915" s="3" t="s">
        <v>37</v>
      </c>
    </row>
    <row r="1916" spans="1:31" ht="14">
      <c r="A1916" s="23"/>
      <c r="B1916" s="23"/>
      <c r="C1916" s="23"/>
      <c r="D1916" s="23"/>
      <c r="E1916" s="23"/>
      <c r="F1916" s="23"/>
      <c r="G1916" s="23"/>
      <c r="H1916" s="22"/>
      <c r="I1916" s="23"/>
      <c r="J1916" s="23"/>
      <c r="K1916" s="23"/>
      <c r="L1916" s="32" t="s">
        <v>38</v>
      </c>
      <c r="M1916" s="33">
        <v>54</v>
      </c>
      <c r="N1916" s="33">
        <v>0</v>
      </c>
      <c r="O1916" s="33">
        <v>6</v>
      </c>
      <c r="P1916" s="32">
        <v>1</v>
      </c>
      <c r="Q1916" s="33">
        <v>1</v>
      </c>
      <c r="R1916" s="23"/>
      <c r="S1916" s="23"/>
      <c r="T1916" s="3">
        <v>0</v>
      </c>
      <c r="U1916" s="3">
        <v>4.6899999999999997E-2</v>
      </c>
      <c r="V1916" s="3">
        <v>4.0259999999999997E-2</v>
      </c>
      <c r="W1916" s="3">
        <v>0</v>
      </c>
      <c r="X1916" s="3"/>
      <c r="Z1916" s="23"/>
      <c r="AA1916" s="23"/>
      <c r="AB1916" s="3" t="str">
        <f t="shared" si="15"/>
        <v>___</v>
      </c>
      <c r="AC1916" s="3" t="str">
        <f t="shared" si="14"/>
        <v>____</v>
      </c>
    </row>
    <row r="1917" spans="1:31" ht="14">
      <c r="A1917" s="23"/>
      <c r="B1917" s="23"/>
      <c r="C1917" s="23"/>
      <c r="D1917" s="23"/>
      <c r="E1917" s="23"/>
      <c r="F1917" s="23"/>
      <c r="G1917" s="23"/>
      <c r="H1917" s="22"/>
      <c r="I1917" s="23"/>
      <c r="J1917" s="23"/>
      <c r="K1917" s="23"/>
      <c r="L1917" s="32" t="s">
        <v>39</v>
      </c>
      <c r="M1917" s="33">
        <v>97</v>
      </c>
      <c r="N1917" s="33">
        <v>0</v>
      </c>
      <c r="O1917" s="33">
        <v>9</v>
      </c>
      <c r="P1917" s="32">
        <v>1</v>
      </c>
      <c r="Q1917" s="33">
        <v>1</v>
      </c>
      <c r="R1917" s="23"/>
      <c r="S1917" s="23"/>
      <c r="T1917" s="3">
        <v>0</v>
      </c>
      <c r="U1917" s="3">
        <v>0.17587</v>
      </c>
      <c r="V1917" s="3">
        <v>8.8319999999999996E-2</v>
      </c>
      <c r="W1917" s="3">
        <v>0</v>
      </c>
      <c r="X1917" s="3"/>
      <c r="Z1917" s="23"/>
      <c r="AA1917" s="23"/>
      <c r="AB1917" s="3" t="str">
        <f t="shared" si="15"/>
        <v>___</v>
      </c>
      <c r="AC1917" s="3" t="str">
        <f t="shared" si="14"/>
        <v>____</v>
      </c>
    </row>
    <row r="1918" spans="1:31" ht="14">
      <c r="A1918" s="23"/>
      <c r="B1918" s="32">
        <v>792</v>
      </c>
      <c r="C1918" s="32">
        <v>33</v>
      </c>
      <c r="D1918" s="23"/>
      <c r="E1918" s="23"/>
      <c r="F1918" s="23"/>
      <c r="G1918" s="32" t="s">
        <v>35</v>
      </c>
      <c r="H1918" s="33">
        <v>1</v>
      </c>
      <c r="I1918" s="32">
        <v>10.199999999999999</v>
      </c>
      <c r="J1918" s="32">
        <v>11.1</v>
      </c>
      <c r="K1918" s="32">
        <v>5</v>
      </c>
      <c r="L1918" s="32" t="s">
        <v>36</v>
      </c>
      <c r="M1918" s="33">
        <v>47</v>
      </c>
      <c r="N1918" s="33">
        <v>11</v>
      </c>
      <c r="O1918" s="33">
        <v>15</v>
      </c>
      <c r="P1918" s="23"/>
      <c r="Q1918" s="33">
        <v>0</v>
      </c>
      <c r="R1918" s="23"/>
      <c r="S1918" s="23"/>
      <c r="T1918" s="3">
        <v>1.866E-2</v>
      </c>
      <c r="U1918" s="3">
        <v>9.4400000000000005E-3</v>
      </c>
      <c r="V1918" s="3">
        <v>0</v>
      </c>
      <c r="W1918" s="3">
        <v>0</v>
      </c>
      <c r="X1918" s="3"/>
      <c r="Z1918" s="23"/>
      <c r="AA1918" s="23"/>
      <c r="AB1918" s="3" t="str">
        <f t="shared" si="15"/>
        <v>792_33__vv</v>
      </c>
      <c r="AC1918" s="3" t="str">
        <f t="shared" si="14"/>
        <v>792_33__vv_1</v>
      </c>
      <c r="AD1918" s="3" t="s">
        <v>37</v>
      </c>
      <c r="AE1918" s="3" t="s">
        <v>37</v>
      </c>
    </row>
    <row r="1919" spans="1:31" ht="14">
      <c r="A1919" s="23"/>
      <c r="B1919" s="23"/>
      <c r="C1919" s="23"/>
      <c r="D1919" s="23"/>
      <c r="E1919" s="23"/>
      <c r="F1919" s="23"/>
      <c r="G1919" s="23"/>
      <c r="H1919" s="22"/>
      <c r="I1919" s="23"/>
      <c r="J1919" s="23"/>
      <c r="K1919" s="23"/>
      <c r="L1919" s="32" t="s">
        <v>38</v>
      </c>
      <c r="M1919" s="33">
        <v>9</v>
      </c>
      <c r="N1919" s="33">
        <v>0</v>
      </c>
      <c r="O1919" s="33">
        <v>8</v>
      </c>
      <c r="P1919" s="23"/>
      <c r="Q1919" s="33">
        <v>0</v>
      </c>
      <c r="R1919" s="23"/>
      <c r="S1919" s="23"/>
      <c r="T1919" s="3">
        <v>0</v>
      </c>
      <c r="U1919" s="3">
        <v>2.4399999999999999E-3</v>
      </c>
      <c r="V1919" s="3">
        <v>0</v>
      </c>
      <c r="W1919" s="3">
        <v>0</v>
      </c>
      <c r="X1919" s="3"/>
      <c r="Z1919" s="23"/>
      <c r="AA1919" s="23"/>
      <c r="AB1919" s="3" t="str">
        <f t="shared" si="15"/>
        <v>___</v>
      </c>
      <c r="AC1919" s="3" t="str">
        <f t="shared" si="14"/>
        <v>____</v>
      </c>
    </row>
    <row r="1920" spans="1:31" ht="14">
      <c r="A1920" s="23"/>
      <c r="B1920" s="23"/>
      <c r="C1920" s="23"/>
      <c r="D1920" s="23"/>
      <c r="E1920" s="23"/>
      <c r="F1920" s="23"/>
      <c r="G1920" s="23"/>
      <c r="H1920" s="22"/>
      <c r="I1920" s="23"/>
      <c r="J1920" s="23"/>
      <c r="K1920" s="23"/>
      <c r="L1920" s="32" t="s">
        <v>39</v>
      </c>
      <c r="M1920" s="33">
        <v>11</v>
      </c>
      <c r="N1920" s="33">
        <v>1</v>
      </c>
      <c r="O1920" s="33">
        <v>6</v>
      </c>
      <c r="P1920" s="23"/>
      <c r="Q1920" s="33">
        <v>0</v>
      </c>
      <c r="R1920" s="23"/>
      <c r="S1920" s="23"/>
      <c r="T1920" s="3">
        <v>2.32E-3</v>
      </c>
      <c r="U1920" s="3">
        <v>3.0200000000000001E-3</v>
      </c>
      <c r="V1920" s="3">
        <v>0</v>
      </c>
      <c r="W1920" s="3">
        <v>0</v>
      </c>
      <c r="X1920" s="3"/>
      <c r="Z1920" s="23"/>
      <c r="AA1920" s="23"/>
      <c r="AB1920" s="3" t="str">
        <f t="shared" si="15"/>
        <v>___</v>
      </c>
      <c r="AC1920" s="3" t="str">
        <f t="shared" si="14"/>
        <v>____</v>
      </c>
    </row>
    <row r="1921" spans="1:31" ht="14">
      <c r="A1921" s="23"/>
      <c r="B1921" s="32">
        <v>792</v>
      </c>
      <c r="C1921" s="32">
        <v>33</v>
      </c>
      <c r="D1921" s="23"/>
      <c r="E1921" s="23"/>
      <c r="F1921" s="23"/>
      <c r="G1921" s="32" t="s">
        <v>35</v>
      </c>
      <c r="H1921" s="33">
        <v>2</v>
      </c>
      <c r="I1921" s="32">
        <v>10.6</v>
      </c>
      <c r="J1921" s="32">
        <v>12.2</v>
      </c>
      <c r="K1921" s="32">
        <v>4</v>
      </c>
      <c r="L1921" s="32" t="s">
        <v>36</v>
      </c>
      <c r="M1921" s="33">
        <v>7</v>
      </c>
      <c r="N1921" s="33">
        <v>6</v>
      </c>
      <c r="O1921" s="33">
        <v>7</v>
      </c>
      <c r="P1921" s="23"/>
      <c r="Q1921" s="33">
        <v>0</v>
      </c>
      <c r="R1921" s="23"/>
      <c r="S1921" s="23"/>
      <c r="T1921" s="3">
        <v>1.5630000000000002E-2</v>
      </c>
      <c r="U1921" s="3">
        <v>2.5600000000000002E-3</v>
      </c>
      <c r="V1921" s="3">
        <v>0</v>
      </c>
      <c r="W1921" s="3">
        <v>0</v>
      </c>
      <c r="X1921" s="3"/>
      <c r="Z1921" s="23"/>
      <c r="AA1921" s="23"/>
      <c r="AB1921" s="3" t="str">
        <f t="shared" si="15"/>
        <v>792_33__vv</v>
      </c>
      <c r="AC1921" s="3" t="str">
        <f t="shared" si="14"/>
        <v>792_33__vv_2</v>
      </c>
      <c r="AD1921" s="3" t="s">
        <v>37</v>
      </c>
      <c r="AE1921" s="3" t="s">
        <v>37</v>
      </c>
    </row>
    <row r="1922" spans="1:31" ht="14">
      <c r="A1922" s="23"/>
      <c r="B1922" s="23"/>
      <c r="C1922" s="23"/>
      <c r="D1922" s="23"/>
      <c r="E1922" s="23"/>
      <c r="F1922" s="23"/>
      <c r="G1922" s="23"/>
      <c r="H1922" s="22"/>
      <c r="I1922" s="23"/>
      <c r="J1922" s="23"/>
      <c r="K1922" s="23"/>
      <c r="L1922" s="32" t="s">
        <v>38</v>
      </c>
      <c r="M1922" s="33">
        <v>54</v>
      </c>
      <c r="N1922" s="33">
        <v>9</v>
      </c>
      <c r="O1922" s="33">
        <v>13</v>
      </c>
      <c r="P1922" s="23"/>
      <c r="Q1922" s="33">
        <v>0</v>
      </c>
      <c r="R1922" s="23"/>
      <c r="S1922" s="23"/>
      <c r="T1922" s="3">
        <v>4.5600000000000002E-2</v>
      </c>
      <c r="U1922" s="3">
        <v>2.7539999999999999E-2</v>
      </c>
      <c r="V1922" s="3">
        <v>0</v>
      </c>
      <c r="Z1922" s="23"/>
      <c r="AA1922" s="23"/>
      <c r="AB1922" s="3" t="str">
        <f t="shared" si="15"/>
        <v>___</v>
      </c>
      <c r="AC1922" s="3" t="str">
        <f t="shared" si="14"/>
        <v>____</v>
      </c>
    </row>
    <row r="1923" spans="1:31" ht="14">
      <c r="A1923" s="23"/>
      <c r="B1923" s="23"/>
      <c r="C1923" s="23"/>
      <c r="D1923" s="23"/>
      <c r="E1923" s="23"/>
      <c r="F1923" s="23"/>
      <c r="G1923" s="23"/>
      <c r="H1923" s="22"/>
      <c r="I1923" s="23"/>
      <c r="J1923" s="23"/>
      <c r="K1923" s="23"/>
      <c r="L1923" s="32" t="s">
        <v>39</v>
      </c>
      <c r="M1923" s="33">
        <v>36</v>
      </c>
      <c r="N1923" s="33">
        <v>0</v>
      </c>
      <c r="O1923" s="33">
        <v>6</v>
      </c>
      <c r="P1923" s="23"/>
      <c r="Q1923" s="33">
        <v>0</v>
      </c>
      <c r="R1923" s="23"/>
      <c r="S1923" s="23"/>
      <c r="T1923" s="3">
        <v>0</v>
      </c>
      <c r="U1923" s="3">
        <v>2.5409999999999999E-2</v>
      </c>
      <c r="V1923" s="3">
        <v>0</v>
      </c>
      <c r="Z1923" s="23"/>
      <c r="AA1923" s="23"/>
      <c r="AB1923" s="3" t="str">
        <f t="shared" si="15"/>
        <v>___</v>
      </c>
      <c r="AC1923" s="3" t="str">
        <f t="shared" si="14"/>
        <v>____</v>
      </c>
    </row>
    <row r="1924" spans="1:31" ht="14">
      <c r="A1924" s="23"/>
      <c r="B1924" s="32">
        <v>792</v>
      </c>
      <c r="C1924" s="32">
        <v>33</v>
      </c>
      <c r="D1924" s="23"/>
      <c r="E1924" s="23"/>
      <c r="F1924" s="23"/>
      <c r="G1924" s="32" t="s">
        <v>35</v>
      </c>
      <c r="H1924" s="33">
        <v>3</v>
      </c>
      <c r="I1924" s="32">
        <v>11.8</v>
      </c>
      <c r="J1924" s="32">
        <v>12.1</v>
      </c>
      <c r="K1924" s="32">
        <v>5</v>
      </c>
      <c r="L1924" s="32" t="s">
        <v>36</v>
      </c>
      <c r="M1924" s="33">
        <v>4</v>
      </c>
      <c r="N1924" s="33">
        <v>4</v>
      </c>
      <c r="O1924" s="33">
        <v>4</v>
      </c>
      <c r="P1924" s="23"/>
      <c r="Q1924" s="33">
        <v>0</v>
      </c>
      <c r="R1924" s="23"/>
      <c r="S1924" s="23"/>
      <c r="T1924" s="3">
        <v>5.0499999999999998E-3</v>
      </c>
      <c r="U1924" s="3">
        <v>4.2000000000000002E-4</v>
      </c>
      <c r="V1924" s="3">
        <v>0</v>
      </c>
      <c r="Z1924" s="23"/>
      <c r="AA1924" s="23"/>
      <c r="AB1924" s="3" t="str">
        <f t="shared" si="15"/>
        <v>792_33__vv</v>
      </c>
      <c r="AC1924" s="3" t="str">
        <f t="shared" si="14"/>
        <v>792_33__vv_3</v>
      </c>
      <c r="AD1924" s="3" t="s">
        <v>37</v>
      </c>
      <c r="AE1924" s="3" t="s">
        <v>37</v>
      </c>
    </row>
    <row r="1925" spans="1:31" ht="14">
      <c r="A1925" s="23"/>
      <c r="B1925" s="23"/>
      <c r="C1925" s="23"/>
      <c r="D1925" s="23"/>
      <c r="E1925" s="23"/>
      <c r="F1925" s="23"/>
      <c r="G1925" s="23"/>
      <c r="H1925" s="22"/>
      <c r="I1925" s="23"/>
      <c r="J1925" s="23"/>
      <c r="K1925" s="23"/>
      <c r="L1925" s="32" t="s">
        <v>38</v>
      </c>
      <c r="M1925" s="33">
        <v>36</v>
      </c>
      <c r="N1925" s="33">
        <v>9</v>
      </c>
      <c r="O1925" s="33">
        <v>13</v>
      </c>
      <c r="P1925" s="23"/>
      <c r="Q1925" s="33">
        <v>0</v>
      </c>
      <c r="R1925" s="23"/>
      <c r="S1925" s="23"/>
      <c r="T1925" s="3">
        <v>5.987E-2</v>
      </c>
      <c r="U1925" s="3">
        <v>9.7099999999999999E-3</v>
      </c>
      <c r="V1925" s="3">
        <v>0</v>
      </c>
      <c r="Z1925" s="23"/>
      <c r="AA1925" s="23"/>
      <c r="AB1925" s="3" t="str">
        <f t="shared" si="15"/>
        <v>___</v>
      </c>
      <c r="AC1925" s="3" t="str">
        <f t="shared" si="14"/>
        <v>____</v>
      </c>
    </row>
    <row r="1926" spans="1:31" ht="14">
      <c r="A1926" s="23"/>
      <c r="B1926" s="23"/>
      <c r="C1926" s="23"/>
      <c r="D1926" s="23"/>
      <c r="E1926" s="23"/>
      <c r="F1926" s="23"/>
      <c r="G1926" s="23"/>
      <c r="H1926" s="22"/>
      <c r="I1926" s="23"/>
      <c r="J1926" s="23"/>
      <c r="K1926" s="23"/>
      <c r="L1926" s="32" t="s">
        <v>39</v>
      </c>
      <c r="M1926" s="33">
        <v>26</v>
      </c>
      <c r="N1926" s="33">
        <v>6</v>
      </c>
      <c r="O1926" s="33">
        <v>11</v>
      </c>
      <c r="P1926" s="23"/>
      <c r="Q1926" s="33">
        <v>0</v>
      </c>
      <c r="R1926" s="23"/>
      <c r="S1926" s="23"/>
      <c r="T1926" s="3">
        <v>3.7109999999999997E-2</v>
      </c>
      <c r="U1926" s="3">
        <v>1.6729999999999998E-2</v>
      </c>
      <c r="V1926" s="3">
        <v>0</v>
      </c>
      <c r="Z1926" s="23"/>
      <c r="AA1926" s="23"/>
      <c r="AB1926" s="3" t="str">
        <f t="shared" si="15"/>
        <v>___</v>
      </c>
      <c r="AC1926" s="3" t="str">
        <f t="shared" si="14"/>
        <v>____</v>
      </c>
    </row>
    <row r="1927" spans="1:31" ht="14">
      <c r="A1927" s="23"/>
      <c r="B1927" s="32">
        <v>792</v>
      </c>
      <c r="C1927" s="32">
        <v>33</v>
      </c>
      <c r="D1927" s="23"/>
      <c r="E1927" s="23"/>
      <c r="F1927" s="23"/>
      <c r="G1927" s="32" t="s">
        <v>40</v>
      </c>
      <c r="H1927" s="33">
        <v>1</v>
      </c>
      <c r="I1927" s="32">
        <v>14.8</v>
      </c>
      <c r="J1927" s="32">
        <v>17.2</v>
      </c>
      <c r="K1927" s="32">
        <v>5</v>
      </c>
      <c r="L1927" s="32" t="s">
        <v>36</v>
      </c>
      <c r="M1927" s="33">
        <v>28</v>
      </c>
      <c r="N1927" s="33">
        <v>6</v>
      </c>
      <c r="O1927" s="33">
        <v>8</v>
      </c>
      <c r="P1927" s="23"/>
      <c r="Q1927" s="33">
        <v>0</v>
      </c>
      <c r="R1927" s="23"/>
      <c r="S1927" s="23"/>
      <c r="T1927" s="3">
        <v>2.017E-2</v>
      </c>
      <c r="U1927" s="3">
        <v>1.0970000000000001E-2</v>
      </c>
      <c r="V1927" s="3">
        <v>0</v>
      </c>
      <c r="Z1927" s="23"/>
      <c r="AA1927" s="23"/>
      <c r="AB1927" s="3" t="str">
        <f t="shared" si="15"/>
        <v>792_33__vm</v>
      </c>
      <c r="AC1927" s="3" t="str">
        <f t="shared" si="14"/>
        <v>792_33__vm_1</v>
      </c>
      <c r="AD1927" s="3" t="s">
        <v>37</v>
      </c>
      <c r="AE1927" s="3" t="s">
        <v>37</v>
      </c>
    </row>
    <row r="1928" spans="1:31" ht="14">
      <c r="A1928" s="23"/>
      <c r="B1928" s="23"/>
      <c r="C1928" s="23"/>
      <c r="D1928" s="23"/>
      <c r="E1928" s="23"/>
      <c r="F1928" s="23"/>
      <c r="G1928" s="23"/>
      <c r="H1928" s="22"/>
      <c r="I1928" s="23"/>
      <c r="J1928" s="23"/>
      <c r="K1928" s="23"/>
      <c r="L1928" s="32" t="s">
        <v>38</v>
      </c>
      <c r="M1928" s="33">
        <v>59</v>
      </c>
      <c r="N1928" s="33">
        <v>0</v>
      </c>
      <c r="O1928" s="33">
        <v>10</v>
      </c>
      <c r="P1928" s="32">
        <v>2</v>
      </c>
      <c r="Q1928" s="33">
        <v>2</v>
      </c>
      <c r="R1928" s="23"/>
      <c r="S1928" s="23"/>
      <c r="T1928" s="3">
        <v>0</v>
      </c>
      <c r="U1928" s="3">
        <v>4.5960000000000001E-2</v>
      </c>
      <c r="V1928" s="3">
        <v>4.5629999999999997E-2</v>
      </c>
      <c r="Z1928" s="23"/>
      <c r="AA1928" s="23"/>
      <c r="AB1928" s="3" t="str">
        <f t="shared" si="15"/>
        <v>___</v>
      </c>
      <c r="AC1928" s="3" t="str">
        <f t="shared" si="14"/>
        <v>____</v>
      </c>
    </row>
    <row r="1929" spans="1:31" ht="14">
      <c r="A1929" s="23"/>
      <c r="B1929" s="23"/>
      <c r="C1929" s="23"/>
      <c r="D1929" s="23"/>
      <c r="E1929" s="23"/>
      <c r="F1929" s="23"/>
      <c r="G1929" s="23"/>
      <c r="H1929" s="22"/>
      <c r="I1929" s="23"/>
      <c r="J1929" s="23"/>
      <c r="K1929" s="23"/>
      <c r="L1929" s="32" t="s">
        <v>39</v>
      </c>
      <c r="M1929" s="33">
        <v>53</v>
      </c>
      <c r="N1929" s="33">
        <v>0</v>
      </c>
      <c r="O1929" s="33">
        <v>8</v>
      </c>
      <c r="P1929" s="32">
        <v>2</v>
      </c>
      <c r="Q1929" s="33">
        <v>2</v>
      </c>
      <c r="R1929" s="23"/>
      <c r="S1929" s="23"/>
      <c r="T1929" s="3">
        <v>0</v>
      </c>
      <c r="U1929" s="3">
        <v>7.2520000000000001E-2</v>
      </c>
      <c r="V1929" s="3">
        <v>0.10475</v>
      </c>
      <c r="Z1929" s="23"/>
      <c r="AA1929" s="23"/>
      <c r="AB1929" s="3" t="str">
        <f t="shared" si="15"/>
        <v>___</v>
      </c>
      <c r="AC1929" s="3" t="str">
        <f t="shared" si="14"/>
        <v>____</v>
      </c>
    </row>
    <row r="1930" spans="1:31" ht="14">
      <c r="A1930" s="23"/>
      <c r="B1930" s="32">
        <v>792</v>
      </c>
      <c r="C1930" s="32">
        <v>33</v>
      </c>
      <c r="D1930" s="23"/>
      <c r="E1930" s="23"/>
      <c r="F1930" s="23"/>
      <c r="G1930" s="32" t="s">
        <v>40</v>
      </c>
      <c r="H1930" s="33">
        <v>2</v>
      </c>
      <c r="I1930" s="32">
        <v>10.4</v>
      </c>
      <c r="J1930" s="32">
        <v>13.1</v>
      </c>
      <c r="K1930" s="32">
        <v>5</v>
      </c>
      <c r="L1930" s="32" t="s">
        <v>36</v>
      </c>
      <c r="M1930" s="33">
        <v>12</v>
      </c>
      <c r="N1930" s="33">
        <v>4</v>
      </c>
      <c r="O1930" s="33">
        <v>4</v>
      </c>
      <c r="P1930" s="23"/>
      <c r="Q1930" s="33">
        <v>0</v>
      </c>
      <c r="R1930" s="23"/>
      <c r="S1930" s="23"/>
      <c r="T1930" s="3">
        <v>8.6199999999999992E-3</v>
      </c>
      <c r="U1930" s="3">
        <v>2.7100000000000002E-3</v>
      </c>
      <c r="V1930" s="3">
        <v>0</v>
      </c>
      <c r="Z1930" s="23"/>
      <c r="AA1930" s="23"/>
      <c r="AB1930" s="3" t="str">
        <f t="shared" si="15"/>
        <v>792_33__vm</v>
      </c>
      <c r="AC1930" s="3" t="str">
        <f t="shared" si="14"/>
        <v>792_33__vm_2</v>
      </c>
      <c r="AD1930" s="3" t="s">
        <v>37</v>
      </c>
      <c r="AE1930" s="3" t="s">
        <v>37</v>
      </c>
    </row>
    <row r="1931" spans="1:31" ht="14">
      <c r="A1931" s="23"/>
      <c r="B1931" s="23"/>
      <c r="C1931" s="23"/>
      <c r="D1931" s="23"/>
      <c r="E1931" s="23"/>
      <c r="F1931" s="23"/>
      <c r="G1931" s="23"/>
      <c r="H1931" s="22"/>
      <c r="I1931" s="23"/>
      <c r="J1931" s="23"/>
      <c r="K1931" s="23"/>
      <c r="L1931" s="32" t="s">
        <v>38</v>
      </c>
      <c r="M1931" s="33">
        <v>23</v>
      </c>
      <c r="N1931" s="33">
        <v>0</v>
      </c>
      <c r="O1931" s="33">
        <v>6</v>
      </c>
      <c r="P1931" s="32">
        <v>1</v>
      </c>
      <c r="Q1931" s="33">
        <v>1</v>
      </c>
      <c r="R1931" s="23"/>
      <c r="S1931" s="23"/>
      <c r="T1931" s="3">
        <v>0</v>
      </c>
      <c r="U1931" s="3">
        <v>8.4100000000000008E-3</v>
      </c>
      <c r="V1931" s="3">
        <v>8.7799999999999996E-3</v>
      </c>
      <c r="Z1931" s="23"/>
      <c r="AA1931" s="23"/>
      <c r="AB1931" s="3" t="str">
        <f t="shared" si="15"/>
        <v>___</v>
      </c>
      <c r="AC1931" s="3" t="str">
        <f t="shared" si="14"/>
        <v>____</v>
      </c>
    </row>
    <row r="1932" spans="1:31" ht="14">
      <c r="A1932" s="23"/>
      <c r="B1932" s="23"/>
      <c r="C1932" s="23"/>
      <c r="D1932" s="23"/>
      <c r="E1932" s="23"/>
      <c r="F1932" s="23"/>
      <c r="G1932" s="23"/>
      <c r="H1932" s="22"/>
      <c r="I1932" s="23"/>
      <c r="J1932" s="23"/>
      <c r="K1932" s="23"/>
      <c r="L1932" s="32" t="s">
        <v>39</v>
      </c>
      <c r="M1932" s="33">
        <v>36</v>
      </c>
      <c r="N1932" s="33">
        <v>0</v>
      </c>
      <c r="O1932" s="33">
        <v>8</v>
      </c>
      <c r="P1932" s="32">
        <v>2</v>
      </c>
      <c r="Q1932" s="33">
        <v>2</v>
      </c>
      <c r="R1932" s="23"/>
      <c r="S1932" s="23"/>
      <c r="T1932" s="3">
        <v>0</v>
      </c>
      <c r="U1932" s="3">
        <v>1.8700000000000001E-2</v>
      </c>
      <c r="V1932" s="3">
        <v>9.5099999999999994E-3</v>
      </c>
      <c r="Z1932" s="23"/>
      <c r="AA1932" s="23"/>
      <c r="AB1932" s="3" t="str">
        <f t="shared" si="15"/>
        <v>___</v>
      </c>
      <c r="AC1932" s="3" t="str">
        <f t="shared" si="14"/>
        <v>____</v>
      </c>
    </row>
    <row r="1933" spans="1:31" ht="14">
      <c r="A1933" s="23"/>
      <c r="B1933" s="32">
        <v>792</v>
      </c>
      <c r="C1933" s="32">
        <v>33</v>
      </c>
      <c r="D1933" s="23"/>
      <c r="E1933" s="23"/>
      <c r="F1933" s="23"/>
      <c r="G1933" s="32" t="s">
        <v>40</v>
      </c>
      <c r="H1933" s="33">
        <v>3</v>
      </c>
      <c r="I1933" s="32">
        <v>12.5</v>
      </c>
      <c r="J1933" s="32">
        <v>13.7</v>
      </c>
      <c r="K1933" s="32">
        <v>7</v>
      </c>
      <c r="L1933" s="32" t="s">
        <v>36</v>
      </c>
      <c r="M1933" s="33">
        <v>16</v>
      </c>
      <c r="N1933" s="33">
        <v>6</v>
      </c>
      <c r="O1933" s="33">
        <v>6</v>
      </c>
      <c r="P1933" s="23"/>
      <c r="Q1933" s="33">
        <v>0</v>
      </c>
      <c r="R1933" s="23"/>
      <c r="S1933" s="23"/>
      <c r="T1933" s="3">
        <v>1.074E-2</v>
      </c>
      <c r="U1933" s="3">
        <v>4.8799999999999998E-3</v>
      </c>
      <c r="V1933" s="3">
        <v>0</v>
      </c>
      <c r="Z1933" s="23"/>
      <c r="AA1933" s="23"/>
      <c r="AB1933" s="3" t="str">
        <f t="shared" si="15"/>
        <v>792_33__vm</v>
      </c>
      <c r="AC1933" s="3" t="str">
        <f t="shared" si="14"/>
        <v>792_33__vm_3</v>
      </c>
      <c r="AD1933" s="3" t="s">
        <v>37</v>
      </c>
      <c r="AE1933" s="3" t="s">
        <v>37</v>
      </c>
    </row>
    <row r="1934" spans="1:31" ht="14">
      <c r="A1934" s="23"/>
      <c r="B1934" s="23"/>
      <c r="C1934" s="23"/>
      <c r="D1934" s="23"/>
      <c r="E1934" s="23"/>
      <c r="F1934" s="23"/>
      <c r="G1934" s="23"/>
      <c r="H1934" s="22"/>
      <c r="I1934" s="23"/>
      <c r="J1934" s="23"/>
      <c r="K1934" s="23"/>
      <c r="L1934" s="32" t="s">
        <v>38</v>
      </c>
      <c r="M1934" s="33">
        <v>23</v>
      </c>
      <c r="N1934" s="33">
        <v>0</v>
      </c>
      <c r="O1934" s="33">
        <v>7</v>
      </c>
      <c r="P1934" s="32">
        <v>1</v>
      </c>
      <c r="Q1934" s="33">
        <v>1</v>
      </c>
      <c r="R1934" s="23"/>
      <c r="S1934" s="23"/>
      <c r="T1934" s="3">
        <v>0</v>
      </c>
      <c r="U1934" s="3">
        <v>1.04E-2</v>
      </c>
      <c r="V1934" s="3">
        <v>1.153E-2</v>
      </c>
      <c r="Z1934" s="23"/>
      <c r="AA1934" s="23"/>
      <c r="AB1934" s="3" t="str">
        <f t="shared" si="15"/>
        <v>___</v>
      </c>
      <c r="AC1934" s="3" t="str">
        <f t="shared" si="14"/>
        <v>____</v>
      </c>
    </row>
    <row r="1935" spans="1:31" ht="14">
      <c r="A1935" s="23"/>
      <c r="B1935" s="23"/>
      <c r="C1935" s="23"/>
      <c r="D1935" s="23"/>
      <c r="E1935" s="23"/>
      <c r="F1935" s="23"/>
      <c r="G1935" s="23"/>
      <c r="H1935" s="22"/>
      <c r="I1935" s="23"/>
      <c r="J1935" s="23"/>
      <c r="K1935" s="23"/>
      <c r="L1935" s="32" t="s">
        <v>39</v>
      </c>
      <c r="M1935" s="33">
        <v>40</v>
      </c>
      <c r="N1935" s="33">
        <v>0</v>
      </c>
      <c r="O1935" s="33">
        <v>8</v>
      </c>
      <c r="P1935" s="32">
        <v>1</v>
      </c>
      <c r="Q1935" s="33">
        <v>1</v>
      </c>
      <c r="R1935" s="23"/>
      <c r="S1935" s="23"/>
      <c r="T1935" s="3">
        <v>0</v>
      </c>
      <c r="U1935" s="3">
        <v>2.3779999999999999E-2</v>
      </c>
      <c r="V1935" s="3">
        <v>1.9009999999999999E-2</v>
      </c>
      <c r="Z1935" s="23"/>
      <c r="AA1935" s="23"/>
      <c r="AB1935" s="3" t="str">
        <f t="shared" si="15"/>
        <v>___</v>
      </c>
      <c r="AC1935" s="3" t="str">
        <f t="shared" si="14"/>
        <v>____</v>
      </c>
    </row>
    <row r="1936" spans="1:31" ht="14">
      <c r="A1936" s="23"/>
      <c r="B1936" s="32">
        <v>8</v>
      </c>
      <c r="C1936" s="32">
        <v>15</v>
      </c>
      <c r="D1936" s="23"/>
      <c r="E1936" s="23"/>
      <c r="F1936" s="23"/>
      <c r="G1936" s="32" t="s">
        <v>35</v>
      </c>
      <c r="H1936" s="33">
        <v>1</v>
      </c>
      <c r="I1936" s="32">
        <v>9.1</v>
      </c>
      <c r="J1936" s="32">
        <v>9.1</v>
      </c>
      <c r="K1936" s="32">
        <v>3</v>
      </c>
      <c r="L1936" s="32" t="s">
        <v>36</v>
      </c>
      <c r="M1936" s="33">
        <v>13</v>
      </c>
      <c r="N1936" s="33">
        <v>10</v>
      </c>
      <c r="O1936" s="33">
        <v>11</v>
      </c>
      <c r="P1936" s="23"/>
      <c r="Q1936" s="33">
        <v>0</v>
      </c>
      <c r="R1936" s="23"/>
      <c r="S1936" s="23"/>
      <c r="T1936" s="3">
        <v>2.7650000000000001E-2</v>
      </c>
      <c r="U1936" s="3">
        <v>2.9099999999999998E-3</v>
      </c>
      <c r="V1936" s="3">
        <v>0</v>
      </c>
      <c r="Z1936" s="23"/>
      <c r="AA1936" s="23"/>
      <c r="AB1936" s="3" t="str">
        <f t="shared" si="15"/>
        <v>8_15__vv</v>
      </c>
      <c r="AC1936" s="3" t="str">
        <f t="shared" si="14"/>
        <v>8_15__vv_1</v>
      </c>
      <c r="AE1936" s="3" t="s">
        <v>37</v>
      </c>
    </row>
    <row r="1937" spans="1:31" ht="14">
      <c r="A1937" s="23"/>
      <c r="B1937" s="23"/>
      <c r="C1937" s="23"/>
      <c r="D1937" s="23"/>
      <c r="E1937" s="23"/>
      <c r="F1937" s="23"/>
      <c r="G1937" s="23"/>
      <c r="H1937" s="22"/>
      <c r="I1937" s="23"/>
      <c r="J1937" s="23"/>
      <c r="K1937" s="23"/>
      <c r="L1937" s="32" t="s">
        <v>38</v>
      </c>
      <c r="M1937" s="33">
        <v>24</v>
      </c>
      <c r="N1937" s="33">
        <v>9</v>
      </c>
      <c r="O1937" s="33">
        <v>9</v>
      </c>
      <c r="P1937" s="32">
        <v>1</v>
      </c>
      <c r="Q1937" s="33">
        <v>1</v>
      </c>
      <c r="R1937" s="23"/>
      <c r="S1937" s="23"/>
      <c r="T1937" s="3">
        <v>4.7239999999999997E-2</v>
      </c>
      <c r="U1937" s="3">
        <v>1.2319999999999999E-2</v>
      </c>
      <c r="V1937" s="3">
        <v>0</v>
      </c>
      <c r="Z1937" s="32" t="s">
        <v>252</v>
      </c>
      <c r="AA1937" s="23"/>
      <c r="AB1937" s="3" t="str">
        <f t="shared" si="15"/>
        <v>___</v>
      </c>
      <c r="AC1937" s="3" t="str">
        <f t="shared" si="14"/>
        <v>____</v>
      </c>
    </row>
    <row r="1938" spans="1:31" ht="14">
      <c r="A1938" s="23"/>
      <c r="B1938" s="23"/>
      <c r="C1938" s="23"/>
      <c r="D1938" s="23"/>
      <c r="E1938" s="23"/>
      <c r="F1938" s="23"/>
      <c r="G1938" s="23"/>
      <c r="H1938" s="22"/>
      <c r="I1938" s="23"/>
      <c r="J1938" s="23"/>
      <c r="K1938" s="23"/>
      <c r="L1938" s="32" t="s">
        <v>39</v>
      </c>
      <c r="M1938" s="33">
        <v>54</v>
      </c>
      <c r="N1938" s="33">
        <v>4</v>
      </c>
      <c r="O1938" s="33">
        <v>18</v>
      </c>
      <c r="P1938" s="32">
        <v>2</v>
      </c>
      <c r="Q1938" s="33">
        <v>2</v>
      </c>
      <c r="R1938" s="23"/>
      <c r="S1938" s="23"/>
      <c r="T1938" s="3">
        <v>0</v>
      </c>
      <c r="U1938" s="3">
        <v>2.7730000000000001E-2</v>
      </c>
      <c r="V1938" s="3">
        <v>4.632E-2</v>
      </c>
      <c r="Z1938" s="23"/>
      <c r="AA1938" s="23"/>
      <c r="AB1938" s="3" t="str">
        <f t="shared" si="15"/>
        <v>___</v>
      </c>
      <c r="AC1938" s="3" t="str">
        <f t="shared" si="14"/>
        <v>____</v>
      </c>
    </row>
    <row r="1939" spans="1:31" ht="14">
      <c r="A1939" s="23"/>
      <c r="B1939" s="32">
        <v>8</v>
      </c>
      <c r="C1939" s="32">
        <v>15</v>
      </c>
      <c r="D1939" s="23"/>
      <c r="E1939" s="23"/>
      <c r="F1939" s="23"/>
      <c r="G1939" s="32" t="s">
        <v>35</v>
      </c>
      <c r="H1939" s="33">
        <v>2</v>
      </c>
      <c r="I1939" s="32">
        <v>7.9</v>
      </c>
      <c r="J1939" s="32">
        <v>7.1</v>
      </c>
      <c r="K1939" s="32">
        <v>2</v>
      </c>
      <c r="L1939" s="32" t="s">
        <v>36</v>
      </c>
      <c r="M1939" s="33">
        <v>32</v>
      </c>
      <c r="N1939" s="33">
        <v>12</v>
      </c>
      <c r="O1939" s="33">
        <v>18</v>
      </c>
      <c r="P1939" s="23"/>
      <c r="Q1939" s="33">
        <v>0</v>
      </c>
      <c r="R1939" s="23"/>
      <c r="S1939" s="23"/>
      <c r="T1939" s="3">
        <v>1.1270000000000001E-2</v>
      </c>
      <c r="U1939" s="3">
        <v>1.1270000000000001E-2</v>
      </c>
      <c r="V1939" s="3">
        <v>0</v>
      </c>
      <c r="Z1939" s="23"/>
      <c r="AA1939" s="23"/>
      <c r="AB1939" s="3" t="str">
        <f t="shared" si="15"/>
        <v>8_15__vv</v>
      </c>
      <c r="AC1939" s="3" t="str">
        <f t="shared" si="14"/>
        <v>8_15__vv_2</v>
      </c>
      <c r="AE1939" s="3" t="s">
        <v>37</v>
      </c>
    </row>
    <row r="1940" spans="1:31" ht="14">
      <c r="A1940" s="23"/>
      <c r="B1940" s="23"/>
      <c r="C1940" s="23"/>
      <c r="D1940" s="23"/>
      <c r="E1940" s="23"/>
      <c r="F1940" s="23"/>
      <c r="G1940" s="23"/>
      <c r="H1940" s="22"/>
      <c r="I1940" s="23"/>
      <c r="J1940" s="23"/>
      <c r="K1940" s="23"/>
      <c r="L1940" s="32" t="s">
        <v>38</v>
      </c>
      <c r="M1940" s="33">
        <v>40</v>
      </c>
      <c r="N1940" s="33">
        <v>0</v>
      </c>
      <c r="O1940" s="33">
        <v>12</v>
      </c>
      <c r="P1940" s="32">
        <v>1</v>
      </c>
      <c r="Q1940" s="33">
        <v>1</v>
      </c>
      <c r="R1940" s="23"/>
      <c r="S1940" s="23"/>
      <c r="T1940" s="3">
        <v>0</v>
      </c>
      <c r="U1940" s="3">
        <v>1.823E-2</v>
      </c>
      <c r="V1940" s="3">
        <v>8.8400000000000006E-3</v>
      </c>
      <c r="Z1940" s="23"/>
      <c r="AA1940" s="23"/>
      <c r="AB1940" s="3" t="str">
        <f t="shared" si="15"/>
        <v>___</v>
      </c>
      <c r="AC1940" s="3" t="str">
        <f t="shared" si="14"/>
        <v>____</v>
      </c>
    </row>
    <row r="1941" spans="1:31" ht="14">
      <c r="A1941" s="23"/>
      <c r="B1941" s="32">
        <v>8</v>
      </c>
      <c r="C1941" s="32">
        <v>15</v>
      </c>
      <c r="D1941" s="23"/>
      <c r="E1941" s="23"/>
      <c r="F1941" s="23"/>
      <c r="G1941" s="32" t="s">
        <v>35</v>
      </c>
      <c r="H1941" s="33">
        <v>3</v>
      </c>
      <c r="I1941" s="32">
        <v>10</v>
      </c>
      <c r="J1941" s="32">
        <v>10.9</v>
      </c>
      <c r="K1941" s="32">
        <v>3</v>
      </c>
      <c r="L1941" s="32" t="s">
        <v>36</v>
      </c>
      <c r="M1941" s="33">
        <v>14</v>
      </c>
      <c r="N1941" s="33">
        <v>11</v>
      </c>
      <c r="O1941" s="33">
        <v>11</v>
      </c>
      <c r="P1941" s="23"/>
      <c r="Q1941" s="33">
        <v>0</v>
      </c>
      <c r="R1941" s="23"/>
      <c r="S1941" s="23"/>
      <c r="T1941" s="3">
        <v>3.4880000000000001E-2</v>
      </c>
      <c r="U1941" s="3">
        <v>3.2000000000000002E-3</v>
      </c>
      <c r="V1941" s="3">
        <v>0</v>
      </c>
      <c r="Z1941" s="23"/>
      <c r="AA1941" s="23"/>
      <c r="AB1941" s="3" t="str">
        <f t="shared" si="15"/>
        <v>8_15__vv</v>
      </c>
      <c r="AC1941" s="3" t="str">
        <f t="shared" si="14"/>
        <v>8_15__vv_3</v>
      </c>
      <c r="AE1941" s="3" t="s">
        <v>37</v>
      </c>
    </row>
    <row r="1942" spans="1:31" ht="14">
      <c r="A1942" s="23"/>
      <c r="B1942" s="23"/>
      <c r="C1942" s="23"/>
      <c r="D1942" s="23"/>
      <c r="E1942" s="23"/>
      <c r="F1942" s="23"/>
      <c r="G1942" s="23"/>
      <c r="H1942" s="22"/>
      <c r="I1942" s="23"/>
      <c r="J1942" s="23"/>
      <c r="K1942" s="23"/>
      <c r="L1942" s="32" t="s">
        <v>38</v>
      </c>
      <c r="M1942" s="33">
        <v>67</v>
      </c>
      <c r="N1942" s="33">
        <v>9</v>
      </c>
      <c r="O1942" s="33">
        <v>17</v>
      </c>
      <c r="P1942" s="32">
        <v>4</v>
      </c>
      <c r="Q1942" s="33">
        <v>4</v>
      </c>
      <c r="R1942" s="23"/>
      <c r="S1942" s="23"/>
      <c r="T1942" s="3">
        <v>5.901E-2</v>
      </c>
      <c r="U1942" s="3">
        <v>4.0680000000000001E-2</v>
      </c>
      <c r="V1942" s="3">
        <v>4.1480000000000003E-2</v>
      </c>
      <c r="Z1942" s="23"/>
      <c r="AA1942" s="23"/>
      <c r="AB1942" s="3" t="str">
        <f t="shared" si="15"/>
        <v>___</v>
      </c>
      <c r="AC1942" s="3" t="str">
        <f t="shared" si="14"/>
        <v>____</v>
      </c>
    </row>
    <row r="1943" spans="1:31" ht="14">
      <c r="A1943" s="23"/>
      <c r="B1943" s="23"/>
      <c r="C1943" s="23"/>
      <c r="D1943" s="23"/>
      <c r="E1943" s="23"/>
      <c r="F1943" s="23"/>
      <c r="G1943" s="23"/>
      <c r="H1943" s="22"/>
      <c r="I1943" s="23"/>
      <c r="J1943" s="23"/>
      <c r="K1943" s="23"/>
      <c r="L1943" s="32" t="s">
        <v>39</v>
      </c>
      <c r="M1943" s="33">
        <v>29</v>
      </c>
      <c r="N1943" s="33">
        <v>0</v>
      </c>
      <c r="O1943" s="33">
        <v>5</v>
      </c>
      <c r="P1943" s="23"/>
      <c r="Q1943" s="33">
        <v>0</v>
      </c>
      <c r="R1943" s="23"/>
      <c r="S1943" s="23"/>
      <c r="T1943" s="3">
        <v>0</v>
      </c>
      <c r="U1943" s="3">
        <v>1.103E-2</v>
      </c>
      <c r="V1943" s="3">
        <v>0</v>
      </c>
      <c r="Z1943" s="23"/>
      <c r="AA1943" s="23"/>
      <c r="AB1943" s="3" t="str">
        <f t="shared" si="15"/>
        <v>___</v>
      </c>
      <c r="AC1943" s="3" t="str">
        <f t="shared" si="14"/>
        <v>____</v>
      </c>
    </row>
    <row r="1944" spans="1:31" ht="14">
      <c r="A1944" s="23"/>
      <c r="B1944" s="32">
        <v>970</v>
      </c>
      <c r="C1944" s="32">
        <v>24</v>
      </c>
      <c r="D1944" s="23"/>
      <c r="E1944" s="23"/>
      <c r="F1944" s="23"/>
      <c r="G1944" s="32" t="s">
        <v>40</v>
      </c>
      <c r="H1944" s="33">
        <v>1</v>
      </c>
      <c r="I1944" s="32">
        <v>14.6</v>
      </c>
      <c r="J1944" s="32">
        <v>36</v>
      </c>
      <c r="K1944" s="23"/>
      <c r="L1944" s="32" t="s">
        <v>36</v>
      </c>
      <c r="M1944" s="33">
        <v>24</v>
      </c>
      <c r="N1944" s="33">
        <v>8</v>
      </c>
      <c r="O1944" s="33">
        <v>8</v>
      </c>
      <c r="P1944" s="23"/>
      <c r="Q1944" s="33">
        <v>0</v>
      </c>
      <c r="R1944" s="23"/>
      <c r="S1944" s="23"/>
      <c r="T1944" s="3">
        <v>3.499E-2</v>
      </c>
      <c r="U1944" s="3">
        <v>1.9650000000000001E-2</v>
      </c>
      <c r="V1944" s="3">
        <v>0</v>
      </c>
      <c r="Z1944" s="32" t="s">
        <v>253</v>
      </c>
      <c r="AA1944" s="23"/>
      <c r="AB1944" s="3" t="str">
        <f t="shared" si="15"/>
        <v>970_24__vm</v>
      </c>
      <c r="AC1944" s="3" t="str">
        <f t="shared" si="14"/>
        <v>970_24__vm_1</v>
      </c>
      <c r="AE1944" s="3" t="s">
        <v>37</v>
      </c>
    </row>
    <row r="1945" spans="1:31" ht="14">
      <c r="A1945" s="23"/>
      <c r="B1945" s="23"/>
      <c r="C1945" s="23"/>
      <c r="D1945" s="23"/>
      <c r="E1945" s="23"/>
      <c r="F1945" s="23"/>
      <c r="G1945" s="23"/>
      <c r="H1945" s="22"/>
      <c r="I1945" s="23"/>
      <c r="J1945" s="23"/>
      <c r="K1945" s="23"/>
      <c r="L1945" s="32" t="s">
        <v>38</v>
      </c>
      <c r="M1945" s="33">
        <v>81</v>
      </c>
      <c r="N1945" s="33">
        <v>0</v>
      </c>
      <c r="O1945" s="33">
        <v>3</v>
      </c>
      <c r="P1945" s="32">
        <v>5</v>
      </c>
      <c r="Q1945" s="33">
        <v>5</v>
      </c>
      <c r="R1945" s="23"/>
      <c r="S1945" s="23"/>
      <c r="T1945" s="3">
        <v>0</v>
      </c>
      <c r="U1945" s="3">
        <v>0.10521</v>
      </c>
      <c r="V1945" s="3">
        <v>0.10662000000000001</v>
      </c>
      <c r="Z1945" s="32" t="s">
        <v>60</v>
      </c>
      <c r="AA1945" s="23"/>
      <c r="AB1945" s="3" t="str">
        <f t="shared" si="15"/>
        <v>___</v>
      </c>
      <c r="AC1945" s="3" t="str">
        <f t="shared" si="14"/>
        <v>____</v>
      </c>
    </row>
    <row r="1946" spans="1:31" ht="14">
      <c r="A1946" s="23"/>
      <c r="B1946" s="23"/>
      <c r="C1946" s="23"/>
      <c r="D1946" s="23"/>
      <c r="E1946" s="23"/>
      <c r="F1946" s="23"/>
      <c r="G1946" s="23"/>
      <c r="H1946" s="22"/>
      <c r="I1946" s="23"/>
      <c r="J1946" s="23"/>
      <c r="K1946" s="23"/>
      <c r="L1946" s="32" t="s">
        <v>39</v>
      </c>
      <c r="M1946" s="33">
        <v>25</v>
      </c>
      <c r="N1946" s="33">
        <v>0</v>
      </c>
      <c r="O1946" s="33">
        <v>1</v>
      </c>
      <c r="P1946" s="23"/>
      <c r="Q1946" s="33">
        <v>0</v>
      </c>
      <c r="R1946" s="23"/>
      <c r="S1946" s="23"/>
      <c r="T1946" s="3">
        <v>0</v>
      </c>
      <c r="U1946" s="3">
        <v>3.1640000000000001E-2</v>
      </c>
      <c r="V1946" s="3">
        <v>0</v>
      </c>
      <c r="Z1946" s="23"/>
      <c r="AA1946" s="23"/>
      <c r="AB1946" s="3" t="str">
        <f t="shared" si="15"/>
        <v>___</v>
      </c>
      <c r="AC1946" s="3" t="str">
        <f t="shared" si="14"/>
        <v>____</v>
      </c>
    </row>
    <row r="1947" spans="1:31" ht="14">
      <c r="A1947" s="23"/>
      <c r="B1947" s="32">
        <v>970</v>
      </c>
      <c r="C1947" s="32">
        <v>24</v>
      </c>
      <c r="D1947" s="23"/>
      <c r="E1947" s="23"/>
      <c r="F1947" s="23"/>
      <c r="G1947" s="32" t="s">
        <v>40</v>
      </c>
      <c r="H1947" s="33">
        <v>2</v>
      </c>
      <c r="I1947" s="32">
        <v>20.100000000000001</v>
      </c>
      <c r="J1947" s="32">
        <v>14.3</v>
      </c>
      <c r="K1947" s="23"/>
      <c r="L1947" s="32" t="s">
        <v>36</v>
      </c>
      <c r="M1947" s="33">
        <v>31</v>
      </c>
      <c r="N1947" s="33">
        <v>8</v>
      </c>
      <c r="O1947" s="33">
        <v>8</v>
      </c>
      <c r="P1947" s="23"/>
      <c r="Q1947" s="33">
        <v>0</v>
      </c>
      <c r="R1947" s="23"/>
      <c r="S1947" s="23"/>
      <c r="T1947" s="3">
        <v>2.606E-2</v>
      </c>
      <c r="U1947" s="3">
        <v>1.157E-2</v>
      </c>
      <c r="V1947" s="3">
        <v>0</v>
      </c>
      <c r="Z1947" s="32" t="s">
        <v>253</v>
      </c>
      <c r="AA1947" s="23"/>
      <c r="AB1947" s="3" t="str">
        <f t="shared" si="15"/>
        <v>970_24__vm</v>
      </c>
      <c r="AC1947" s="3" t="str">
        <f t="shared" si="14"/>
        <v>970_24__vm_2</v>
      </c>
      <c r="AE1947" s="3" t="s">
        <v>37</v>
      </c>
    </row>
    <row r="1948" spans="1:31" ht="14">
      <c r="A1948" s="23"/>
      <c r="B1948" s="23"/>
      <c r="C1948" s="23"/>
      <c r="D1948" s="23"/>
      <c r="E1948" s="23"/>
      <c r="F1948" s="23"/>
      <c r="G1948" s="23"/>
      <c r="H1948" s="22"/>
      <c r="I1948" s="23"/>
      <c r="J1948" s="23"/>
      <c r="K1948" s="23"/>
      <c r="L1948" s="32" t="s">
        <v>38</v>
      </c>
      <c r="M1948" s="33">
        <v>58</v>
      </c>
      <c r="N1948" s="33">
        <v>0</v>
      </c>
      <c r="O1948" s="33">
        <v>4</v>
      </c>
      <c r="P1948" s="32">
        <v>5</v>
      </c>
      <c r="Q1948" s="33">
        <v>5</v>
      </c>
      <c r="R1948" s="23"/>
      <c r="S1948" s="23"/>
      <c r="T1948" s="3">
        <v>0</v>
      </c>
      <c r="U1948" s="3">
        <v>5.867E-2</v>
      </c>
      <c r="V1948" s="3">
        <v>8.6929999999999993E-2</v>
      </c>
      <c r="Z1948" s="23"/>
      <c r="AA1948" s="23"/>
      <c r="AB1948" s="3" t="str">
        <f t="shared" si="15"/>
        <v>___</v>
      </c>
      <c r="AC1948" s="3" t="str">
        <f t="shared" si="14"/>
        <v>____</v>
      </c>
    </row>
    <row r="1949" spans="1:31" ht="14">
      <c r="A1949" s="23"/>
      <c r="B1949" s="23"/>
      <c r="C1949" s="23"/>
      <c r="D1949" s="23"/>
      <c r="E1949" s="23"/>
      <c r="F1949" s="23"/>
      <c r="G1949" s="23"/>
      <c r="H1949" s="22"/>
      <c r="I1949" s="23"/>
      <c r="J1949" s="23"/>
      <c r="K1949" s="23"/>
      <c r="L1949" s="32" t="s">
        <v>39</v>
      </c>
      <c r="M1949" s="33">
        <v>41</v>
      </c>
      <c r="N1949" s="33">
        <v>0</v>
      </c>
      <c r="O1949" s="33">
        <v>4</v>
      </c>
      <c r="P1949" s="23"/>
      <c r="Q1949" s="33">
        <v>1</v>
      </c>
      <c r="R1949" s="23"/>
      <c r="S1949" s="23"/>
      <c r="T1949" s="3">
        <v>0</v>
      </c>
      <c r="U1949" s="3">
        <v>7.2739999999999999E-2</v>
      </c>
      <c r="V1949" s="3">
        <v>0.13658999999999999</v>
      </c>
      <c r="Z1949" s="23"/>
      <c r="AA1949" s="23"/>
      <c r="AB1949" s="3" t="str">
        <f t="shared" si="15"/>
        <v>___</v>
      </c>
      <c r="AC1949" s="3" t="str">
        <f t="shared" si="14"/>
        <v>____</v>
      </c>
    </row>
    <row r="1950" spans="1:31" ht="14">
      <c r="A1950" s="23"/>
      <c r="B1950" s="32">
        <v>970</v>
      </c>
      <c r="C1950" s="32">
        <v>24</v>
      </c>
      <c r="D1950" s="23"/>
      <c r="E1950" s="23"/>
      <c r="F1950" s="23"/>
      <c r="G1950" s="32" t="s">
        <v>40</v>
      </c>
      <c r="H1950" s="33">
        <v>3</v>
      </c>
      <c r="I1950" s="32">
        <v>19.100000000000001</v>
      </c>
      <c r="J1950" s="32">
        <v>9.6999999999999993</v>
      </c>
      <c r="K1950" s="32">
        <v>4</v>
      </c>
      <c r="L1950" s="32" t="s">
        <v>36</v>
      </c>
      <c r="M1950" s="33">
        <v>47</v>
      </c>
      <c r="N1950" s="33">
        <v>7</v>
      </c>
      <c r="O1950" s="33">
        <v>7</v>
      </c>
      <c r="P1950" s="23"/>
      <c r="Q1950" s="33">
        <v>0</v>
      </c>
      <c r="R1950" s="23"/>
      <c r="S1950" s="23"/>
      <c r="T1950" s="3">
        <v>2.5090000000000001E-2</v>
      </c>
      <c r="U1950" s="3">
        <v>2.1749999999999999E-2</v>
      </c>
      <c r="V1950" s="3">
        <v>0</v>
      </c>
      <c r="Z1950" s="23"/>
      <c r="AA1950" s="23"/>
      <c r="AB1950" s="3" t="str">
        <f t="shared" si="15"/>
        <v>970_24__vm</v>
      </c>
      <c r="AC1950" s="3" t="str">
        <f t="shared" si="14"/>
        <v>970_24__vm_3</v>
      </c>
      <c r="AE1950" s="3" t="s">
        <v>37</v>
      </c>
    </row>
    <row r="1951" spans="1:31" ht="14">
      <c r="A1951" s="23"/>
      <c r="B1951" s="23"/>
      <c r="C1951" s="23"/>
      <c r="D1951" s="23"/>
      <c r="E1951" s="23"/>
      <c r="F1951" s="23"/>
      <c r="G1951" s="23"/>
      <c r="H1951" s="22"/>
      <c r="I1951" s="23"/>
      <c r="J1951" s="23"/>
      <c r="K1951" s="23"/>
      <c r="L1951" s="32" t="s">
        <v>38</v>
      </c>
      <c r="M1951" s="33">
        <v>12</v>
      </c>
      <c r="N1951" s="33">
        <v>2</v>
      </c>
      <c r="O1951" s="33">
        <v>2</v>
      </c>
      <c r="P1951" s="32">
        <v>1</v>
      </c>
      <c r="Q1951" s="33">
        <v>1</v>
      </c>
      <c r="R1951" s="23"/>
      <c r="S1951" s="23"/>
      <c r="T1951" s="3">
        <v>0</v>
      </c>
      <c r="U1951" s="3">
        <v>1.0529999999999999E-2</v>
      </c>
      <c r="V1951" s="3">
        <v>5.0049999999999997E-2</v>
      </c>
      <c r="Z1951" s="23"/>
      <c r="AA1951" s="23"/>
      <c r="AB1951" s="3" t="str">
        <f t="shared" si="15"/>
        <v>___</v>
      </c>
      <c r="AC1951" s="3" t="str">
        <f t="shared" si="14"/>
        <v>____</v>
      </c>
    </row>
    <row r="1952" spans="1:31" ht="14">
      <c r="A1952" s="23"/>
      <c r="B1952" s="23"/>
      <c r="C1952" s="23"/>
      <c r="D1952" s="23"/>
      <c r="E1952" s="23"/>
      <c r="F1952" s="23"/>
      <c r="G1952" s="23"/>
      <c r="H1952" s="22"/>
      <c r="I1952" s="23"/>
      <c r="J1952" s="23"/>
      <c r="K1952" s="23"/>
      <c r="L1952" s="32" t="s">
        <v>39</v>
      </c>
      <c r="M1952" s="33">
        <v>35</v>
      </c>
      <c r="N1952" s="33">
        <v>0</v>
      </c>
      <c r="O1952" s="33">
        <v>1</v>
      </c>
      <c r="P1952" s="32">
        <v>3</v>
      </c>
      <c r="Q1952" s="33">
        <v>3</v>
      </c>
      <c r="R1952" s="23"/>
      <c r="S1952" s="23"/>
      <c r="T1952" s="3">
        <v>0</v>
      </c>
      <c r="U1952" s="3">
        <v>3.3770000000000001E-2</v>
      </c>
      <c r="V1952" s="3">
        <v>7.8289999999999998E-2</v>
      </c>
      <c r="Z1952" s="23"/>
      <c r="AA1952" s="23"/>
      <c r="AB1952" s="3" t="str">
        <f t="shared" si="15"/>
        <v>___</v>
      </c>
      <c r="AC1952" s="3" t="str">
        <f t="shared" si="14"/>
        <v>____</v>
      </c>
    </row>
    <row r="1953" spans="1:31" ht="14">
      <c r="A1953" s="23"/>
      <c r="B1953" s="32">
        <v>970</v>
      </c>
      <c r="C1953" s="32">
        <v>24</v>
      </c>
      <c r="D1953" s="23"/>
      <c r="E1953" s="23"/>
      <c r="F1953" s="23"/>
      <c r="G1953" s="32" t="s">
        <v>35</v>
      </c>
      <c r="H1953" s="33">
        <v>1</v>
      </c>
      <c r="I1953" s="32">
        <v>13</v>
      </c>
      <c r="J1953" s="32">
        <v>15.8</v>
      </c>
      <c r="K1953" s="23"/>
      <c r="L1953" s="32" t="s">
        <v>36</v>
      </c>
      <c r="M1953" s="33">
        <v>20</v>
      </c>
      <c r="N1953" s="33">
        <v>10</v>
      </c>
      <c r="O1953" s="33">
        <v>11</v>
      </c>
      <c r="P1953" s="23"/>
      <c r="Q1953" s="33">
        <v>0</v>
      </c>
      <c r="R1953" s="23"/>
      <c r="S1953" s="23"/>
      <c r="T1953" s="3">
        <v>4.0039999999999999E-2</v>
      </c>
      <c r="U1953" s="3">
        <v>4.3E-3</v>
      </c>
      <c r="V1953" s="3">
        <v>0</v>
      </c>
      <c r="Z1953" s="32" t="s">
        <v>253</v>
      </c>
      <c r="AA1953" s="23"/>
      <c r="AB1953" s="3" t="str">
        <f t="shared" si="15"/>
        <v>970_24__vv</v>
      </c>
      <c r="AC1953" s="3" t="str">
        <f t="shared" si="14"/>
        <v>970_24__vv_1</v>
      </c>
      <c r="AE1953" s="3" t="s">
        <v>37</v>
      </c>
    </row>
    <row r="1954" spans="1:31" ht="14">
      <c r="A1954" s="23"/>
      <c r="B1954" s="23"/>
      <c r="C1954" s="23"/>
      <c r="D1954" s="23"/>
      <c r="E1954" s="23"/>
      <c r="F1954" s="23"/>
      <c r="G1954" s="23"/>
      <c r="H1954" s="22"/>
      <c r="I1954" s="23"/>
      <c r="J1954" s="23"/>
      <c r="K1954" s="23"/>
      <c r="L1954" s="32" t="s">
        <v>38</v>
      </c>
      <c r="M1954" s="33">
        <v>29</v>
      </c>
      <c r="N1954" s="33">
        <v>11</v>
      </c>
      <c r="O1954" s="33">
        <v>13</v>
      </c>
      <c r="P1954" s="23"/>
      <c r="Q1954" s="33">
        <v>0</v>
      </c>
      <c r="R1954" s="23"/>
      <c r="S1954" s="23"/>
      <c r="T1954" s="3">
        <v>0.10395</v>
      </c>
      <c r="U1954" s="3">
        <v>1.321E-2</v>
      </c>
      <c r="V1954" s="3">
        <v>0</v>
      </c>
      <c r="Z1954" s="23"/>
      <c r="AA1954" s="23"/>
      <c r="AB1954" s="3" t="str">
        <f t="shared" si="15"/>
        <v>___</v>
      </c>
      <c r="AC1954" s="3" t="str">
        <f t="shared" si="14"/>
        <v>____</v>
      </c>
    </row>
    <row r="1955" spans="1:31" ht="14">
      <c r="A1955" s="23"/>
      <c r="B1955" s="23"/>
      <c r="C1955" s="23"/>
      <c r="D1955" s="23"/>
      <c r="E1955" s="23"/>
      <c r="F1955" s="23"/>
      <c r="G1955" s="23"/>
      <c r="H1955" s="22"/>
      <c r="I1955" s="23"/>
      <c r="J1955" s="23"/>
      <c r="K1955" s="23"/>
      <c r="L1955" s="32" t="s">
        <v>39</v>
      </c>
      <c r="M1955" s="33">
        <v>20</v>
      </c>
      <c r="N1955" s="33">
        <v>8</v>
      </c>
      <c r="O1955" s="33">
        <v>9</v>
      </c>
      <c r="P1955" s="23"/>
      <c r="Q1955" s="33">
        <v>0</v>
      </c>
      <c r="R1955" s="23"/>
      <c r="S1955" s="23"/>
      <c r="T1955" s="3">
        <v>3.5099999999999999E-2</v>
      </c>
      <c r="U1955" s="3">
        <v>1.103E-2</v>
      </c>
      <c r="V1955" s="3">
        <v>0</v>
      </c>
      <c r="Z1955" s="23"/>
      <c r="AA1955" s="23"/>
      <c r="AB1955" s="3" t="str">
        <f t="shared" si="15"/>
        <v>___</v>
      </c>
      <c r="AC1955" s="3" t="str">
        <f t="shared" si="14"/>
        <v>____</v>
      </c>
    </row>
    <row r="1956" spans="1:31" ht="14">
      <c r="A1956" s="23"/>
      <c r="B1956" s="32">
        <v>970</v>
      </c>
      <c r="C1956" s="32">
        <v>24</v>
      </c>
      <c r="D1956" s="23"/>
      <c r="E1956" s="23"/>
      <c r="F1956" s="23"/>
      <c r="G1956" s="32" t="s">
        <v>35</v>
      </c>
      <c r="H1956" s="33">
        <v>2</v>
      </c>
      <c r="I1956" s="32">
        <v>13.9</v>
      </c>
      <c r="J1956" s="32">
        <v>14</v>
      </c>
      <c r="K1956" s="32">
        <v>6</v>
      </c>
      <c r="L1956" s="32" t="s">
        <v>36</v>
      </c>
      <c r="M1956" s="33">
        <v>25</v>
      </c>
      <c r="N1956" s="33">
        <v>12</v>
      </c>
      <c r="O1956" s="33">
        <v>12</v>
      </c>
      <c r="P1956" s="23"/>
      <c r="Q1956" s="33">
        <v>0</v>
      </c>
      <c r="R1956" s="23"/>
      <c r="S1956" s="23"/>
      <c r="T1956" s="3">
        <v>2.5229999999999999E-2</v>
      </c>
      <c r="U1956" s="3">
        <v>4.8999999999999998E-3</v>
      </c>
      <c r="V1956" s="3">
        <v>0</v>
      </c>
      <c r="Z1956" s="23"/>
      <c r="AA1956" s="23"/>
      <c r="AB1956" s="3" t="str">
        <f t="shared" si="15"/>
        <v>970_24__vv</v>
      </c>
      <c r="AC1956" s="3" t="str">
        <f t="shared" si="14"/>
        <v>970_24__vv_2</v>
      </c>
      <c r="AE1956" s="3" t="s">
        <v>37</v>
      </c>
    </row>
    <row r="1957" spans="1:31" ht="14">
      <c r="A1957" s="23"/>
      <c r="B1957" s="23"/>
      <c r="C1957" s="23"/>
      <c r="D1957" s="23"/>
      <c r="E1957" s="23"/>
      <c r="F1957" s="23"/>
      <c r="G1957" s="23"/>
      <c r="H1957" s="22"/>
      <c r="I1957" s="23"/>
      <c r="J1957" s="23"/>
      <c r="K1957" s="23"/>
      <c r="L1957" s="32" t="s">
        <v>38</v>
      </c>
      <c r="M1957" s="33">
        <v>31</v>
      </c>
      <c r="N1957" s="33">
        <v>11</v>
      </c>
      <c r="O1957" s="33">
        <v>13</v>
      </c>
      <c r="P1957" s="23"/>
      <c r="Q1957" s="33">
        <v>0</v>
      </c>
      <c r="R1957" s="23"/>
      <c r="S1957" s="23"/>
      <c r="T1957" s="3">
        <v>5.926E-2</v>
      </c>
      <c r="U1957" s="3">
        <v>1.18E-2</v>
      </c>
      <c r="V1957" s="3">
        <v>0</v>
      </c>
      <c r="Z1957" s="23"/>
      <c r="AA1957" s="23"/>
      <c r="AB1957" s="3" t="str">
        <f t="shared" si="15"/>
        <v>___</v>
      </c>
      <c r="AC1957" s="3" t="str">
        <f t="shared" si="14"/>
        <v>____</v>
      </c>
    </row>
    <row r="1958" spans="1:31" ht="14">
      <c r="A1958" s="23"/>
      <c r="B1958" s="23"/>
      <c r="C1958" s="23"/>
      <c r="D1958" s="23"/>
      <c r="E1958" s="23"/>
      <c r="F1958" s="23"/>
      <c r="G1958" s="23"/>
      <c r="H1958" s="22"/>
      <c r="I1958" s="23"/>
      <c r="J1958" s="23"/>
      <c r="K1958" s="23"/>
      <c r="L1958" s="32" t="s">
        <v>39</v>
      </c>
      <c r="M1958" s="33">
        <v>20</v>
      </c>
      <c r="N1958" s="33">
        <v>7</v>
      </c>
      <c r="O1958" s="33">
        <v>13</v>
      </c>
      <c r="P1958" s="23"/>
      <c r="Q1958" s="33">
        <v>0</v>
      </c>
      <c r="R1958" s="23"/>
      <c r="S1958" s="23"/>
      <c r="T1958" s="3">
        <v>2.0619999999999999E-2</v>
      </c>
      <c r="U1958" s="3">
        <v>9.9500000000000005E-3</v>
      </c>
      <c r="V1958" s="3">
        <v>0</v>
      </c>
      <c r="Z1958" s="23"/>
      <c r="AA1958" s="23"/>
      <c r="AB1958" s="3" t="str">
        <f t="shared" si="15"/>
        <v>___</v>
      </c>
      <c r="AC1958" s="3" t="str">
        <f t="shared" si="14"/>
        <v>____</v>
      </c>
    </row>
    <row r="1959" spans="1:31" ht="14">
      <c r="A1959" s="23"/>
      <c r="B1959" s="32">
        <v>970</v>
      </c>
      <c r="C1959" s="32">
        <v>24</v>
      </c>
      <c r="D1959" s="23"/>
      <c r="E1959" s="23"/>
      <c r="F1959" s="23"/>
      <c r="G1959" s="32" t="s">
        <v>35</v>
      </c>
      <c r="H1959" s="33">
        <v>3</v>
      </c>
      <c r="I1959" s="32">
        <v>9</v>
      </c>
      <c r="J1959" s="32">
        <v>7.8</v>
      </c>
      <c r="K1959" s="32">
        <v>3</v>
      </c>
      <c r="L1959" s="32" t="s">
        <v>36</v>
      </c>
      <c r="M1959" s="33">
        <v>21</v>
      </c>
      <c r="N1959" s="33">
        <v>6</v>
      </c>
      <c r="O1959" s="33">
        <v>10</v>
      </c>
      <c r="P1959" s="23"/>
      <c r="Q1959" s="33">
        <v>0</v>
      </c>
      <c r="R1959" s="23"/>
      <c r="S1959" s="23"/>
      <c r="T1959" s="3">
        <v>5.1150000000000001E-2</v>
      </c>
      <c r="U1959" s="3">
        <v>7.0299999999999998E-3</v>
      </c>
      <c r="V1959" s="3">
        <v>0</v>
      </c>
      <c r="Z1959" s="23"/>
      <c r="AA1959" s="23"/>
      <c r="AB1959" s="3" t="str">
        <f t="shared" si="15"/>
        <v>970_24__vv</v>
      </c>
      <c r="AC1959" s="3" t="str">
        <f t="shared" si="14"/>
        <v>970_24__vv_3</v>
      </c>
      <c r="AE1959" s="3" t="s">
        <v>37</v>
      </c>
    </row>
    <row r="1960" spans="1:31" ht="14">
      <c r="A1960" s="23"/>
      <c r="B1960" s="23"/>
      <c r="C1960" s="23"/>
      <c r="D1960" s="23"/>
      <c r="E1960" s="23"/>
      <c r="F1960" s="23"/>
      <c r="G1960" s="23"/>
      <c r="H1960" s="22"/>
      <c r="I1960" s="23"/>
      <c r="J1960" s="23"/>
      <c r="K1960" s="23"/>
      <c r="L1960" s="32" t="s">
        <v>38</v>
      </c>
      <c r="M1960" s="33">
        <v>25</v>
      </c>
      <c r="N1960" s="33">
        <v>3</v>
      </c>
      <c r="O1960" s="33">
        <v>9</v>
      </c>
      <c r="P1960" s="32">
        <v>2</v>
      </c>
      <c r="Q1960" s="33">
        <v>2</v>
      </c>
      <c r="R1960" s="23"/>
      <c r="S1960" s="23"/>
      <c r="T1960" s="3">
        <v>3.4410000000000003E-2</v>
      </c>
      <c r="U1960" s="3">
        <v>2.3109999999999999E-2</v>
      </c>
      <c r="V1960" s="3">
        <v>5.6149999999999999E-2</v>
      </c>
      <c r="Z1960" s="23"/>
      <c r="AA1960" s="23"/>
      <c r="AB1960" s="3" t="str">
        <f t="shared" si="15"/>
        <v>___</v>
      </c>
      <c r="AC1960" s="3" t="str">
        <f t="shared" si="14"/>
        <v>____</v>
      </c>
    </row>
    <row r="1961" spans="1:31" ht="14">
      <c r="A1961" s="23"/>
      <c r="B1961" s="23"/>
      <c r="C1961" s="23"/>
      <c r="D1961" s="23"/>
      <c r="E1961" s="23"/>
      <c r="F1961" s="23"/>
      <c r="G1961" s="23"/>
      <c r="H1961" s="22"/>
      <c r="I1961" s="23"/>
      <c r="J1961" s="23"/>
      <c r="K1961" s="23"/>
      <c r="L1961" s="32" t="s">
        <v>39</v>
      </c>
      <c r="M1961" s="33">
        <v>25</v>
      </c>
      <c r="N1961" s="33">
        <v>0</v>
      </c>
      <c r="O1961" s="33">
        <v>2</v>
      </c>
      <c r="P1961" s="32">
        <v>1</v>
      </c>
      <c r="Q1961" s="33">
        <v>1</v>
      </c>
      <c r="R1961" s="23"/>
      <c r="S1961" s="23"/>
      <c r="T1961" s="3">
        <v>0</v>
      </c>
      <c r="U1961" s="3">
        <v>1.481E-2</v>
      </c>
      <c r="V1961" s="3">
        <v>1.5259999999999999E-2</v>
      </c>
      <c r="Z1961" s="23"/>
      <c r="AA1961" s="23"/>
      <c r="AB1961" s="3" t="str">
        <f t="shared" si="15"/>
        <v>___</v>
      </c>
      <c r="AC1961" s="3" t="str">
        <f t="shared" si="14"/>
        <v>____</v>
      </c>
    </row>
    <row r="1962" spans="1:31" ht="14">
      <c r="A1962" s="23"/>
      <c r="B1962" s="32">
        <v>970</v>
      </c>
      <c r="C1962" s="32">
        <v>26</v>
      </c>
      <c r="D1962" s="23"/>
      <c r="E1962" s="23"/>
      <c r="F1962" s="23"/>
      <c r="G1962" s="32" t="s">
        <v>40</v>
      </c>
      <c r="H1962" s="33">
        <v>1</v>
      </c>
      <c r="I1962" s="32">
        <v>21.3</v>
      </c>
      <c r="J1962" s="32">
        <v>20.8</v>
      </c>
      <c r="K1962" s="23"/>
      <c r="L1962" s="32" t="s">
        <v>36</v>
      </c>
      <c r="M1962" s="33">
        <v>24</v>
      </c>
      <c r="N1962" s="33">
        <v>5</v>
      </c>
      <c r="O1962" s="33">
        <v>5</v>
      </c>
      <c r="P1962" s="23"/>
      <c r="Q1962" s="33">
        <v>0</v>
      </c>
      <c r="R1962" s="23"/>
      <c r="S1962" s="23"/>
      <c r="T1962" s="3">
        <v>1.26E-2</v>
      </c>
      <c r="U1962" s="3">
        <v>6.5500000000000003E-3</v>
      </c>
      <c r="V1962" s="3">
        <v>0</v>
      </c>
      <c r="Z1962" s="32" t="s">
        <v>254</v>
      </c>
      <c r="AA1962" s="23"/>
      <c r="AB1962" s="3" t="str">
        <f t="shared" si="15"/>
        <v>970_26__vm</v>
      </c>
      <c r="AC1962" s="3" t="str">
        <f t="shared" si="14"/>
        <v>970_26__vm_1</v>
      </c>
      <c r="AE1962" s="3" t="s">
        <v>37</v>
      </c>
    </row>
    <row r="1963" spans="1:31" ht="14">
      <c r="A1963" s="23"/>
      <c r="B1963" s="23"/>
      <c r="C1963" s="23"/>
      <c r="D1963" s="23"/>
      <c r="E1963" s="23"/>
      <c r="F1963" s="23"/>
      <c r="G1963" s="23"/>
      <c r="H1963" s="22"/>
      <c r="I1963" s="23"/>
      <c r="J1963" s="23"/>
      <c r="K1963" s="23"/>
      <c r="L1963" s="32" t="s">
        <v>38</v>
      </c>
      <c r="M1963" s="33">
        <v>51</v>
      </c>
      <c r="N1963" s="33">
        <v>0</v>
      </c>
      <c r="O1963" s="33">
        <v>4</v>
      </c>
      <c r="P1963" s="32">
        <v>1</v>
      </c>
      <c r="Q1963" s="33">
        <v>1</v>
      </c>
      <c r="R1963" s="23"/>
      <c r="S1963" s="23"/>
      <c r="U1963" s="3">
        <v>2.4209999999999999E-2</v>
      </c>
      <c r="V1963" s="3">
        <v>1.695E-2</v>
      </c>
      <c r="Z1963" s="23"/>
      <c r="AA1963" s="23"/>
      <c r="AB1963" s="3" t="str">
        <f t="shared" si="15"/>
        <v>___</v>
      </c>
      <c r="AC1963" s="3" t="str">
        <f t="shared" si="14"/>
        <v>____</v>
      </c>
    </row>
    <row r="1964" spans="1:31" ht="14">
      <c r="A1964" s="23"/>
      <c r="B1964" s="23"/>
      <c r="C1964" s="23"/>
      <c r="D1964" s="23"/>
      <c r="E1964" s="23"/>
      <c r="F1964" s="23"/>
      <c r="G1964" s="23"/>
      <c r="H1964" s="22"/>
      <c r="I1964" s="23"/>
      <c r="J1964" s="23"/>
      <c r="K1964" s="23"/>
      <c r="L1964" s="32" t="s">
        <v>39</v>
      </c>
      <c r="M1964" s="33">
        <v>58</v>
      </c>
      <c r="N1964" s="33">
        <v>0</v>
      </c>
      <c r="O1964" s="33">
        <v>2</v>
      </c>
      <c r="P1964" s="32">
        <v>4</v>
      </c>
      <c r="Q1964" s="33">
        <v>4</v>
      </c>
      <c r="R1964" s="23"/>
      <c r="S1964" s="23"/>
      <c r="U1964" s="3">
        <v>5.2359999999999997E-2</v>
      </c>
      <c r="V1964" s="3">
        <v>0.17385</v>
      </c>
      <c r="Z1964" s="23"/>
      <c r="AA1964" s="23"/>
      <c r="AB1964" s="3" t="str">
        <f t="shared" si="15"/>
        <v>___</v>
      </c>
      <c r="AC1964" s="3" t="str">
        <f t="shared" si="14"/>
        <v>____</v>
      </c>
    </row>
    <row r="1965" spans="1:31" ht="14">
      <c r="A1965" s="23"/>
      <c r="B1965" s="32">
        <v>970</v>
      </c>
      <c r="C1965" s="32">
        <v>26</v>
      </c>
      <c r="D1965" s="23"/>
      <c r="E1965" s="23"/>
      <c r="F1965" s="23"/>
      <c r="G1965" s="32" t="s">
        <v>40</v>
      </c>
      <c r="H1965" s="33">
        <v>2</v>
      </c>
      <c r="I1965" s="32">
        <v>23.8</v>
      </c>
      <c r="J1965" s="32">
        <v>26.7</v>
      </c>
      <c r="K1965" s="32">
        <v>6</v>
      </c>
      <c r="L1965" s="32" t="s">
        <v>36</v>
      </c>
      <c r="M1965" s="33">
        <v>57</v>
      </c>
      <c r="N1965" s="33">
        <v>8</v>
      </c>
      <c r="O1965" s="33">
        <v>8</v>
      </c>
      <c r="P1965" s="23"/>
      <c r="Q1965" s="33">
        <v>0</v>
      </c>
      <c r="R1965" s="23"/>
      <c r="S1965" s="23"/>
      <c r="T1965" s="3">
        <v>4.6960000000000002E-2</v>
      </c>
      <c r="U1965" s="3">
        <v>2.896E-2</v>
      </c>
      <c r="V1965" s="3">
        <v>0</v>
      </c>
      <c r="W1965" s="3">
        <v>3.2390000000000002E-2</v>
      </c>
      <c r="X1965" s="3"/>
      <c r="Z1965" s="23"/>
      <c r="AA1965" s="23"/>
      <c r="AB1965" s="3" t="str">
        <f t="shared" si="15"/>
        <v>970_26__vm</v>
      </c>
      <c r="AC1965" s="3" t="str">
        <f t="shared" si="14"/>
        <v>970_26__vm_2</v>
      </c>
      <c r="AE1965" s="3" t="s">
        <v>37</v>
      </c>
    </row>
    <row r="1966" spans="1:31" ht="14">
      <c r="A1966" s="23"/>
      <c r="B1966" s="23"/>
      <c r="C1966" s="23"/>
      <c r="D1966" s="23"/>
      <c r="E1966" s="23"/>
      <c r="F1966" s="23"/>
      <c r="G1966" s="23"/>
      <c r="H1966" s="22"/>
      <c r="I1966" s="23"/>
      <c r="J1966" s="23"/>
      <c r="K1966" s="23"/>
      <c r="L1966" s="32" t="s">
        <v>38</v>
      </c>
      <c r="M1966" s="33">
        <v>83</v>
      </c>
      <c r="N1966" s="33">
        <v>0</v>
      </c>
      <c r="O1966" s="33">
        <v>5</v>
      </c>
      <c r="P1966" s="32">
        <v>4</v>
      </c>
      <c r="Q1966" s="33">
        <v>3</v>
      </c>
      <c r="R1966" s="23"/>
      <c r="S1966" s="23"/>
      <c r="T1966" s="3"/>
      <c r="U1966" s="3">
        <v>8.7620000000000003E-2</v>
      </c>
      <c r="V1966" s="3">
        <v>0.14216000000000001</v>
      </c>
      <c r="W1966" s="3"/>
      <c r="X1966" s="3"/>
      <c r="Z1966" s="23"/>
      <c r="AA1966" s="23"/>
      <c r="AB1966" s="3" t="str">
        <f t="shared" si="15"/>
        <v>___</v>
      </c>
      <c r="AC1966" s="3" t="str">
        <f t="shared" si="14"/>
        <v>____</v>
      </c>
    </row>
    <row r="1967" spans="1:31" ht="14">
      <c r="A1967" s="23"/>
      <c r="B1967" s="23"/>
      <c r="C1967" s="23"/>
      <c r="D1967" s="23"/>
      <c r="E1967" s="23"/>
      <c r="F1967" s="23"/>
      <c r="G1967" s="23"/>
      <c r="H1967" s="22"/>
      <c r="I1967" s="23"/>
      <c r="J1967" s="23"/>
      <c r="K1967" s="23"/>
      <c r="L1967" s="32" t="s">
        <v>39</v>
      </c>
      <c r="M1967" s="33">
        <v>94</v>
      </c>
      <c r="N1967" s="33">
        <v>0</v>
      </c>
      <c r="O1967" s="33">
        <v>6</v>
      </c>
      <c r="P1967" s="32">
        <v>3</v>
      </c>
      <c r="Q1967" s="33">
        <v>1</v>
      </c>
      <c r="R1967" s="23"/>
      <c r="S1967" s="23"/>
      <c r="T1967" s="3"/>
      <c r="U1967" s="3">
        <v>0.15440000000000001</v>
      </c>
      <c r="V1967" s="3">
        <v>0.28161000000000003</v>
      </c>
      <c r="W1967" s="3"/>
      <c r="X1967" s="3"/>
      <c r="Z1967" s="23"/>
      <c r="AA1967" s="23"/>
      <c r="AB1967" s="3" t="str">
        <f t="shared" si="15"/>
        <v>___</v>
      </c>
      <c r="AC1967" s="3" t="str">
        <f t="shared" si="14"/>
        <v>____</v>
      </c>
    </row>
    <row r="1968" spans="1:31" ht="14">
      <c r="A1968" s="23"/>
      <c r="B1968" s="32">
        <v>970</v>
      </c>
      <c r="C1968" s="32">
        <v>26</v>
      </c>
      <c r="D1968" s="23"/>
      <c r="E1968" s="23"/>
      <c r="F1968" s="23"/>
      <c r="G1968" s="32" t="s">
        <v>40</v>
      </c>
      <c r="H1968" s="33">
        <v>3</v>
      </c>
      <c r="I1968" s="32">
        <v>26</v>
      </c>
      <c r="J1968" s="32">
        <v>32.4</v>
      </c>
      <c r="K1968" s="32">
        <v>6</v>
      </c>
      <c r="L1968" s="32" t="s">
        <v>36</v>
      </c>
      <c r="M1968" s="33">
        <v>73</v>
      </c>
      <c r="N1968" s="33">
        <v>8</v>
      </c>
      <c r="O1968" s="33">
        <v>8</v>
      </c>
      <c r="P1968" s="32">
        <v>0</v>
      </c>
      <c r="Q1968" s="33">
        <v>0</v>
      </c>
      <c r="R1968" s="32">
        <v>1</v>
      </c>
      <c r="S1968" s="23"/>
      <c r="T1968" s="3">
        <v>8.5589999999999999E-2</v>
      </c>
      <c r="U1968" s="3">
        <v>5.5289999999999999E-2</v>
      </c>
      <c r="V1968" s="3">
        <v>0</v>
      </c>
      <c r="W1968" s="3">
        <v>4.2560000000000001E-2</v>
      </c>
      <c r="X1968" s="3"/>
      <c r="Z1968" s="32" t="s">
        <v>255</v>
      </c>
      <c r="AA1968" s="23"/>
      <c r="AB1968" s="3" t="str">
        <f t="shared" si="15"/>
        <v>970_26__vm</v>
      </c>
      <c r="AC1968" s="3" t="str">
        <f t="shared" si="14"/>
        <v>970_26__vm_3</v>
      </c>
      <c r="AE1968" s="3" t="s">
        <v>37</v>
      </c>
    </row>
    <row r="1969" spans="1:31" ht="14">
      <c r="A1969" s="23"/>
      <c r="B1969" s="23"/>
      <c r="C1969" s="23"/>
      <c r="D1969" s="23"/>
      <c r="E1969" s="23"/>
      <c r="F1969" s="23"/>
      <c r="G1969" s="23"/>
      <c r="H1969" s="22"/>
      <c r="I1969" s="23"/>
      <c r="J1969" s="23"/>
      <c r="K1969" s="23"/>
      <c r="L1969" s="32" t="s">
        <v>38</v>
      </c>
      <c r="M1969" s="33">
        <v>78</v>
      </c>
      <c r="N1969" s="33">
        <v>0</v>
      </c>
      <c r="O1969" s="22"/>
      <c r="P1969" s="32">
        <v>5</v>
      </c>
      <c r="Q1969" s="33">
        <v>3</v>
      </c>
      <c r="R1969" s="23"/>
      <c r="S1969" s="23"/>
      <c r="T1969" s="3">
        <v>0</v>
      </c>
      <c r="U1969" s="3">
        <v>0.12028999999999999</v>
      </c>
      <c r="V1969" s="3">
        <v>0.22856000000000001</v>
      </c>
      <c r="Z1969" s="23"/>
      <c r="AA1969" s="23"/>
      <c r="AB1969" s="3" t="str">
        <f t="shared" si="15"/>
        <v>___</v>
      </c>
      <c r="AC1969" s="3" t="str">
        <f t="shared" si="14"/>
        <v>____</v>
      </c>
    </row>
    <row r="1970" spans="1:31" ht="14">
      <c r="A1970" s="23"/>
      <c r="B1970" s="23"/>
      <c r="C1970" s="23"/>
      <c r="D1970" s="23"/>
      <c r="E1970" s="23"/>
      <c r="F1970" s="23"/>
      <c r="G1970" s="23"/>
      <c r="H1970" s="22"/>
      <c r="I1970" s="23"/>
      <c r="J1970" s="23"/>
      <c r="K1970" s="23"/>
      <c r="L1970" s="32" t="s">
        <v>39</v>
      </c>
      <c r="M1970" s="33">
        <v>66</v>
      </c>
      <c r="N1970" s="33">
        <v>0</v>
      </c>
      <c r="O1970" s="33">
        <v>3</v>
      </c>
      <c r="P1970" s="32">
        <v>3</v>
      </c>
      <c r="Q1970" s="33">
        <v>1</v>
      </c>
      <c r="R1970" s="23"/>
      <c r="S1970" s="23"/>
      <c r="T1970" s="3">
        <v>0</v>
      </c>
      <c r="U1970" s="3">
        <v>0.13396</v>
      </c>
      <c r="V1970" s="3">
        <v>0.1782</v>
      </c>
      <c r="Z1970" s="32" t="s">
        <v>256</v>
      </c>
      <c r="AA1970" s="23"/>
      <c r="AB1970" s="3" t="str">
        <f t="shared" si="15"/>
        <v>___</v>
      </c>
      <c r="AC1970" s="3" t="str">
        <f t="shared" si="14"/>
        <v>____</v>
      </c>
    </row>
    <row r="1971" spans="1:31" ht="14">
      <c r="A1971" s="23"/>
      <c r="B1971" s="32">
        <v>970</v>
      </c>
      <c r="C1971" s="32">
        <v>42</v>
      </c>
      <c r="D1971" s="23"/>
      <c r="E1971" s="23"/>
      <c r="F1971" s="23"/>
      <c r="G1971" s="32" t="s">
        <v>35</v>
      </c>
      <c r="H1971" s="33">
        <v>1</v>
      </c>
      <c r="I1971" s="32">
        <v>12</v>
      </c>
      <c r="J1971" s="32">
        <v>9.3000000000000007</v>
      </c>
      <c r="K1971" s="32">
        <v>4</v>
      </c>
      <c r="L1971" s="32" t="s">
        <v>36</v>
      </c>
      <c r="M1971" s="33">
        <v>29</v>
      </c>
      <c r="N1971" s="33">
        <v>12</v>
      </c>
      <c r="O1971" s="33">
        <v>12</v>
      </c>
      <c r="P1971" s="23"/>
      <c r="Q1971" s="33">
        <v>0</v>
      </c>
      <c r="R1971" s="23"/>
      <c r="S1971" s="23"/>
      <c r="T1971" s="3">
        <v>6.9589999999999999E-2</v>
      </c>
      <c r="U1971" s="3">
        <v>9.1599999999999997E-3</v>
      </c>
      <c r="V1971" s="3">
        <v>0</v>
      </c>
      <c r="Z1971" s="23"/>
      <c r="AA1971" s="23"/>
      <c r="AB1971" s="3" t="str">
        <f t="shared" si="15"/>
        <v>970_42__vv</v>
      </c>
      <c r="AC1971" s="3" t="str">
        <f t="shared" si="14"/>
        <v>970_42__vv_1</v>
      </c>
      <c r="AE1971" s="3" t="s">
        <v>37</v>
      </c>
    </row>
    <row r="1972" spans="1:31" ht="14">
      <c r="A1972" s="23"/>
      <c r="B1972" s="23"/>
      <c r="C1972" s="23"/>
      <c r="D1972" s="23"/>
      <c r="E1972" s="23"/>
      <c r="F1972" s="23"/>
      <c r="G1972" s="23"/>
      <c r="H1972" s="22"/>
      <c r="I1972" s="23"/>
      <c r="J1972" s="23"/>
      <c r="K1972" s="23"/>
      <c r="L1972" s="32" t="s">
        <v>38</v>
      </c>
      <c r="M1972" s="33">
        <v>36</v>
      </c>
      <c r="N1972" s="33">
        <v>9</v>
      </c>
      <c r="O1972" s="33">
        <v>13</v>
      </c>
      <c r="P1972" s="23"/>
      <c r="Q1972" s="33">
        <v>0</v>
      </c>
      <c r="R1972" s="23"/>
      <c r="S1972" s="23"/>
      <c r="T1972" s="3">
        <v>8.473E-2</v>
      </c>
      <c r="U1972" s="3">
        <v>1.924E-2</v>
      </c>
      <c r="V1972" s="3">
        <v>0</v>
      </c>
      <c r="Z1972" s="23"/>
      <c r="AA1972" s="23"/>
      <c r="AB1972" s="3" t="str">
        <f t="shared" si="15"/>
        <v>___</v>
      </c>
      <c r="AC1972" s="3" t="str">
        <f t="shared" si="14"/>
        <v>____</v>
      </c>
    </row>
    <row r="1973" spans="1:31" ht="14">
      <c r="A1973" s="23"/>
      <c r="B1973" s="23"/>
      <c r="C1973" s="23"/>
      <c r="D1973" s="23"/>
      <c r="E1973" s="23"/>
      <c r="F1973" s="23"/>
      <c r="G1973" s="23"/>
      <c r="H1973" s="22"/>
      <c r="I1973" s="23"/>
      <c r="J1973" s="23"/>
      <c r="K1973" s="23"/>
      <c r="L1973" s="32" t="s">
        <v>39</v>
      </c>
      <c r="M1973" s="33">
        <v>22</v>
      </c>
      <c r="N1973" s="33">
        <v>5</v>
      </c>
      <c r="O1973" s="33">
        <v>7</v>
      </c>
      <c r="P1973" s="23"/>
      <c r="Q1973" s="22"/>
      <c r="R1973" s="23"/>
      <c r="S1973" s="23"/>
      <c r="T1973" s="3">
        <v>2.0619999999999999E-2</v>
      </c>
      <c r="U1973" s="3">
        <v>1.2149999999999999E-2</v>
      </c>
      <c r="V1973" s="3">
        <v>0</v>
      </c>
      <c r="Z1973" s="23"/>
      <c r="AA1973" s="23"/>
      <c r="AB1973" s="3" t="str">
        <f t="shared" si="15"/>
        <v>___</v>
      </c>
      <c r="AC1973" s="3" t="str">
        <f t="shared" si="14"/>
        <v>____</v>
      </c>
    </row>
    <row r="1974" spans="1:31" ht="14">
      <c r="A1974" s="23"/>
      <c r="B1974" s="32">
        <v>970</v>
      </c>
      <c r="C1974" s="32">
        <v>42</v>
      </c>
      <c r="D1974" s="23"/>
      <c r="E1974" s="23"/>
      <c r="F1974" s="23"/>
      <c r="G1974" s="32" t="s">
        <v>35</v>
      </c>
      <c r="H1974" s="33">
        <v>2</v>
      </c>
      <c r="I1974" s="32">
        <v>21</v>
      </c>
      <c r="J1974" s="32">
        <v>24</v>
      </c>
      <c r="K1974" s="32">
        <v>4</v>
      </c>
      <c r="L1974" s="32" t="s">
        <v>36</v>
      </c>
      <c r="M1974" s="33">
        <v>40</v>
      </c>
      <c r="N1974" s="33">
        <v>14</v>
      </c>
      <c r="O1974" s="33">
        <v>15</v>
      </c>
      <c r="P1974" s="23"/>
      <c r="Q1974" s="33">
        <v>0</v>
      </c>
      <c r="R1974" s="23"/>
      <c r="S1974" s="23"/>
      <c r="T1974" s="3">
        <v>0.15565999999999999</v>
      </c>
      <c r="U1974" s="3">
        <v>2.0029999999999999E-2</v>
      </c>
      <c r="V1974" s="3">
        <v>0</v>
      </c>
      <c r="Z1974" s="23"/>
      <c r="AA1974" s="23"/>
      <c r="AB1974" s="3" t="str">
        <f t="shared" si="15"/>
        <v>970_42__vv</v>
      </c>
      <c r="AC1974" s="3" t="str">
        <f t="shared" si="14"/>
        <v>970_42__vv_2</v>
      </c>
      <c r="AE1974" s="3" t="s">
        <v>37</v>
      </c>
    </row>
    <row r="1975" spans="1:31" ht="14">
      <c r="A1975" s="23"/>
      <c r="B1975" s="23"/>
      <c r="C1975" s="23"/>
      <c r="D1975" s="23"/>
      <c r="E1975" s="23"/>
      <c r="F1975" s="23"/>
      <c r="G1975" s="23"/>
      <c r="H1975" s="22"/>
      <c r="I1975" s="23"/>
      <c r="J1975" s="23"/>
      <c r="K1975" s="23"/>
      <c r="L1975" s="32" t="s">
        <v>38</v>
      </c>
      <c r="M1975" s="33">
        <v>73</v>
      </c>
      <c r="N1975" s="33">
        <v>12</v>
      </c>
      <c r="O1975" s="33">
        <v>15</v>
      </c>
      <c r="P1975" s="23"/>
      <c r="Q1975" s="33">
        <v>0</v>
      </c>
      <c r="R1975" s="23"/>
      <c r="S1975" s="23"/>
      <c r="T1975" s="3">
        <v>0.27906999999999998</v>
      </c>
      <c r="U1975" s="3">
        <v>6.8190000000000001E-2</v>
      </c>
      <c r="V1975" s="3">
        <v>0</v>
      </c>
      <c r="Z1975" s="23"/>
      <c r="AA1975" s="23"/>
      <c r="AB1975" s="3" t="str">
        <f t="shared" si="15"/>
        <v>___</v>
      </c>
      <c r="AC1975" s="3" t="str">
        <f t="shared" si="14"/>
        <v>____</v>
      </c>
    </row>
    <row r="1976" spans="1:31" ht="14">
      <c r="A1976" s="23"/>
      <c r="B1976" s="23"/>
      <c r="C1976" s="23"/>
      <c r="D1976" s="23"/>
      <c r="E1976" s="23"/>
      <c r="F1976" s="23"/>
      <c r="G1976" s="23"/>
      <c r="H1976" s="22"/>
      <c r="I1976" s="23"/>
      <c r="J1976" s="23"/>
      <c r="K1976" s="23"/>
      <c r="L1976" s="32" t="s">
        <v>39</v>
      </c>
      <c r="M1976" s="33">
        <v>65</v>
      </c>
      <c r="N1976" s="33">
        <v>11</v>
      </c>
      <c r="O1976" s="33">
        <v>15</v>
      </c>
      <c r="P1976" s="23"/>
      <c r="Q1976" s="33">
        <v>0</v>
      </c>
      <c r="R1976" s="23"/>
      <c r="S1976" s="23"/>
      <c r="T1976" s="3">
        <v>0.17355000000000001</v>
      </c>
      <c r="U1976" s="3">
        <v>7.9689999999999997E-2</v>
      </c>
      <c r="V1976" s="3">
        <v>0</v>
      </c>
      <c r="Z1976" s="23"/>
      <c r="AA1976" s="23"/>
      <c r="AB1976" s="3" t="str">
        <f t="shared" si="15"/>
        <v>___</v>
      </c>
      <c r="AC1976" s="3" t="str">
        <f t="shared" si="14"/>
        <v>____</v>
      </c>
    </row>
    <row r="1977" spans="1:31" ht="14">
      <c r="A1977" s="23"/>
      <c r="B1977" s="32">
        <v>970</v>
      </c>
      <c r="C1977" s="32">
        <v>42</v>
      </c>
      <c r="D1977" s="23"/>
      <c r="E1977" s="23"/>
      <c r="F1977" s="23"/>
      <c r="G1977" s="32" t="s">
        <v>35</v>
      </c>
      <c r="H1977" s="33">
        <v>3</v>
      </c>
      <c r="I1977" s="32">
        <v>17.8</v>
      </c>
      <c r="J1977" s="32">
        <v>17.3</v>
      </c>
      <c r="K1977" s="32">
        <v>3</v>
      </c>
      <c r="L1977" s="32" t="s">
        <v>36</v>
      </c>
      <c r="M1977" s="33">
        <v>73</v>
      </c>
      <c r="N1977" s="33">
        <v>15</v>
      </c>
      <c r="O1977" s="33">
        <v>18</v>
      </c>
      <c r="P1977" s="23"/>
      <c r="Q1977" s="33">
        <v>0</v>
      </c>
      <c r="R1977" s="23"/>
      <c r="S1977" s="23"/>
      <c r="T1977" s="3">
        <v>0.15570000000000001</v>
      </c>
      <c r="U1977" s="3">
        <v>3.4419999999999999E-2</v>
      </c>
      <c r="V1977" s="3">
        <v>0</v>
      </c>
      <c r="Z1977" s="23"/>
      <c r="AA1977" s="23"/>
      <c r="AB1977" s="3" t="str">
        <f t="shared" si="15"/>
        <v>970_42__vv</v>
      </c>
      <c r="AC1977" s="3" t="str">
        <f t="shared" si="14"/>
        <v>970_42__vv_3</v>
      </c>
      <c r="AE1977" s="3" t="s">
        <v>37</v>
      </c>
    </row>
    <row r="1978" spans="1:31" ht="14">
      <c r="A1978" s="23"/>
      <c r="B1978" s="23"/>
      <c r="C1978" s="23"/>
      <c r="D1978" s="23"/>
      <c r="E1978" s="23"/>
      <c r="F1978" s="23"/>
      <c r="G1978" s="23"/>
      <c r="H1978" s="22"/>
      <c r="I1978" s="23"/>
      <c r="J1978" s="23"/>
      <c r="K1978" s="23"/>
      <c r="L1978" s="32" t="s">
        <v>38</v>
      </c>
      <c r="M1978" s="33">
        <v>56</v>
      </c>
      <c r="N1978" s="33">
        <v>8</v>
      </c>
      <c r="O1978" s="33">
        <v>9</v>
      </c>
      <c r="P1978" s="23"/>
      <c r="Q1978" s="33">
        <v>0</v>
      </c>
      <c r="R1978" s="23"/>
      <c r="S1978" s="23"/>
      <c r="T1978" s="3">
        <v>6.0249999999999998E-2</v>
      </c>
      <c r="U1978" s="3">
        <v>4.2279999999999998E-2</v>
      </c>
      <c r="V1978" s="3">
        <v>0</v>
      </c>
      <c r="Z1978" s="23"/>
      <c r="AA1978" s="23"/>
      <c r="AB1978" s="3" t="str">
        <f t="shared" si="15"/>
        <v>___</v>
      </c>
      <c r="AC1978" s="3" t="str">
        <f t="shared" si="14"/>
        <v>____</v>
      </c>
    </row>
    <row r="1979" spans="1:31" ht="14">
      <c r="A1979" s="23"/>
      <c r="B1979" s="23"/>
      <c r="C1979" s="23"/>
      <c r="D1979" s="23"/>
      <c r="E1979" s="23"/>
      <c r="F1979" s="23"/>
      <c r="G1979" s="23"/>
      <c r="H1979" s="22"/>
      <c r="I1979" s="23"/>
      <c r="J1979" s="23"/>
      <c r="K1979" s="23"/>
      <c r="L1979" s="32" t="s">
        <v>39</v>
      </c>
      <c r="M1979" s="33">
        <v>45</v>
      </c>
      <c r="N1979" s="33">
        <v>0</v>
      </c>
      <c r="O1979" s="33">
        <v>5</v>
      </c>
      <c r="P1979" s="23"/>
      <c r="Q1979" s="33">
        <v>0</v>
      </c>
      <c r="R1979" s="23"/>
      <c r="S1979" s="23"/>
      <c r="T1979" s="3">
        <v>0</v>
      </c>
      <c r="U1979" s="3">
        <v>3.338E-2</v>
      </c>
      <c r="V1979" s="3">
        <v>0</v>
      </c>
      <c r="Z1979" s="23"/>
      <c r="AA1979" s="23"/>
      <c r="AB1979" s="3" t="str">
        <f t="shared" si="15"/>
        <v>___</v>
      </c>
      <c r="AC1979" s="3" t="str">
        <f t="shared" si="14"/>
        <v>____</v>
      </c>
    </row>
    <row r="1980" spans="1:31" ht="14">
      <c r="A1980" s="23"/>
      <c r="B1980" s="32"/>
      <c r="C1980" s="32" t="s">
        <v>257</v>
      </c>
      <c r="D1980" s="32" t="s">
        <v>81</v>
      </c>
      <c r="E1980" s="23"/>
      <c r="F1980" s="23"/>
      <c r="G1980" s="32" t="s">
        <v>35</v>
      </c>
      <c r="H1980" s="33">
        <v>1</v>
      </c>
      <c r="I1980" s="32">
        <v>12.5</v>
      </c>
      <c r="J1980" s="32">
        <v>13.1</v>
      </c>
      <c r="K1980" s="32">
        <v>3</v>
      </c>
      <c r="L1980" s="32" t="s">
        <v>36</v>
      </c>
      <c r="M1980" s="33">
        <v>56</v>
      </c>
      <c r="N1980" s="33">
        <v>8</v>
      </c>
      <c r="O1980" s="33">
        <v>13</v>
      </c>
      <c r="P1980" s="32">
        <v>0</v>
      </c>
      <c r="Q1980" s="33">
        <v>0</v>
      </c>
      <c r="R1980" s="32">
        <v>0</v>
      </c>
      <c r="S1980" s="32"/>
      <c r="Z1980" s="23"/>
      <c r="AA1980" s="23"/>
      <c r="AB1980" s="3" t="str">
        <f t="shared" si="15"/>
        <v>_MK16_1__vv</v>
      </c>
      <c r="AC1980" s="3" t="str">
        <f t="shared" si="14"/>
        <v>_MK16_1__vv_1</v>
      </c>
      <c r="AD1980" s="3" t="s">
        <v>37</v>
      </c>
    </row>
    <row r="1981" spans="1:31" ht="14">
      <c r="A1981" s="23"/>
      <c r="B1981" s="23"/>
      <c r="C1981" s="23"/>
      <c r="D1981" s="23"/>
      <c r="E1981" s="23"/>
      <c r="F1981" s="23"/>
      <c r="G1981" s="23"/>
      <c r="H1981" s="22"/>
      <c r="I1981" s="23"/>
      <c r="J1981" s="23"/>
      <c r="K1981" s="23"/>
      <c r="L1981" s="32" t="s">
        <v>38</v>
      </c>
      <c r="M1981" s="33">
        <v>36</v>
      </c>
      <c r="N1981" s="33">
        <v>5</v>
      </c>
      <c r="O1981" s="33">
        <v>6</v>
      </c>
      <c r="P1981" s="32">
        <v>0</v>
      </c>
      <c r="Q1981" s="33">
        <v>0</v>
      </c>
      <c r="R1981" s="23"/>
      <c r="S1981" s="23"/>
      <c r="Z1981" s="23"/>
      <c r="AA1981" s="23"/>
      <c r="AB1981" s="3" t="str">
        <f t="shared" si="15"/>
        <v>___</v>
      </c>
      <c r="AC1981" s="3" t="str">
        <f t="shared" si="14"/>
        <v>____</v>
      </c>
    </row>
    <row r="1982" spans="1:31" ht="14">
      <c r="A1982" s="23"/>
      <c r="B1982" s="23"/>
      <c r="C1982" s="23"/>
      <c r="D1982" s="23"/>
      <c r="E1982" s="23"/>
      <c r="F1982" s="23"/>
      <c r="G1982" s="23"/>
      <c r="H1982" s="22"/>
      <c r="I1982" s="23"/>
      <c r="J1982" s="23"/>
      <c r="K1982" s="23"/>
      <c r="L1982" s="32" t="s">
        <v>39</v>
      </c>
      <c r="M1982" s="33">
        <v>34</v>
      </c>
      <c r="N1982" s="33">
        <v>0</v>
      </c>
      <c r="O1982" s="33">
        <v>5</v>
      </c>
      <c r="P1982" s="32">
        <v>0</v>
      </c>
      <c r="Q1982" s="33">
        <v>0</v>
      </c>
      <c r="R1982" s="23"/>
      <c r="S1982" s="23"/>
      <c r="Z1982" s="23"/>
      <c r="AA1982" s="23"/>
      <c r="AB1982" s="3" t="str">
        <f t="shared" si="15"/>
        <v>___</v>
      </c>
      <c r="AC1982" s="3" t="str">
        <f t="shared" si="14"/>
        <v>____</v>
      </c>
    </row>
    <row r="1983" spans="1:31" ht="14">
      <c r="A1983" s="23"/>
      <c r="B1983" s="23"/>
      <c r="C1983" s="32" t="s">
        <v>258</v>
      </c>
      <c r="D1983" s="32" t="s">
        <v>81</v>
      </c>
      <c r="E1983" s="23"/>
      <c r="F1983" s="23"/>
      <c r="G1983" s="32" t="s">
        <v>35</v>
      </c>
      <c r="H1983" s="33">
        <v>2</v>
      </c>
      <c r="I1983" s="32">
        <v>15.7</v>
      </c>
      <c r="J1983" s="32">
        <v>13.3</v>
      </c>
      <c r="K1983" s="32">
        <v>3</v>
      </c>
      <c r="L1983" s="32" t="s">
        <v>36</v>
      </c>
      <c r="M1983" s="33">
        <v>65</v>
      </c>
      <c r="N1983" s="33">
        <v>9</v>
      </c>
      <c r="O1983" s="33">
        <v>13</v>
      </c>
      <c r="P1983" s="32">
        <v>0</v>
      </c>
      <c r="Q1983" s="22"/>
      <c r="R1983" s="23"/>
      <c r="S1983" s="23"/>
      <c r="Z1983" s="23"/>
      <c r="AA1983" s="23"/>
      <c r="AB1983" s="3" t="str">
        <f t="shared" si="15"/>
        <v>_MK16_2__vv</v>
      </c>
      <c r="AC1983" s="3" t="str">
        <f t="shared" si="14"/>
        <v>_MK16_2__vv_2</v>
      </c>
      <c r="AD1983" s="3" t="s">
        <v>37</v>
      </c>
    </row>
    <row r="1984" spans="1:31" ht="14">
      <c r="A1984" s="23"/>
      <c r="B1984" s="23"/>
      <c r="C1984" s="23"/>
      <c r="D1984" s="23"/>
      <c r="E1984" s="23"/>
      <c r="F1984" s="23"/>
      <c r="G1984" s="23"/>
      <c r="H1984" s="22"/>
      <c r="I1984" s="23"/>
      <c r="J1984" s="23"/>
      <c r="K1984" s="23"/>
      <c r="L1984" s="32" t="s">
        <v>38</v>
      </c>
      <c r="M1984" s="33">
        <v>46</v>
      </c>
      <c r="N1984" s="33">
        <v>3</v>
      </c>
      <c r="O1984" s="33">
        <v>9</v>
      </c>
      <c r="P1984" s="32">
        <v>1</v>
      </c>
      <c r="Q1984" s="33">
        <v>1</v>
      </c>
      <c r="R1984" s="23"/>
      <c r="S1984" s="23"/>
      <c r="Z1984" s="23"/>
      <c r="AA1984" s="23"/>
      <c r="AB1984" s="3" t="str">
        <f t="shared" si="15"/>
        <v>___</v>
      </c>
      <c r="AC1984" s="3" t="str">
        <f t="shared" si="14"/>
        <v>____</v>
      </c>
    </row>
    <row r="1985" spans="1:30" ht="14">
      <c r="A1985" s="23"/>
      <c r="B1985" s="23"/>
      <c r="C1985" s="23"/>
      <c r="D1985" s="23"/>
      <c r="E1985" s="23"/>
      <c r="F1985" s="23"/>
      <c r="G1985" s="23"/>
      <c r="H1985" s="22"/>
      <c r="I1985" s="23"/>
      <c r="J1985" s="23"/>
      <c r="K1985" s="23"/>
      <c r="L1985" s="32" t="s">
        <v>39</v>
      </c>
      <c r="M1985" s="33">
        <v>30</v>
      </c>
      <c r="N1985" s="33">
        <v>1</v>
      </c>
      <c r="O1985" s="33">
        <v>4</v>
      </c>
      <c r="P1985" s="32">
        <v>1</v>
      </c>
      <c r="Q1985" s="33">
        <v>1</v>
      </c>
      <c r="R1985" s="23"/>
      <c r="S1985" s="23"/>
      <c r="Z1985" s="23"/>
      <c r="AA1985" s="23"/>
      <c r="AB1985" s="3" t="str">
        <f t="shared" si="15"/>
        <v>___</v>
      </c>
      <c r="AC1985" s="3" t="str">
        <f t="shared" si="14"/>
        <v>____</v>
      </c>
    </row>
    <row r="1986" spans="1:30" ht="14">
      <c r="A1986" s="23"/>
      <c r="B1986" s="23"/>
      <c r="C1986" s="32" t="s">
        <v>258</v>
      </c>
      <c r="D1986" s="32" t="s">
        <v>81</v>
      </c>
      <c r="E1986" s="23"/>
      <c r="F1986" s="23"/>
      <c r="G1986" s="32" t="s">
        <v>35</v>
      </c>
      <c r="H1986" s="33">
        <v>2</v>
      </c>
      <c r="I1986" s="32">
        <v>15.7</v>
      </c>
      <c r="J1986" s="32">
        <v>13.3</v>
      </c>
      <c r="K1986" s="32">
        <v>4</v>
      </c>
      <c r="L1986" s="32" t="s">
        <v>36</v>
      </c>
      <c r="M1986" s="33">
        <v>20</v>
      </c>
      <c r="N1986" s="33">
        <v>2</v>
      </c>
      <c r="O1986" s="33">
        <v>8</v>
      </c>
      <c r="P1986" s="32">
        <v>0</v>
      </c>
      <c r="Q1986" s="33"/>
      <c r="R1986" s="23"/>
      <c r="S1986" s="23"/>
      <c r="Z1986" s="23"/>
      <c r="AA1986" s="23"/>
      <c r="AD1986" s="3" t="s">
        <v>37</v>
      </c>
    </row>
    <row r="1987" spans="1:30" ht="14">
      <c r="A1987" s="23"/>
      <c r="B1987" s="23"/>
      <c r="C1987" s="23"/>
      <c r="D1987" s="23"/>
      <c r="E1987" s="23"/>
      <c r="F1987" s="23"/>
      <c r="G1987" s="23"/>
      <c r="H1987" s="22"/>
      <c r="I1987" s="23"/>
      <c r="J1987" s="23"/>
      <c r="K1987" s="23"/>
      <c r="L1987" s="32" t="s">
        <v>38</v>
      </c>
      <c r="M1987" s="33">
        <v>23</v>
      </c>
      <c r="N1987" s="33">
        <v>2</v>
      </c>
      <c r="O1987" s="33">
        <v>11</v>
      </c>
      <c r="P1987" s="32">
        <v>0</v>
      </c>
      <c r="Q1987" s="33"/>
      <c r="R1987" s="23"/>
      <c r="S1987" s="23"/>
      <c r="Z1987" s="23"/>
      <c r="AA1987" s="23"/>
    </row>
    <row r="1988" spans="1:30" ht="14">
      <c r="A1988" s="23"/>
      <c r="B1988" s="23"/>
      <c r="C1988" s="23"/>
      <c r="D1988" s="23"/>
      <c r="E1988" s="23"/>
      <c r="F1988" s="23"/>
      <c r="G1988" s="23"/>
      <c r="H1988" s="22"/>
      <c r="I1988" s="23"/>
      <c r="J1988" s="23"/>
      <c r="K1988" s="23"/>
      <c r="L1988" s="32" t="s">
        <v>39</v>
      </c>
      <c r="M1988" s="33">
        <v>46</v>
      </c>
      <c r="N1988" s="33">
        <v>3</v>
      </c>
      <c r="O1988" s="33">
        <v>9</v>
      </c>
      <c r="P1988" s="32">
        <v>1</v>
      </c>
      <c r="Q1988" s="33">
        <v>1</v>
      </c>
      <c r="R1988" s="23"/>
      <c r="S1988" s="23"/>
      <c r="Z1988" s="23"/>
      <c r="AA1988" s="23"/>
    </row>
    <row r="1989" spans="1:30" ht="14">
      <c r="A1989" s="23"/>
      <c r="B1989" s="23"/>
      <c r="C1989" s="32" t="s">
        <v>259</v>
      </c>
      <c r="D1989" s="32" t="s">
        <v>81</v>
      </c>
      <c r="E1989" s="23"/>
      <c r="F1989" s="23"/>
      <c r="G1989" s="32" t="s">
        <v>35</v>
      </c>
      <c r="H1989" s="33">
        <v>3</v>
      </c>
      <c r="I1989" s="32">
        <v>16.5</v>
      </c>
      <c r="J1989" s="32">
        <v>18.600000000000001</v>
      </c>
      <c r="K1989" s="32">
        <v>4</v>
      </c>
      <c r="L1989" s="32" t="s">
        <v>36</v>
      </c>
      <c r="M1989" s="33">
        <v>42</v>
      </c>
      <c r="N1989" s="33">
        <v>10</v>
      </c>
      <c r="O1989" s="33">
        <v>10</v>
      </c>
      <c r="Q1989" s="32">
        <v>0</v>
      </c>
      <c r="R1989" s="23"/>
      <c r="S1989" s="23"/>
      <c r="Z1989" s="23"/>
      <c r="AA1989" s="23"/>
      <c r="AB1989" s="3" t="str">
        <f t="shared" ref="AB1989:AB2158" si="16">CONCATENATE(B1989, "_",C1989,"_",F1989,"_",G1989)</f>
        <v>_MK16_3__vv</v>
      </c>
      <c r="AC1989" s="3" t="str">
        <f t="shared" ref="AC1989:AC2111" si="17">CONCATENATE(B1989,"_",C1989,"_",F1989,"_",G1989,"_",H1989)</f>
        <v>_MK16_3__vv_3</v>
      </c>
      <c r="AD1989" s="3" t="s">
        <v>37</v>
      </c>
    </row>
    <row r="1990" spans="1:30" ht="14">
      <c r="A1990" s="23"/>
      <c r="B1990" s="23"/>
      <c r="C1990" s="23"/>
      <c r="D1990" s="23"/>
      <c r="E1990" s="23"/>
      <c r="F1990" s="23"/>
      <c r="G1990" s="23"/>
      <c r="H1990" s="22"/>
      <c r="I1990" s="23"/>
      <c r="J1990" s="23"/>
      <c r="K1990" s="23"/>
      <c r="L1990" s="32" t="s">
        <v>38</v>
      </c>
      <c r="M1990" s="33">
        <v>39</v>
      </c>
      <c r="N1990" s="33">
        <v>6</v>
      </c>
      <c r="O1990" s="33">
        <v>10</v>
      </c>
      <c r="Q1990" s="32">
        <v>0</v>
      </c>
      <c r="R1990" s="23"/>
      <c r="S1990" s="23"/>
      <c r="Z1990" s="23"/>
      <c r="AA1990" s="23"/>
      <c r="AB1990" s="3" t="str">
        <f t="shared" si="16"/>
        <v>___</v>
      </c>
      <c r="AC1990" s="3" t="str">
        <f t="shared" si="17"/>
        <v>____</v>
      </c>
    </row>
    <row r="1991" spans="1:30" ht="14">
      <c r="A1991" s="23"/>
      <c r="B1991" s="23"/>
      <c r="C1991" s="23"/>
      <c r="D1991" s="23"/>
      <c r="E1991" s="23"/>
      <c r="F1991" s="23"/>
      <c r="G1991" s="23"/>
      <c r="H1991" s="22"/>
      <c r="I1991" s="23"/>
      <c r="J1991" s="23"/>
      <c r="K1991" s="23"/>
      <c r="L1991" s="32" t="s">
        <v>39</v>
      </c>
      <c r="M1991" s="33">
        <v>52</v>
      </c>
      <c r="N1991" s="33">
        <v>2</v>
      </c>
      <c r="O1991" s="33">
        <v>7</v>
      </c>
      <c r="P1991" s="3">
        <v>1</v>
      </c>
      <c r="Q1991" s="32">
        <v>1</v>
      </c>
      <c r="R1991" s="23"/>
      <c r="S1991" s="23"/>
      <c r="Z1991" s="32" t="s">
        <v>260</v>
      </c>
      <c r="AA1991" s="23"/>
      <c r="AB1991" s="3" t="str">
        <f t="shared" si="16"/>
        <v>___</v>
      </c>
      <c r="AC1991" s="3" t="str">
        <f t="shared" si="17"/>
        <v>____</v>
      </c>
    </row>
    <row r="1992" spans="1:30" ht="14">
      <c r="A1992" s="23"/>
      <c r="B1992" s="23"/>
      <c r="C1992" s="32" t="s">
        <v>261</v>
      </c>
      <c r="D1992" s="32" t="s">
        <v>81</v>
      </c>
      <c r="E1992" s="23"/>
      <c r="F1992" s="23"/>
      <c r="G1992" s="32" t="s">
        <v>35</v>
      </c>
      <c r="H1992" s="33">
        <v>2</v>
      </c>
      <c r="I1992" s="32">
        <v>9</v>
      </c>
      <c r="J1992" s="32">
        <v>8.1999999999999993</v>
      </c>
      <c r="K1992" s="32">
        <v>3</v>
      </c>
      <c r="L1992" s="32" t="s">
        <v>36</v>
      </c>
      <c r="M1992" s="33">
        <v>33</v>
      </c>
      <c r="N1992" s="33">
        <v>8</v>
      </c>
      <c r="O1992" s="33">
        <v>10</v>
      </c>
      <c r="Q1992" s="32">
        <v>0</v>
      </c>
      <c r="R1992" s="23"/>
      <c r="S1992" s="23"/>
      <c r="Z1992" s="23"/>
      <c r="AA1992" s="23"/>
      <c r="AB1992" s="3" t="str">
        <f t="shared" si="16"/>
        <v>_MK19_2__vv</v>
      </c>
      <c r="AC1992" s="3" t="str">
        <f t="shared" si="17"/>
        <v>_MK19_2__vv_2</v>
      </c>
      <c r="AD1992" s="3" t="s">
        <v>37</v>
      </c>
    </row>
    <row r="1993" spans="1:30" ht="14">
      <c r="A1993" s="23"/>
      <c r="B1993" s="23"/>
      <c r="C1993" s="23"/>
      <c r="D1993" s="23"/>
      <c r="E1993" s="23"/>
      <c r="F1993" s="23"/>
      <c r="G1993" s="23"/>
      <c r="H1993" s="22"/>
      <c r="I1993" s="23"/>
      <c r="J1993" s="23"/>
      <c r="K1993" s="23"/>
      <c r="L1993" s="32" t="s">
        <v>38</v>
      </c>
      <c r="M1993" s="33">
        <v>42</v>
      </c>
      <c r="N1993" s="33">
        <v>4</v>
      </c>
      <c r="O1993" s="33">
        <v>9</v>
      </c>
      <c r="Q1993" s="32">
        <v>0</v>
      </c>
      <c r="R1993" s="23"/>
      <c r="S1993" s="23"/>
      <c r="Z1993" s="23"/>
      <c r="AA1993" s="23"/>
      <c r="AB1993" s="3" t="str">
        <f t="shared" si="16"/>
        <v>___</v>
      </c>
      <c r="AC1993" s="3" t="str">
        <f t="shared" si="17"/>
        <v>____</v>
      </c>
    </row>
    <row r="1994" spans="1:30" ht="14">
      <c r="A1994" s="23"/>
      <c r="B1994" s="23"/>
      <c r="C1994" s="23"/>
      <c r="D1994" s="23"/>
      <c r="E1994" s="23"/>
      <c r="F1994" s="23"/>
      <c r="G1994" s="23"/>
      <c r="H1994" s="22"/>
      <c r="I1994" s="23"/>
      <c r="J1994" s="23"/>
      <c r="K1994" s="23"/>
      <c r="L1994" s="32" t="s">
        <v>39</v>
      </c>
      <c r="M1994" s="33">
        <v>15</v>
      </c>
      <c r="N1994" s="33">
        <v>0</v>
      </c>
      <c r="O1994" s="33">
        <v>1</v>
      </c>
      <c r="P1994" s="23"/>
      <c r="Q1994" s="33">
        <v>0</v>
      </c>
      <c r="R1994" s="23"/>
      <c r="S1994" s="23"/>
      <c r="Z1994" s="3" t="s">
        <v>260</v>
      </c>
      <c r="AA1994" s="23"/>
      <c r="AB1994" s="3" t="str">
        <f t="shared" si="16"/>
        <v>___</v>
      </c>
      <c r="AC1994" s="3" t="str">
        <f t="shared" si="17"/>
        <v>____</v>
      </c>
    </row>
    <row r="1995" spans="1:30" ht="14">
      <c r="A1995" s="23"/>
      <c r="B1995" s="23"/>
      <c r="C1995" s="32" t="s">
        <v>262</v>
      </c>
      <c r="D1995" s="32" t="s">
        <v>81</v>
      </c>
      <c r="E1995" s="23"/>
      <c r="F1995" s="23"/>
      <c r="G1995" s="32" t="s">
        <v>35</v>
      </c>
      <c r="H1995" s="33">
        <v>1</v>
      </c>
      <c r="I1995" s="32">
        <v>14.6</v>
      </c>
      <c r="J1995" s="32">
        <v>14.9</v>
      </c>
      <c r="K1995" s="32">
        <v>3</v>
      </c>
      <c r="L1995" s="32" t="s">
        <v>36</v>
      </c>
      <c r="M1995" s="33">
        <v>42</v>
      </c>
      <c r="N1995" s="33">
        <v>11</v>
      </c>
      <c r="O1995" s="33">
        <v>14</v>
      </c>
      <c r="Q1995" s="32">
        <v>0</v>
      </c>
      <c r="R1995" s="23"/>
      <c r="S1995" s="23"/>
      <c r="Z1995" s="23"/>
      <c r="AA1995" s="23"/>
      <c r="AB1995" s="3" t="str">
        <f t="shared" si="16"/>
        <v>_MK17_1__vv</v>
      </c>
      <c r="AC1995" s="3" t="str">
        <f t="shared" si="17"/>
        <v>_MK17_1__vv_1</v>
      </c>
      <c r="AD1995" s="3" t="s">
        <v>37</v>
      </c>
    </row>
    <row r="1996" spans="1:30" ht="14">
      <c r="A1996" s="23"/>
      <c r="B1996" s="23"/>
      <c r="C1996" s="23"/>
      <c r="D1996" s="23"/>
      <c r="E1996" s="23"/>
      <c r="F1996" s="23"/>
      <c r="G1996" s="23"/>
      <c r="H1996" s="22"/>
      <c r="I1996" s="23"/>
      <c r="J1996" s="23"/>
      <c r="K1996" s="23"/>
      <c r="L1996" s="32" t="s">
        <v>38</v>
      </c>
      <c r="M1996" s="33">
        <v>50</v>
      </c>
      <c r="N1996" s="33">
        <v>1</v>
      </c>
      <c r="O1996" s="33">
        <v>12</v>
      </c>
      <c r="Q1996" s="32">
        <v>0</v>
      </c>
      <c r="R1996" s="23"/>
      <c r="S1996" s="23"/>
      <c r="Z1996" s="23"/>
      <c r="AA1996" s="23"/>
      <c r="AB1996" s="3" t="str">
        <f t="shared" si="16"/>
        <v>___</v>
      </c>
      <c r="AC1996" s="3" t="str">
        <f t="shared" si="17"/>
        <v>____</v>
      </c>
    </row>
    <row r="1997" spans="1:30" ht="14">
      <c r="A1997" s="23"/>
      <c r="B1997" s="23"/>
      <c r="C1997" s="23"/>
      <c r="D1997" s="23"/>
      <c r="E1997" s="23"/>
      <c r="F1997" s="23"/>
      <c r="G1997" s="23"/>
      <c r="H1997" s="22"/>
      <c r="I1997" s="23"/>
      <c r="J1997" s="23"/>
      <c r="K1997" s="23"/>
      <c r="L1997" s="32" t="s">
        <v>39</v>
      </c>
      <c r="M1997" s="33">
        <v>65</v>
      </c>
      <c r="N1997" s="33">
        <v>0</v>
      </c>
      <c r="O1997" s="33">
        <v>10</v>
      </c>
      <c r="Q1997" s="32">
        <v>0</v>
      </c>
      <c r="R1997" s="23"/>
      <c r="S1997" s="23"/>
      <c r="Z1997" s="23"/>
      <c r="AA1997" s="23"/>
      <c r="AB1997" s="3" t="str">
        <f t="shared" si="16"/>
        <v>___</v>
      </c>
      <c r="AC1997" s="3" t="str">
        <f t="shared" si="17"/>
        <v>____</v>
      </c>
    </row>
    <row r="1998" spans="1:30" ht="14">
      <c r="A1998" s="23"/>
      <c r="B1998" s="23"/>
      <c r="C1998" s="32" t="s">
        <v>263</v>
      </c>
      <c r="D1998" s="32" t="s">
        <v>81</v>
      </c>
      <c r="E1998" s="23"/>
      <c r="F1998" s="23"/>
      <c r="G1998" s="32" t="s">
        <v>35</v>
      </c>
      <c r="H1998" s="33">
        <v>1</v>
      </c>
      <c r="I1998" s="32">
        <v>13.3</v>
      </c>
      <c r="J1998" s="32">
        <v>14.2</v>
      </c>
      <c r="K1998" s="32">
        <v>4</v>
      </c>
      <c r="L1998" s="32" t="s">
        <v>36</v>
      </c>
      <c r="M1998" s="33">
        <v>47</v>
      </c>
      <c r="N1998" s="33">
        <v>8</v>
      </c>
      <c r="O1998" s="33">
        <v>10</v>
      </c>
      <c r="P1998" s="23"/>
      <c r="Q1998" s="33">
        <v>0</v>
      </c>
      <c r="R1998" s="23"/>
      <c r="S1998" s="23"/>
      <c r="Z1998" s="23"/>
      <c r="AA1998" s="23"/>
      <c r="AB1998" s="3" t="str">
        <f t="shared" si="16"/>
        <v>_MK9_1__vv</v>
      </c>
      <c r="AC1998" s="3" t="str">
        <f t="shared" si="17"/>
        <v>_MK9_1__vv_1</v>
      </c>
      <c r="AD1998" s="3" t="s">
        <v>37</v>
      </c>
    </row>
    <row r="1999" spans="1:30" ht="14">
      <c r="A1999" s="23"/>
      <c r="B1999" s="23"/>
      <c r="C1999" s="23"/>
      <c r="D1999" s="23"/>
      <c r="E1999" s="23"/>
      <c r="F1999" s="23"/>
      <c r="G1999" s="23"/>
      <c r="H1999" s="22"/>
      <c r="I1999" s="23"/>
      <c r="J1999" s="23"/>
      <c r="K1999" s="23"/>
      <c r="L1999" s="32" t="s">
        <v>38</v>
      </c>
      <c r="M1999" s="33">
        <v>38</v>
      </c>
      <c r="N1999" s="33">
        <v>0</v>
      </c>
      <c r="O1999" s="33">
        <v>8</v>
      </c>
      <c r="P1999" s="23"/>
      <c r="Q1999" s="33">
        <v>0</v>
      </c>
      <c r="R1999" s="23"/>
      <c r="S1999" s="23"/>
      <c r="Z1999" s="23"/>
      <c r="AA1999" s="23"/>
      <c r="AB1999" s="3" t="str">
        <f t="shared" si="16"/>
        <v>___</v>
      </c>
      <c r="AC1999" s="3" t="str">
        <f t="shared" si="17"/>
        <v>____</v>
      </c>
    </row>
    <row r="2000" spans="1:30" ht="14">
      <c r="A2000" s="23"/>
      <c r="B2000" s="23"/>
      <c r="C2000" s="23"/>
      <c r="D2000" s="23"/>
      <c r="E2000" s="23"/>
      <c r="F2000" s="23"/>
      <c r="G2000" s="23"/>
      <c r="H2000" s="22"/>
      <c r="I2000" s="23"/>
      <c r="J2000" s="23"/>
      <c r="K2000" s="23"/>
      <c r="L2000" s="32" t="s">
        <v>39</v>
      </c>
      <c r="M2000" s="33">
        <v>49</v>
      </c>
      <c r="N2000" s="33">
        <v>2</v>
      </c>
      <c r="O2000" s="33">
        <v>8</v>
      </c>
      <c r="P2000" s="32">
        <v>2</v>
      </c>
      <c r="Q2000" s="33">
        <v>2</v>
      </c>
      <c r="R2000" s="23"/>
      <c r="S2000" s="23"/>
      <c r="Z2000" s="23"/>
      <c r="AA2000" s="23"/>
      <c r="AB2000" s="3" t="str">
        <f t="shared" si="16"/>
        <v>___</v>
      </c>
      <c r="AC2000" s="3" t="str">
        <f t="shared" si="17"/>
        <v>____</v>
      </c>
    </row>
    <row r="2001" spans="1:30" ht="14">
      <c r="A2001" s="23"/>
      <c r="B2001" s="23"/>
      <c r="C2001" s="32" t="s">
        <v>264</v>
      </c>
      <c r="D2001" s="32" t="s">
        <v>81</v>
      </c>
      <c r="E2001" s="23"/>
      <c r="F2001" s="23"/>
      <c r="G2001" s="32" t="s">
        <v>35</v>
      </c>
      <c r="H2001" s="33">
        <v>4</v>
      </c>
      <c r="I2001" s="32">
        <v>8.1999999999999993</v>
      </c>
      <c r="J2001" s="32">
        <v>11</v>
      </c>
      <c r="K2001" s="32">
        <v>4</v>
      </c>
      <c r="L2001" s="32" t="s">
        <v>36</v>
      </c>
      <c r="M2001" s="33">
        <v>15</v>
      </c>
      <c r="N2001" s="33">
        <v>5</v>
      </c>
      <c r="O2001" s="33">
        <v>6</v>
      </c>
      <c r="P2001" s="23"/>
      <c r="Q2001" s="33">
        <v>0</v>
      </c>
      <c r="R2001" s="23"/>
      <c r="S2001" s="23"/>
      <c r="Z2001" s="23"/>
      <c r="AA2001" s="23"/>
      <c r="AB2001" s="3" t="str">
        <f t="shared" si="16"/>
        <v>_MK19_4__vv</v>
      </c>
      <c r="AC2001" s="3" t="str">
        <f t="shared" si="17"/>
        <v>_MK19_4__vv_4</v>
      </c>
      <c r="AD2001" s="3" t="s">
        <v>37</v>
      </c>
    </row>
    <row r="2002" spans="1:30" ht="14">
      <c r="A2002" s="23"/>
      <c r="B2002" s="23"/>
      <c r="C2002" s="23"/>
      <c r="D2002" s="23"/>
      <c r="E2002" s="23"/>
      <c r="F2002" s="23"/>
      <c r="G2002" s="23"/>
      <c r="H2002" s="22"/>
      <c r="I2002" s="23"/>
      <c r="J2002" s="23"/>
      <c r="K2002" s="23"/>
      <c r="L2002" s="32" t="s">
        <v>38</v>
      </c>
      <c r="M2002" s="33">
        <v>19</v>
      </c>
      <c r="N2002" s="33">
        <v>9</v>
      </c>
      <c r="O2002" s="33">
        <v>9</v>
      </c>
      <c r="P2002" s="23"/>
      <c r="Q2002" s="33">
        <v>0</v>
      </c>
      <c r="R2002" s="23"/>
      <c r="S2002" s="23"/>
      <c r="Z2002" s="23"/>
      <c r="AA2002" s="23"/>
      <c r="AB2002" s="3" t="str">
        <f t="shared" si="16"/>
        <v>___</v>
      </c>
      <c r="AC2002" s="3" t="str">
        <f t="shared" si="17"/>
        <v>____</v>
      </c>
    </row>
    <row r="2003" spans="1:30" ht="14">
      <c r="A2003" s="23"/>
      <c r="B2003" s="23"/>
      <c r="C2003" s="23"/>
      <c r="D2003" s="23"/>
      <c r="E2003" s="23"/>
      <c r="F2003" s="23"/>
      <c r="G2003" s="23"/>
      <c r="H2003" s="22"/>
      <c r="I2003" s="23"/>
      <c r="J2003" s="23"/>
      <c r="K2003" s="23"/>
      <c r="L2003" s="32" t="s">
        <v>39</v>
      </c>
      <c r="M2003" s="33">
        <v>31</v>
      </c>
      <c r="N2003" s="33">
        <v>5</v>
      </c>
      <c r="O2003" s="33">
        <v>11</v>
      </c>
      <c r="P2003" s="23"/>
      <c r="Q2003" s="33">
        <v>0</v>
      </c>
      <c r="R2003" s="23"/>
      <c r="S2003" s="23"/>
      <c r="Z2003" s="23"/>
      <c r="AA2003" s="23"/>
      <c r="AB2003" s="3" t="str">
        <f t="shared" si="16"/>
        <v>___</v>
      </c>
      <c r="AC2003" s="3" t="str">
        <f t="shared" si="17"/>
        <v>____</v>
      </c>
    </row>
    <row r="2004" spans="1:30" ht="14">
      <c r="A2004" s="23"/>
      <c r="B2004" s="23"/>
      <c r="C2004" s="32" t="s">
        <v>265</v>
      </c>
      <c r="D2004" s="32" t="s">
        <v>81</v>
      </c>
      <c r="E2004" s="23"/>
      <c r="F2004" s="23"/>
      <c r="G2004" s="32" t="s">
        <v>35</v>
      </c>
      <c r="H2004" s="33">
        <v>4</v>
      </c>
      <c r="I2004" s="32">
        <v>13.5</v>
      </c>
      <c r="J2004" s="32">
        <v>15</v>
      </c>
      <c r="K2004" s="32">
        <v>3</v>
      </c>
      <c r="L2004" s="32" t="s">
        <v>36</v>
      </c>
      <c r="M2004" s="33">
        <v>63</v>
      </c>
      <c r="N2004" s="33">
        <v>11</v>
      </c>
      <c r="O2004" s="33">
        <v>11</v>
      </c>
      <c r="P2004" s="23"/>
      <c r="Q2004" s="33">
        <v>0</v>
      </c>
      <c r="R2004" s="23"/>
      <c r="S2004" s="23"/>
      <c r="Z2004" s="23"/>
      <c r="AA2004" s="23"/>
      <c r="AB2004" s="3" t="str">
        <f t="shared" si="16"/>
        <v>_MK16_4__vv</v>
      </c>
      <c r="AC2004" s="3" t="str">
        <f t="shared" si="17"/>
        <v>_MK16_4__vv_4</v>
      </c>
      <c r="AD2004" s="3" t="s">
        <v>37</v>
      </c>
    </row>
    <row r="2005" spans="1:30" ht="14">
      <c r="A2005" s="23"/>
      <c r="B2005" s="23"/>
      <c r="C2005" s="23"/>
      <c r="D2005" s="23"/>
      <c r="E2005" s="23"/>
      <c r="F2005" s="23"/>
      <c r="G2005" s="23"/>
      <c r="H2005" s="22"/>
      <c r="I2005" s="23"/>
      <c r="J2005" s="23"/>
      <c r="K2005" s="23"/>
      <c r="L2005" s="32" t="s">
        <v>38</v>
      </c>
      <c r="M2005" s="33">
        <v>69</v>
      </c>
      <c r="N2005" s="33">
        <v>3</v>
      </c>
      <c r="O2005" s="33">
        <v>12</v>
      </c>
      <c r="P2005" s="23"/>
      <c r="Q2005" s="33">
        <v>0</v>
      </c>
      <c r="R2005" s="23"/>
      <c r="S2005" s="23"/>
      <c r="Z2005" s="23"/>
      <c r="AA2005" s="23"/>
      <c r="AB2005" s="3" t="str">
        <f t="shared" si="16"/>
        <v>___</v>
      </c>
      <c r="AC2005" s="3" t="str">
        <f t="shared" si="17"/>
        <v>____</v>
      </c>
    </row>
    <row r="2006" spans="1:30" ht="14">
      <c r="A2006" s="23"/>
      <c r="B2006" s="23"/>
      <c r="C2006" s="23"/>
      <c r="D2006" s="23"/>
      <c r="E2006" s="23"/>
      <c r="F2006" s="23"/>
      <c r="G2006" s="23"/>
      <c r="H2006" s="22"/>
      <c r="I2006" s="23"/>
      <c r="J2006" s="23"/>
      <c r="K2006" s="23"/>
      <c r="L2006" s="32" t="s">
        <v>39</v>
      </c>
      <c r="M2006" s="33">
        <v>69</v>
      </c>
      <c r="N2006" s="33">
        <v>8</v>
      </c>
      <c r="O2006" s="33">
        <v>12</v>
      </c>
      <c r="P2006" s="23"/>
      <c r="Q2006" s="33">
        <v>0</v>
      </c>
      <c r="R2006" s="23"/>
      <c r="S2006" s="23"/>
      <c r="Z2006" s="23"/>
      <c r="AA2006" s="23"/>
      <c r="AB2006" s="3" t="str">
        <f t="shared" si="16"/>
        <v>___</v>
      </c>
      <c r="AC2006" s="3" t="str">
        <f t="shared" si="17"/>
        <v>____</v>
      </c>
    </row>
    <row r="2007" spans="1:30" ht="14">
      <c r="A2007" s="23"/>
      <c r="B2007" s="23"/>
      <c r="C2007" s="32" t="s">
        <v>266</v>
      </c>
      <c r="D2007" s="32" t="s">
        <v>81</v>
      </c>
      <c r="E2007" s="23"/>
      <c r="F2007" s="23"/>
      <c r="G2007" s="32" t="s">
        <v>35</v>
      </c>
      <c r="H2007" s="33" t="s">
        <v>267</v>
      </c>
      <c r="I2007" s="32">
        <v>7.9</v>
      </c>
      <c r="J2007" s="32">
        <v>14</v>
      </c>
      <c r="K2007" s="32">
        <v>5</v>
      </c>
      <c r="L2007" s="32" t="s">
        <v>36</v>
      </c>
      <c r="M2007" s="33">
        <v>35</v>
      </c>
      <c r="N2007" s="33">
        <v>4</v>
      </c>
      <c r="O2007" s="33">
        <v>11</v>
      </c>
      <c r="P2007" s="23"/>
      <c r="Q2007" s="33">
        <v>0</v>
      </c>
      <c r="R2007" s="23"/>
      <c r="S2007" s="23"/>
      <c r="Z2007" s="32" t="s">
        <v>268</v>
      </c>
      <c r="AA2007" s="23"/>
      <c r="AB2007" s="3" t="str">
        <f t="shared" si="16"/>
        <v>_MK15_4__vv</v>
      </c>
      <c r="AC2007" s="3" t="str">
        <f t="shared" si="17"/>
        <v>_MK15_4__vv_v</v>
      </c>
      <c r="AD2007" s="3" t="s">
        <v>37</v>
      </c>
    </row>
    <row r="2008" spans="1:30" ht="14">
      <c r="A2008" s="23"/>
      <c r="B2008" s="23"/>
      <c r="C2008" s="23"/>
      <c r="D2008" s="23"/>
      <c r="E2008" s="23"/>
      <c r="F2008" s="23"/>
      <c r="G2008" s="23"/>
      <c r="H2008" s="22"/>
      <c r="I2008" s="23"/>
      <c r="J2008" s="23"/>
      <c r="K2008" s="23"/>
      <c r="L2008" s="32" t="s">
        <v>38</v>
      </c>
      <c r="M2008" s="33">
        <v>37</v>
      </c>
      <c r="N2008" s="33">
        <v>0</v>
      </c>
      <c r="O2008" s="33">
        <v>12</v>
      </c>
      <c r="P2008" s="32">
        <v>1</v>
      </c>
      <c r="Q2008" s="33">
        <v>1</v>
      </c>
      <c r="R2008" s="23"/>
      <c r="S2008" s="23"/>
      <c r="Z2008" s="23"/>
      <c r="AA2008" s="23"/>
      <c r="AB2008" s="3" t="str">
        <f t="shared" si="16"/>
        <v>___</v>
      </c>
      <c r="AC2008" s="3" t="str">
        <f t="shared" si="17"/>
        <v>____</v>
      </c>
    </row>
    <row r="2009" spans="1:30" ht="14">
      <c r="A2009" s="23"/>
      <c r="B2009" s="23"/>
      <c r="C2009" s="23"/>
      <c r="D2009" s="23"/>
      <c r="E2009" s="23"/>
      <c r="F2009" s="23"/>
      <c r="G2009" s="23"/>
      <c r="H2009" s="22"/>
      <c r="I2009" s="23"/>
      <c r="J2009" s="23"/>
      <c r="K2009" s="23"/>
      <c r="L2009" s="32" t="s">
        <v>39</v>
      </c>
      <c r="M2009" s="33">
        <v>36</v>
      </c>
      <c r="N2009" s="33">
        <v>0</v>
      </c>
      <c r="O2009" s="33">
        <v>9</v>
      </c>
      <c r="P2009" s="32">
        <v>1</v>
      </c>
      <c r="Q2009" s="33">
        <v>1</v>
      </c>
      <c r="R2009" s="23"/>
      <c r="S2009" s="23"/>
      <c r="Z2009" s="23"/>
      <c r="AA2009" s="23"/>
      <c r="AB2009" s="3" t="str">
        <f t="shared" si="16"/>
        <v>___</v>
      </c>
      <c r="AC2009" s="3" t="str">
        <f t="shared" si="17"/>
        <v>____</v>
      </c>
    </row>
    <row r="2010" spans="1:30" ht="14">
      <c r="A2010" s="23"/>
      <c r="B2010" s="23"/>
      <c r="C2010" s="32" t="s">
        <v>269</v>
      </c>
      <c r="D2010" s="32" t="s">
        <v>81</v>
      </c>
      <c r="E2010" s="23"/>
      <c r="F2010" s="23"/>
      <c r="G2010" s="32" t="s">
        <v>35</v>
      </c>
      <c r="H2010" s="33">
        <v>2</v>
      </c>
      <c r="I2010" s="32">
        <v>11.1</v>
      </c>
      <c r="J2010" s="32">
        <v>12.5</v>
      </c>
      <c r="K2010" s="32">
        <v>5</v>
      </c>
      <c r="L2010" s="32" t="s">
        <v>36</v>
      </c>
      <c r="M2010" s="33">
        <v>25</v>
      </c>
      <c r="N2010" s="33">
        <v>9</v>
      </c>
      <c r="O2010" s="33">
        <v>9</v>
      </c>
      <c r="P2010" s="23"/>
      <c r="Q2010" s="33">
        <v>0</v>
      </c>
      <c r="R2010" s="23"/>
      <c r="S2010" s="23"/>
      <c r="Z2010" s="23"/>
      <c r="AA2010" s="23"/>
      <c r="AB2010" s="3" t="str">
        <f t="shared" si="16"/>
        <v>_MK15_2__vv</v>
      </c>
      <c r="AC2010" s="3" t="str">
        <f t="shared" si="17"/>
        <v>_MK15_2__vv_2</v>
      </c>
      <c r="AD2010" s="3" t="s">
        <v>37</v>
      </c>
    </row>
    <row r="2011" spans="1:30" ht="14">
      <c r="A2011" s="23"/>
      <c r="B2011" s="23"/>
      <c r="C2011" s="23"/>
      <c r="D2011" s="23"/>
      <c r="E2011" s="23"/>
      <c r="F2011" s="23"/>
      <c r="G2011" s="23"/>
      <c r="H2011" s="22"/>
      <c r="I2011" s="23"/>
      <c r="J2011" s="23"/>
      <c r="K2011" s="23"/>
      <c r="L2011" s="32" t="s">
        <v>38</v>
      </c>
      <c r="M2011" s="33">
        <v>41</v>
      </c>
      <c r="N2011" s="33">
        <v>6</v>
      </c>
      <c r="O2011" s="33">
        <v>11</v>
      </c>
      <c r="P2011" s="32">
        <v>1</v>
      </c>
      <c r="Q2011" s="33">
        <v>1</v>
      </c>
      <c r="R2011" s="23"/>
      <c r="S2011" s="23"/>
      <c r="Z2011" s="23"/>
      <c r="AA2011" s="23"/>
      <c r="AB2011" s="3" t="str">
        <f t="shared" si="16"/>
        <v>___</v>
      </c>
      <c r="AC2011" s="3" t="str">
        <f t="shared" si="17"/>
        <v>____</v>
      </c>
    </row>
    <row r="2012" spans="1:30" ht="14">
      <c r="A2012" s="23"/>
      <c r="B2012" s="23"/>
      <c r="C2012" s="23"/>
      <c r="D2012" s="23"/>
      <c r="E2012" s="23"/>
      <c r="F2012" s="23"/>
      <c r="G2012" s="23"/>
      <c r="H2012" s="22"/>
      <c r="I2012" s="23"/>
      <c r="J2012" s="23"/>
      <c r="K2012" s="23"/>
      <c r="L2012" s="32" t="s">
        <v>39</v>
      </c>
      <c r="M2012" s="33">
        <v>51</v>
      </c>
      <c r="N2012" s="33">
        <v>0</v>
      </c>
      <c r="O2012" s="33">
        <v>12</v>
      </c>
      <c r="P2012" s="23"/>
      <c r="Q2012" s="33">
        <v>0</v>
      </c>
      <c r="R2012" s="23"/>
      <c r="S2012" s="23"/>
      <c r="Z2012" s="23"/>
      <c r="AA2012" s="23"/>
      <c r="AB2012" s="3" t="str">
        <f t="shared" si="16"/>
        <v>___</v>
      </c>
      <c r="AC2012" s="3" t="str">
        <f t="shared" si="17"/>
        <v>____</v>
      </c>
    </row>
    <row r="2013" spans="1:30" ht="14">
      <c r="A2013" s="23"/>
      <c r="B2013" s="23"/>
      <c r="C2013" s="32" t="s">
        <v>270</v>
      </c>
      <c r="D2013" s="32" t="s">
        <v>81</v>
      </c>
      <c r="E2013" s="23"/>
      <c r="F2013" s="23"/>
      <c r="G2013" s="32" t="s">
        <v>35</v>
      </c>
      <c r="H2013" s="33">
        <v>3</v>
      </c>
      <c r="I2013" s="32">
        <v>18.8</v>
      </c>
      <c r="J2013" s="32">
        <v>19.399999999999999</v>
      </c>
      <c r="K2013" s="32">
        <v>4</v>
      </c>
      <c r="L2013" s="32" t="s">
        <v>36</v>
      </c>
      <c r="M2013" s="33">
        <v>49</v>
      </c>
      <c r="N2013" s="33">
        <v>14</v>
      </c>
      <c r="O2013" s="33">
        <v>14</v>
      </c>
      <c r="P2013" s="23"/>
      <c r="Q2013" s="33">
        <v>0</v>
      </c>
      <c r="R2013" s="23"/>
      <c r="S2013" s="32">
        <v>1</v>
      </c>
      <c r="Z2013" s="23"/>
      <c r="AA2013" s="23"/>
      <c r="AB2013" s="3" t="str">
        <f t="shared" si="16"/>
        <v>_MK17_3__vv</v>
      </c>
      <c r="AC2013" s="3" t="str">
        <f t="shared" si="17"/>
        <v>_MK17_3__vv_3</v>
      </c>
      <c r="AD2013" s="3" t="s">
        <v>37</v>
      </c>
    </row>
    <row r="2014" spans="1:30" ht="14">
      <c r="A2014" s="23"/>
      <c r="B2014" s="23"/>
      <c r="C2014" s="23"/>
      <c r="D2014" s="23"/>
      <c r="E2014" s="23"/>
      <c r="F2014" s="23"/>
      <c r="G2014" s="23"/>
      <c r="H2014" s="22"/>
      <c r="I2014" s="23"/>
      <c r="J2014" s="23"/>
      <c r="K2014" s="23"/>
      <c r="L2014" s="32" t="s">
        <v>38</v>
      </c>
      <c r="M2014" s="33">
        <v>72</v>
      </c>
      <c r="N2014" s="33">
        <v>10</v>
      </c>
      <c r="O2014" s="33">
        <v>11</v>
      </c>
      <c r="P2014" s="23"/>
      <c r="Q2014" s="33">
        <v>0</v>
      </c>
      <c r="R2014" s="23"/>
      <c r="S2014" s="23"/>
      <c r="Z2014" s="23"/>
      <c r="AA2014" s="23"/>
      <c r="AB2014" s="3" t="str">
        <f t="shared" si="16"/>
        <v>___</v>
      </c>
      <c r="AC2014" s="3" t="str">
        <f t="shared" si="17"/>
        <v>____</v>
      </c>
    </row>
    <row r="2015" spans="1:30" ht="14">
      <c r="A2015" s="23"/>
      <c r="B2015" s="23"/>
      <c r="C2015" s="23"/>
      <c r="D2015" s="23"/>
      <c r="E2015" s="23"/>
      <c r="F2015" s="23"/>
      <c r="G2015" s="23"/>
      <c r="H2015" s="22"/>
      <c r="I2015" s="23"/>
      <c r="J2015" s="23"/>
      <c r="K2015" s="23"/>
      <c r="L2015" s="32" t="s">
        <v>39</v>
      </c>
      <c r="M2015" s="33">
        <v>60</v>
      </c>
      <c r="N2015" s="33">
        <v>2</v>
      </c>
      <c r="O2015" s="33">
        <v>10</v>
      </c>
      <c r="P2015" s="23"/>
      <c r="Q2015" s="33">
        <v>0</v>
      </c>
      <c r="R2015" s="23"/>
      <c r="S2015" s="23"/>
      <c r="Z2015" s="23"/>
      <c r="AA2015" s="23"/>
      <c r="AB2015" s="3" t="str">
        <f t="shared" si="16"/>
        <v>___</v>
      </c>
      <c r="AC2015" s="3" t="str">
        <f t="shared" si="17"/>
        <v>____</v>
      </c>
    </row>
    <row r="2016" spans="1:30" ht="14">
      <c r="A2016" s="23"/>
      <c r="B2016" s="23"/>
      <c r="C2016" s="32" t="s">
        <v>271</v>
      </c>
      <c r="D2016" s="32" t="s">
        <v>81</v>
      </c>
      <c r="E2016" s="23"/>
      <c r="F2016" s="23"/>
      <c r="G2016" s="32" t="s">
        <v>35</v>
      </c>
      <c r="H2016" s="33">
        <v>2</v>
      </c>
      <c r="I2016" s="32">
        <v>11.9</v>
      </c>
      <c r="J2016" s="32">
        <v>13.2</v>
      </c>
      <c r="K2016" s="23"/>
      <c r="L2016" s="32" t="s">
        <v>36</v>
      </c>
      <c r="M2016" s="33">
        <v>55</v>
      </c>
      <c r="N2016" s="33">
        <v>11</v>
      </c>
      <c r="O2016" s="33">
        <v>12</v>
      </c>
      <c r="P2016" s="23"/>
      <c r="Q2016" s="33">
        <v>0</v>
      </c>
      <c r="R2016" s="23"/>
      <c r="S2016" s="23"/>
      <c r="Z2016" s="23"/>
      <c r="AA2016" s="23"/>
      <c r="AB2016" s="3" t="str">
        <f t="shared" si="16"/>
        <v>_MK4_2__vv</v>
      </c>
      <c r="AC2016" s="3" t="str">
        <f t="shared" si="17"/>
        <v>_MK4_2__vv_2</v>
      </c>
      <c r="AD2016" s="3" t="s">
        <v>37</v>
      </c>
    </row>
    <row r="2017" spans="1:30" ht="14">
      <c r="A2017" s="23"/>
      <c r="B2017" s="23"/>
      <c r="C2017" s="23"/>
      <c r="D2017" s="23"/>
      <c r="E2017" s="23"/>
      <c r="F2017" s="23"/>
      <c r="G2017" s="23"/>
      <c r="H2017" s="22"/>
      <c r="I2017" s="23"/>
      <c r="J2017" s="23"/>
      <c r="K2017" s="23"/>
      <c r="L2017" s="32" t="s">
        <v>38</v>
      </c>
      <c r="M2017" s="33">
        <v>66</v>
      </c>
      <c r="N2017" s="33">
        <v>3</v>
      </c>
      <c r="O2017" s="33">
        <v>11</v>
      </c>
      <c r="P2017" s="23"/>
      <c r="Q2017" s="33">
        <v>0</v>
      </c>
      <c r="R2017" s="23"/>
      <c r="S2017" s="32">
        <v>1</v>
      </c>
      <c r="Z2017" s="23"/>
      <c r="AA2017" s="23"/>
      <c r="AB2017" s="3" t="str">
        <f t="shared" si="16"/>
        <v>___</v>
      </c>
      <c r="AC2017" s="3" t="str">
        <f t="shared" si="17"/>
        <v>____</v>
      </c>
    </row>
    <row r="2018" spans="1:30" ht="14">
      <c r="A2018" s="23"/>
      <c r="B2018" s="23"/>
      <c r="C2018" s="23"/>
      <c r="D2018" s="23"/>
      <c r="E2018" s="23"/>
      <c r="F2018" s="23"/>
      <c r="G2018" s="23"/>
      <c r="H2018" s="22"/>
      <c r="I2018" s="23"/>
      <c r="J2018" s="23"/>
      <c r="K2018" s="23"/>
      <c r="L2018" s="32" t="s">
        <v>39</v>
      </c>
      <c r="M2018" s="33">
        <v>37</v>
      </c>
      <c r="N2018" s="33">
        <v>0</v>
      </c>
      <c r="O2018" s="33">
        <v>6</v>
      </c>
      <c r="P2018" s="32">
        <v>0</v>
      </c>
      <c r="Q2018" s="33">
        <v>0</v>
      </c>
      <c r="R2018" s="23"/>
      <c r="S2018" s="23"/>
      <c r="Z2018" s="23"/>
      <c r="AA2018" s="23"/>
      <c r="AB2018" s="3" t="str">
        <f t="shared" si="16"/>
        <v>___</v>
      </c>
      <c r="AC2018" s="3" t="str">
        <f t="shared" si="17"/>
        <v>____</v>
      </c>
    </row>
    <row r="2019" spans="1:30" ht="14">
      <c r="A2019" s="23"/>
      <c r="B2019" s="23"/>
      <c r="C2019" s="32" t="s">
        <v>272</v>
      </c>
      <c r="D2019" s="32" t="s">
        <v>81</v>
      </c>
      <c r="E2019" s="23"/>
      <c r="F2019" s="23"/>
      <c r="G2019" s="32" t="s">
        <v>35</v>
      </c>
      <c r="H2019" s="33">
        <v>2</v>
      </c>
      <c r="I2019" s="32">
        <v>13.8</v>
      </c>
      <c r="J2019" s="32">
        <v>16.8</v>
      </c>
      <c r="K2019" s="32">
        <v>4</v>
      </c>
      <c r="L2019" s="32" t="s">
        <v>36</v>
      </c>
      <c r="M2019" s="33">
        <v>52</v>
      </c>
      <c r="N2019" s="33">
        <v>10</v>
      </c>
      <c r="O2019" s="33">
        <v>11</v>
      </c>
      <c r="P2019" s="32">
        <v>0</v>
      </c>
      <c r="Q2019" s="33">
        <v>0</v>
      </c>
      <c r="R2019" s="32">
        <v>0</v>
      </c>
      <c r="S2019" s="32">
        <v>1</v>
      </c>
      <c r="Z2019" s="23"/>
      <c r="AA2019" s="23"/>
      <c r="AB2019" s="3" t="str">
        <f t="shared" si="16"/>
        <v>_MK17_2__vv</v>
      </c>
      <c r="AC2019" s="3" t="str">
        <f t="shared" si="17"/>
        <v>_MK17_2__vv_2</v>
      </c>
      <c r="AD2019" s="3" t="s">
        <v>37</v>
      </c>
    </row>
    <row r="2020" spans="1:30" ht="14">
      <c r="A2020" s="23"/>
      <c r="B2020" s="23"/>
      <c r="C2020" s="23"/>
      <c r="D2020" s="23"/>
      <c r="E2020" s="23"/>
      <c r="F2020" s="23"/>
      <c r="G2020" s="23"/>
      <c r="H2020" s="22"/>
      <c r="I2020" s="23"/>
      <c r="J2020" s="23"/>
      <c r="K2020" s="23"/>
      <c r="L2020" s="32" t="s">
        <v>38</v>
      </c>
      <c r="M2020" s="3">
        <v>57</v>
      </c>
      <c r="N2020" s="3">
        <v>7</v>
      </c>
      <c r="O2020" s="3">
        <v>11</v>
      </c>
      <c r="P2020" s="3">
        <v>0</v>
      </c>
      <c r="Q2020" s="3">
        <v>0</v>
      </c>
      <c r="R2020" s="3">
        <v>0</v>
      </c>
      <c r="S2020" s="32">
        <v>0</v>
      </c>
      <c r="Z2020" s="23"/>
      <c r="AA2020" s="23"/>
      <c r="AB2020" s="3" t="str">
        <f t="shared" si="16"/>
        <v>___</v>
      </c>
      <c r="AC2020" s="3" t="str">
        <f t="shared" si="17"/>
        <v>____</v>
      </c>
    </row>
    <row r="2021" spans="1:30" ht="14">
      <c r="A2021" s="23"/>
      <c r="B2021" s="23"/>
      <c r="C2021" s="23"/>
      <c r="D2021" s="23"/>
      <c r="E2021" s="23"/>
      <c r="F2021" s="23"/>
      <c r="G2021" s="23"/>
      <c r="H2021" s="22"/>
      <c r="I2021" s="23"/>
      <c r="J2021" s="23"/>
      <c r="K2021" s="23"/>
      <c r="L2021" s="32" t="s">
        <v>39</v>
      </c>
      <c r="M2021" s="33">
        <v>35</v>
      </c>
      <c r="N2021" s="33">
        <v>0</v>
      </c>
      <c r="O2021" s="33">
        <v>8</v>
      </c>
      <c r="P2021" s="32">
        <v>0</v>
      </c>
      <c r="Q2021" s="33">
        <v>0</v>
      </c>
      <c r="R2021" s="32">
        <v>0</v>
      </c>
      <c r="S2021" s="32">
        <v>0</v>
      </c>
      <c r="Z2021" s="23"/>
      <c r="AA2021" s="23"/>
      <c r="AB2021" s="3" t="str">
        <f t="shared" si="16"/>
        <v>___</v>
      </c>
      <c r="AC2021" s="3" t="str">
        <f t="shared" si="17"/>
        <v>____</v>
      </c>
    </row>
    <row r="2022" spans="1:30" ht="14">
      <c r="A2022" s="23"/>
      <c r="B2022" s="23"/>
      <c r="C2022" s="32" t="s">
        <v>273</v>
      </c>
      <c r="D2022" s="32" t="s">
        <v>81</v>
      </c>
      <c r="E2022" s="23"/>
      <c r="F2022" s="23"/>
      <c r="G2022" s="32" t="s">
        <v>35</v>
      </c>
      <c r="H2022" s="33">
        <v>3</v>
      </c>
      <c r="I2022" s="32">
        <v>7.5</v>
      </c>
      <c r="J2022" s="32">
        <v>9.1</v>
      </c>
      <c r="K2022" s="32">
        <v>4</v>
      </c>
      <c r="L2022" s="32" t="s">
        <v>36</v>
      </c>
      <c r="M2022" s="33">
        <v>29</v>
      </c>
      <c r="N2022" s="33">
        <v>10</v>
      </c>
      <c r="O2022" s="33">
        <v>12</v>
      </c>
      <c r="P2022" s="32">
        <v>0</v>
      </c>
      <c r="Q2022" s="33">
        <v>0</v>
      </c>
      <c r="R2022" s="32">
        <v>0</v>
      </c>
      <c r="S2022" s="32">
        <v>1</v>
      </c>
      <c r="Z2022" s="23"/>
      <c r="AA2022" s="23"/>
      <c r="AB2022" s="3" t="str">
        <f t="shared" si="16"/>
        <v>_MK15_3__vv</v>
      </c>
      <c r="AC2022" s="3" t="str">
        <f t="shared" si="17"/>
        <v>_MK15_3__vv_3</v>
      </c>
      <c r="AD2022" s="3" t="s">
        <v>37</v>
      </c>
    </row>
    <row r="2023" spans="1:30" ht="14">
      <c r="A2023" s="23"/>
      <c r="B2023" s="23"/>
      <c r="C2023" s="23"/>
      <c r="D2023" s="23"/>
      <c r="E2023" s="23"/>
      <c r="F2023" s="23"/>
      <c r="G2023" s="23"/>
      <c r="H2023" s="22"/>
      <c r="I2023" s="23"/>
      <c r="J2023" s="23"/>
      <c r="K2023" s="23"/>
      <c r="L2023" s="32" t="s">
        <v>38</v>
      </c>
      <c r="M2023" s="33">
        <v>13</v>
      </c>
      <c r="N2023" s="33">
        <v>5</v>
      </c>
      <c r="O2023" s="33">
        <v>6</v>
      </c>
      <c r="P2023" s="32">
        <v>1</v>
      </c>
      <c r="Q2023" s="33">
        <v>1</v>
      </c>
      <c r="R2023" s="32">
        <v>0</v>
      </c>
      <c r="S2023" s="32">
        <v>0</v>
      </c>
      <c r="Z2023" s="23"/>
      <c r="AA2023" s="23"/>
      <c r="AB2023" s="3" t="str">
        <f t="shared" si="16"/>
        <v>___</v>
      </c>
      <c r="AC2023" s="3" t="str">
        <f t="shared" si="17"/>
        <v>____</v>
      </c>
    </row>
    <row r="2024" spans="1:30" ht="14">
      <c r="A2024" s="23"/>
      <c r="B2024" s="23"/>
      <c r="C2024" s="23"/>
      <c r="D2024" s="23"/>
      <c r="E2024" s="23"/>
      <c r="F2024" s="23"/>
      <c r="G2024" s="23"/>
      <c r="H2024" s="22"/>
      <c r="I2024" s="23"/>
      <c r="J2024" s="23"/>
      <c r="K2024" s="23"/>
      <c r="L2024" s="32" t="s">
        <v>39</v>
      </c>
      <c r="M2024" s="33">
        <v>30</v>
      </c>
      <c r="N2024" s="33">
        <v>9</v>
      </c>
      <c r="O2024" s="33">
        <v>13</v>
      </c>
      <c r="P2024" s="32">
        <v>0</v>
      </c>
      <c r="Q2024" s="33">
        <v>0</v>
      </c>
      <c r="R2024" s="32">
        <v>0</v>
      </c>
      <c r="S2024" s="32">
        <v>0</v>
      </c>
      <c r="Z2024" s="23"/>
      <c r="AA2024" s="23"/>
      <c r="AB2024" s="3" t="str">
        <f t="shared" si="16"/>
        <v>___</v>
      </c>
      <c r="AC2024" s="3" t="str">
        <f t="shared" si="17"/>
        <v>____</v>
      </c>
    </row>
    <row r="2025" spans="1:30" ht="14">
      <c r="A2025" s="23"/>
      <c r="B2025" s="23"/>
      <c r="C2025" s="32" t="s">
        <v>274</v>
      </c>
      <c r="D2025" s="32" t="s">
        <v>81</v>
      </c>
      <c r="E2025" s="23"/>
      <c r="F2025" s="23"/>
      <c r="G2025" s="32" t="s">
        <v>35</v>
      </c>
      <c r="H2025" s="33">
        <v>1</v>
      </c>
      <c r="I2025" s="32">
        <v>5.3</v>
      </c>
      <c r="J2025" s="32">
        <v>6.9</v>
      </c>
      <c r="K2025" s="32">
        <v>4</v>
      </c>
      <c r="L2025" s="32" t="s">
        <v>36</v>
      </c>
      <c r="M2025" s="33">
        <v>13</v>
      </c>
      <c r="N2025" s="33">
        <v>10</v>
      </c>
      <c r="O2025" s="33">
        <v>10</v>
      </c>
      <c r="P2025" s="32">
        <v>0</v>
      </c>
      <c r="Q2025" s="33">
        <v>0</v>
      </c>
      <c r="R2025" s="32">
        <v>0</v>
      </c>
      <c r="S2025" s="32">
        <v>1</v>
      </c>
      <c r="Z2025" s="23"/>
      <c r="AA2025" s="23"/>
      <c r="AB2025" s="3" t="str">
        <f t="shared" si="16"/>
        <v>_MK15_1__vv</v>
      </c>
      <c r="AC2025" s="3" t="str">
        <f t="shared" si="17"/>
        <v>_MK15_1__vv_1</v>
      </c>
      <c r="AD2025" s="3" t="s">
        <v>37</v>
      </c>
    </row>
    <row r="2026" spans="1:30" ht="14">
      <c r="A2026" s="23"/>
      <c r="B2026" s="23"/>
      <c r="C2026" s="23"/>
      <c r="D2026" s="23"/>
      <c r="E2026" s="23"/>
      <c r="F2026" s="23"/>
      <c r="G2026" s="23"/>
      <c r="H2026" s="22"/>
      <c r="I2026" s="23"/>
      <c r="J2026" s="23"/>
      <c r="K2026" s="23"/>
      <c r="L2026" s="32" t="s">
        <v>38</v>
      </c>
      <c r="M2026" s="33">
        <v>20</v>
      </c>
      <c r="N2026" s="33">
        <v>2</v>
      </c>
      <c r="O2026" s="33">
        <v>10</v>
      </c>
      <c r="P2026" s="32">
        <v>1</v>
      </c>
      <c r="Q2026" s="33">
        <v>1</v>
      </c>
      <c r="R2026" s="32">
        <v>0</v>
      </c>
      <c r="S2026" s="32">
        <v>0</v>
      </c>
      <c r="Z2026" s="23"/>
      <c r="AA2026" s="23"/>
      <c r="AB2026" s="3" t="str">
        <f t="shared" si="16"/>
        <v>___</v>
      </c>
      <c r="AC2026" s="3" t="str">
        <f t="shared" si="17"/>
        <v>____</v>
      </c>
    </row>
    <row r="2027" spans="1:30" ht="14">
      <c r="A2027" s="23"/>
      <c r="B2027" s="23"/>
      <c r="C2027" s="23"/>
      <c r="D2027" s="23"/>
      <c r="E2027" s="23"/>
      <c r="F2027" s="23"/>
      <c r="G2027" s="23"/>
      <c r="H2027" s="22"/>
      <c r="I2027" s="23"/>
      <c r="J2027" s="23"/>
      <c r="K2027" s="23"/>
      <c r="L2027" s="32" t="s">
        <v>39</v>
      </c>
      <c r="M2027" s="33">
        <v>26</v>
      </c>
      <c r="N2027" s="33">
        <v>0</v>
      </c>
      <c r="O2027" s="33">
        <v>10</v>
      </c>
      <c r="P2027" s="32">
        <v>3</v>
      </c>
      <c r="Q2027" s="33">
        <v>3</v>
      </c>
      <c r="R2027" s="32">
        <v>0</v>
      </c>
      <c r="S2027" s="32">
        <v>0</v>
      </c>
      <c r="Z2027" s="32" t="s">
        <v>275</v>
      </c>
      <c r="AA2027" s="23"/>
      <c r="AB2027" s="3" t="str">
        <f t="shared" si="16"/>
        <v>___</v>
      </c>
      <c r="AC2027" s="3" t="str">
        <f t="shared" si="17"/>
        <v>____</v>
      </c>
    </row>
    <row r="2028" spans="1:30" ht="14">
      <c r="A2028" s="23"/>
      <c r="B2028" s="23"/>
      <c r="C2028" s="32" t="s">
        <v>276</v>
      </c>
      <c r="D2028" s="32" t="s">
        <v>81</v>
      </c>
      <c r="E2028" s="23"/>
      <c r="F2028" s="23"/>
      <c r="G2028" s="32" t="s">
        <v>35</v>
      </c>
      <c r="H2028" s="33">
        <v>4</v>
      </c>
      <c r="I2028" s="32">
        <v>17.3</v>
      </c>
      <c r="J2028" s="32">
        <v>18.399999999999999</v>
      </c>
      <c r="K2028" s="32">
        <v>4</v>
      </c>
      <c r="L2028" s="32" t="s">
        <v>36</v>
      </c>
      <c r="M2028" s="33">
        <v>61</v>
      </c>
      <c r="N2028" s="33">
        <v>10</v>
      </c>
      <c r="O2028" s="33">
        <v>12</v>
      </c>
      <c r="P2028" s="32">
        <v>0</v>
      </c>
      <c r="Q2028" s="33">
        <v>0</v>
      </c>
      <c r="R2028" s="32">
        <v>0</v>
      </c>
      <c r="S2028" s="32">
        <v>1</v>
      </c>
      <c r="Z2028" s="32" t="s">
        <v>277</v>
      </c>
      <c r="AA2028" s="23"/>
      <c r="AB2028" s="3" t="str">
        <f t="shared" si="16"/>
        <v>_MK17_4__vv</v>
      </c>
      <c r="AC2028" s="3" t="str">
        <f t="shared" si="17"/>
        <v>_MK17_4__vv_4</v>
      </c>
      <c r="AD2028" s="3" t="s">
        <v>37</v>
      </c>
    </row>
    <row r="2029" spans="1:30" ht="14">
      <c r="A2029" s="23"/>
      <c r="B2029" s="23"/>
      <c r="C2029" s="23"/>
      <c r="D2029" s="23"/>
      <c r="E2029" s="23"/>
      <c r="F2029" s="23"/>
      <c r="G2029" s="23"/>
      <c r="H2029" s="22"/>
      <c r="I2029" s="23"/>
      <c r="J2029" s="23"/>
      <c r="K2029" s="23"/>
      <c r="L2029" s="32" t="s">
        <v>38</v>
      </c>
      <c r="M2029" s="33">
        <v>56</v>
      </c>
      <c r="N2029" s="33">
        <v>8</v>
      </c>
      <c r="O2029" s="33">
        <v>11</v>
      </c>
      <c r="P2029" s="32">
        <v>0</v>
      </c>
      <c r="Q2029" s="33">
        <v>0</v>
      </c>
      <c r="R2029" s="32">
        <v>0</v>
      </c>
      <c r="S2029" s="32">
        <v>0</v>
      </c>
      <c r="Z2029" s="32" t="s">
        <v>277</v>
      </c>
      <c r="AA2029" s="23"/>
      <c r="AB2029" s="3" t="str">
        <f t="shared" si="16"/>
        <v>___</v>
      </c>
      <c r="AC2029" s="3" t="str">
        <f t="shared" si="17"/>
        <v>____</v>
      </c>
    </row>
    <row r="2030" spans="1:30" ht="14">
      <c r="A2030" s="23"/>
      <c r="B2030" s="23"/>
      <c r="C2030" s="23"/>
      <c r="D2030" s="23"/>
      <c r="E2030" s="23"/>
      <c r="F2030" s="23"/>
      <c r="G2030" s="23"/>
      <c r="H2030" s="22"/>
      <c r="I2030" s="23"/>
      <c r="J2030" s="23"/>
      <c r="K2030" s="23"/>
      <c r="L2030" s="32" t="s">
        <v>39</v>
      </c>
      <c r="M2030" s="33">
        <v>55</v>
      </c>
      <c r="N2030" s="33">
        <v>3</v>
      </c>
      <c r="O2030" s="33">
        <v>9</v>
      </c>
      <c r="P2030" s="32">
        <v>1</v>
      </c>
      <c r="Q2030" s="33">
        <v>1</v>
      </c>
      <c r="R2030" s="32">
        <v>0</v>
      </c>
      <c r="S2030" s="32">
        <v>0</v>
      </c>
      <c r="Z2030" s="32" t="s">
        <v>277</v>
      </c>
      <c r="AA2030" s="23"/>
      <c r="AB2030" s="3" t="str">
        <f t="shared" si="16"/>
        <v>___</v>
      </c>
      <c r="AC2030" s="3" t="str">
        <f t="shared" si="17"/>
        <v>____</v>
      </c>
    </row>
    <row r="2031" spans="1:30" ht="14">
      <c r="A2031" s="23"/>
      <c r="B2031" s="23"/>
      <c r="C2031" s="32" t="s">
        <v>276</v>
      </c>
      <c r="D2031" s="32" t="s">
        <v>81</v>
      </c>
      <c r="E2031" s="23"/>
      <c r="F2031" s="23"/>
      <c r="G2031" s="32" t="s">
        <v>35</v>
      </c>
      <c r="H2031" s="33">
        <v>4</v>
      </c>
      <c r="I2031" s="32">
        <v>17.3</v>
      </c>
      <c r="J2031" s="32">
        <v>18.399999999999999</v>
      </c>
      <c r="K2031" s="32">
        <v>4</v>
      </c>
      <c r="L2031" s="32" t="s">
        <v>36</v>
      </c>
      <c r="M2031" s="33">
        <v>37</v>
      </c>
      <c r="N2031" s="33">
        <v>9</v>
      </c>
      <c r="O2031" s="33">
        <v>12</v>
      </c>
      <c r="P2031" s="32">
        <v>0</v>
      </c>
      <c r="Q2031" s="33">
        <v>0</v>
      </c>
      <c r="R2031" s="32">
        <v>0</v>
      </c>
      <c r="S2031" s="32">
        <v>1</v>
      </c>
      <c r="Z2031" s="32" t="s">
        <v>278</v>
      </c>
      <c r="AA2031" s="23"/>
      <c r="AB2031" s="3" t="str">
        <f t="shared" si="16"/>
        <v>_MK17_4__vv</v>
      </c>
      <c r="AC2031" s="3" t="str">
        <f t="shared" si="17"/>
        <v>_MK17_4__vv_4</v>
      </c>
      <c r="AD2031" s="3" t="s">
        <v>37</v>
      </c>
    </row>
    <row r="2032" spans="1:30" ht="14">
      <c r="A2032" s="23"/>
      <c r="B2032" s="23"/>
      <c r="C2032" s="23"/>
      <c r="D2032" s="23"/>
      <c r="E2032" s="23"/>
      <c r="F2032" s="23"/>
      <c r="G2032" s="23"/>
      <c r="H2032" s="22"/>
      <c r="I2032" s="23"/>
      <c r="J2032" s="23"/>
      <c r="K2032" s="23"/>
      <c r="L2032" s="32" t="s">
        <v>38</v>
      </c>
      <c r="M2032" s="33">
        <v>39</v>
      </c>
      <c r="N2032" s="33">
        <v>10</v>
      </c>
      <c r="O2032" s="33">
        <v>11</v>
      </c>
      <c r="P2032" s="32">
        <v>0</v>
      </c>
      <c r="Q2032" s="33">
        <v>0</v>
      </c>
      <c r="R2032" s="32">
        <v>0</v>
      </c>
      <c r="S2032" s="32">
        <v>0</v>
      </c>
      <c r="Z2032" s="32" t="s">
        <v>279</v>
      </c>
      <c r="AA2032" s="23"/>
      <c r="AB2032" s="3" t="str">
        <f t="shared" si="16"/>
        <v>___</v>
      </c>
      <c r="AC2032" s="3" t="str">
        <f t="shared" si="17"/>
        <v>____</v>
      </c>
    </row>
    <row r="2033" spans="1:30" ht="14">
      <c r="A2033" s="23"/>
      <c r="B2033" s="23"/>
      <c r="C2033" s="23"/>
      <c r="D2033" s="23"/>
      <c r="E2033" s="23"/>
      <c r="F2033" s="23"/>
      <c r="G2033" s="23"/>
      <c r="H2033" s="22"/>
      <c r="I2033" s="23"/>
      <c r="J2033" s="23"/>
      <c r="K2033" s="23"/>
      <c r="L2033" s="32" t="s">
        <v>39</v>
      </c>
      <c r="M2033" s="33">
        <v>19</v>
      </c>
      <c r="N2033" s="33">
        <v>2</v>
      </c>
      <c r="O2033" s="33">
        <v>11</v>
      </c>
      <c r="P2033" s="32">
        <v>0</v>
      </c>
      <c r="Q2033" s="33">
        <v>0</v>
      </c>
      <c r="R2033" s="32">
        <v>0</v>
      </c>
      <c r="S2033" s="32">
        <v>0</v>
      </c>
      <c r="Z2033" s="32" t="s">
        <v>279</v>
      </c>
      <c r="AA2033" s="23"/>
      <c r="AB2033" s="3" t="str">
        <f t="shared" si="16"/>
        <v>___</v>
      </c>
      <c r="AC2033" s="3" t="str">
        <f t="shared" si="17"/>
        <v>____</v>
      </c>
    </row>
    <row r="2034" spans="1:30" ht="14">
      <c r="A2034" s="23"/>
      <c r="B2034" s="23"/>
      <c r="C2034" s="32" t="s">
        <v>280</v>
      </c>
      <c r="D2034" s="32" t="s">
        <v>81</v>
      </c>
      <c r="E2034" s="23"/>
      <c r="F2034" s="23"/>
      <c r="G2034" s="32" t="s">
        <v>35</v>
      </c>
      <c r="H2034" s="33">
        <v>3</v>
      </c>
      <c r="I2034" s="32">
        <v>5.2</v>
      </c>
      <c r="J2034" s="32">
        <v>6.6</v>
      </c>
      <c r="K2034" s="32">
        <v>3</v>
      </c>
      <c r="L2034" s="32" t="s">
        <v>36</v>
      </c>
      <c r="M2034" s="33">
        <v>7</v>
      </c>
      <c r="N2034" s="33">
        <v>9</v>
      </c>
      <c r="O2034" s="33">
        <v>9</v>
      </c>
      <c r="P2034" s="32">
        <v>0</v>
      </c>
      <c r="Q2034" s="33">
        <v>0</v>
      </c>
      <c r="R2034" s="32">
        <v>0</v>
      </c>
      <c r="S2034" s="32">
        <v>1</v>
      </c>
      <c r="Z2034" s="23"/>
      <c r="AA2034" s="23"/>
      <c r="AB2034" s="3" t="str">
        <f t="shared" si="16"/>
        <v>_MK19_3__vv</v>
      </c>
      <c r="AC2034" s="3" t="str">
        <f t="shared" si="17"/>
        <v>_MK19_3__vv_3</v>
      </c>
      <c r="AD2034" s="3" t="s">
        <v>37</v>
      </c>
    </row>
    <row r="2035" spans="1:30" ht="14">
      <c r="A2035" s="23"/>
      <c r="B2035" s="23"/>
      <c r="C2035" s="23"/>
      <c r="D2035" s="23"/>
      <c r="E2035" s="23"/>
      <c r="F2035" s="23"/>
      <c r="G2035" s="23"/>
      <c r="H2035" s="22"/>
      <c r="I2035" s="23"/>
      <c r="J2035" s="23"/>
      <c r="K2035" s="23"/>
      <c r="L2035" s="32" t="s">
        <v>38</v>
      </c>
      <c r="M2035" s="33">
        <v>12</v>
      </c>
      <c r="N2035" s="33">
        <v>9</v>
      </c>
      <c r="O2035" s="33">
        <v>12</v>
      </c>
      <c r="P2035" s="32">
        <v>0</v>
      </c>
      <c r="Q2035" s="33">
        <v>0</v>
      </c>
      <c r="R2035" s="32">
        <v>0</v>
      </c>
      <c r="S2035" s="32">
        <v>0</v>
      </c>
      <c r="Z2035" s="23"/>
      <c r="AA2035" s="23"/>
      <c r="AB2035" s="3" t="str">
        <f t="shared" si="16"/>
        <v>___</v>
      </c>
      <c r="AC2035" s="3" t="str">
        <f t="shared" si="17"/>
        <v>____</v>
      </c>
    </row>
    <row r="2036" spans="1:30" ht="14">
      <c r="A2036" s="23"/>
      <c r="B2036" s="23"/>
      <c r="C2036" s="23"/>
      <c r="D2036" s="23"/>
      <c r="E2036" s="23"/>
      <c r="F2036" s="23"/>
      <c r="G2036" s="23"/>
      <c r="H2036" s="22"/>
      <c r="I2036" s="23"/>
      <c r="J2036" s="23"/>
      <c r="K2036" s="23"/>
      <c r="L2036" s="32" t="s">
        <v>39</v>
      </c>
      <c r="M2036" s="33">
        <v>21</v>
      </c>
      <c r="N2036" s="33">
        <v>5</v>
      </c>
      <c r="O2036" s="33">
        <v>12</v>
      </c>
      <c r="P2036" s="32">
        <v>0</v>
      </c>
      <c r="Q2036" s="33">
        <v>0</v>
      </c>
      <c r="R2036" s="32">
        <v>0</v>
      </c>
      <c r="S2036" s="32">
        <v>0</v>
      </c>
      <c r="Z2036" s="23"/>
      <c r="AA2036" s="23"/>
      <c r="AB2036" s="3" t="str">
        <f t="shared" si="16"/>
        <v>___</v>
      </c>
      <c r="AC2036" s="3" t="str">
        <f t="shared" si="17"/>
        <v>____</v>
      </c>
    </row>
    <row r="2037" spans="1:30" ht="14">
      <c r="A2037" s="23"/>
      <c r="B2037" s="23"/>
      <c r="C2037" s="32" t="s">
        <v>281</v>
      </c>
      <c r="D2037" s="32" t="s">
        <v>81</v>
      </c>
      <c r="E2037" s="23"/>
      <c r="F2037" s="23"/>
      <c r="G2037" s="32" t="s">
        <v>35</v>
      </c>
      <c r="H2037" s="33">
        <v>1</v>
      </c>
      <c r="I2037" s="32">
        <v>9.4</v>
      </c>
      <c r="J2037" s="32">
        <v>11.5</v>
      </c>
      <c r="K2037" s="32">
        <v>3</v>
      </c>
      <c r="L2037" s="32" t="s">
        <v>36</v>
      </c>
      <c r="M2037" s="33">
        <v>40</v>
      </c>
      <c r="N2037" s="33">
        <v>12</v>
      </c>
      <c r="O2037" s="33">
        <v>12</v>
      </c>
      <c r="P2037" s="32">
        <v>0</v>
      </c>
      <c r="Q2037" s="33">
        <v>0</v>
      </c>
      <c r="R2037" s="23"/>
      <c r="S2037" s="23"/>
      <c r="Z2037" s="23"/>
      <c r="AA2037" s="23"/>
      <c r="AB2037" s="3" t="str">
        <f t="shared" si="16"/>
        <v>_MK3_1__vv</v>
      </c>
      <c r="AC2037" s="3" t="str">
        <f t="shared" si="17"/>
        <v>_MK3_1__vv_1</v>
      </c>
      <c r="AD2037" s="3" t="s">
        <v>37</v>
      </c>
    </row>
    <row r="2038" spans="1:30" ht="14">
      <c r="A2038" s="23"/>
      <c r="B2038" s="23"/>
      <c r="C2038" s="23"/>
      <c r="D2038" s="23"/>
      <c r="E2038" s="23"/>
      <c r="F2038" s="23"/>
      <c r="G2038" s="23"/>
      <c r="H2038" s="22"/>
      <c r="I2038" s="23"/>
      <c r="J2038" s="23"/>
      <c r="K2038" s="23"/>
      <c r="L2038" s="32" t="s">
        <v>38</v>
      </c>
      <c r="M2038" s="33">
        <v>61</v>
      </c>
      <c r="N2038" s="33">
        <v>6</v>
      </c>
      <c r="O2038" s="33">
        <v>14</v>
      </c>
      <c r="P2038" s="32">
        <v>1</v>
      </c>
      <c r="Q2038" s="33">
        <v>1</v>
      </c>
      <c r="R2038" s="23"/>
      <c r="S2038" s="23"/>
      <c r="Z2038" s="23"/>
      <c r="AA2038" s="23"/>
      <c r="AB2038" s="3" t="str">
        <f t="shared" si="16"/>
        <v>___</v>
      </c>
      <c r="AC2038" s="3" t="str">
        <f t="shared" si="17"/>
        <v>____</v>
      </c>
    </row>
    <row r="2039" spans="1:30" ht="14">
      <c r="A2039" s="23"/>
      <c r="B2039" s="23"/>
      <c r="C2039" s="23"/>
      <c r="D2039" s="23"/>
      <c r="E2039" s="23"/>
      <c r="F2039" s="23"/>
      <c r="G2039" s="23"/>
      <c r="H2039" s="22"/>
      <c r="I2039" s="23"/>
      <c r="J2039" s="23"/>
      <c r="K2039" s="23"/>
      <c r="L2039" s="32" t="s">
        <v>39</v>
      </c>
      <c r="M2039" s="33">
        <v>19</v>
      </c>
      <c r="N2039" s="33">
        <v>0</v>
      </c>
      <c r="O2039" s="33">
        <v>2</v>
      </c>
      <c r="P2039" s="32">
        <v>4</v>
      </c>
      <c r="Q2039" s="33">
        <v>4</v>
      </c>
      <c r="R2039" s="23"/>
      <c r="S2039" s="23"/>
      <c r="Z2039" s="23"/>
      <c r="AA2039" s="23"/>
      <c r="AB2039" s="3" t="str">
        <f t="shared" si="16"/>
        <v>___</v>
      </c>
      <c r="AC2039" s="3" t="str">
        <f t="shared" si="17"/>
        <v>____</v>
      </c>
    </row>
    <row r="2040" spans="1:30" ht="14">
      <c r="A2040" s="23"/>
      <c r="B2040" s="23"/>
      <c r="C2040" s="32" t="s">
        <v>282</v>
      </c>
      <c r="D2040" s="32" t="s">
        <v>81</v>
      </c>
      <c r="E2040" s="23"/>
      <c r="F2040" s="23"/>
      <c r="G2040" s="32" t="s">
        <v>35</v>
      </c>
      <c r="H2040" s="33">
        <v>3</v>
      </c>
      <c r="I2040" s="32">
        <v>11.3</v>
      </c>
      <c r="J2040" s="32">
        <v>13.5</v>
      </c>
      <c r="K2040" s="32">
        <v>3</v>
      </c>
      <c r="L2040" s="32" t="s">
        <v>36</v>
      </c>
      <c r="M2040" s="33">
        <v>27</v>
      </c>
      <c r="N2040" s="33">
        <v>14</v>
      </c>
      <c r="O2040" s="33">
        <v>15</v>
      </c>
      <c r="P2040" s="32">
        <v>0</v>
      </c>
      <c r="Q2040" s="33">
        <v>0</v>
      </c>
      <c r="R2040" s="32">
        <v>0</v>
      </c>
      <c r="S2040" s="32">
        <v>1</v>
      </c>
      <c r="Z2040" s="23"/>
      <c r="AA2040" s="23"/>
      <c r="AB2040" s="3" t="str">
        <f t="shared" si="16"/>
        <v>_MK6_3__vv</v>
      </c>
      <c r="AC2040" s="3" t="str">
        <f t="shared" si="17"/>
        <v>_MK6_3__vv_3</v>
      </c>
      <c r="AD2040" s="3" t="s">
        <v>37</v>
      </c>
    </row>
    <row r="2041" spans="1:30" ht="14">
      <c r="A2041" s="23"/>
      <c r="B2041" s="23"/>
      <c r="C2041" s="23"/>
      <c r="D2041" s="23"/>
      <c r="E2041" s="23"/>
      <c r="F2041" s="23"/>
      <c r="G2041" s="23"/>
      <c r="H2041" s="22"/>
      <c r="I2041" s="23"/>
      <c r="J2041" s="23"/>
      <c r="K2041" s="23"/>
      <c r="L2041" s="32" t="s">
        <v>38</v>
      </c>
      <c r="M2041" s="33">
        <v>35</v>
      </c>
      <c r="N2041" s="33">
        <v>6</v>
      </c>
      <c r="O2041" s="33">
        <v>14</v>
      </c>
      <c r="P2041" s="32">
        <v>0</v>
      </c>
      <c r="Q2041" s="33">
        <v>0</v>
      </c>
      <c r="R2041" s="32">
        <v>0</v>
      </c>
      <c r="S2041" s="32">
        <v>0</v>
      </c>
      <c r="Z2041" s="23"/>
      <c r="AA2041" s="23"/>
      <c r="AB2041" s="3" t="str">
        <f t="shared" si="16"/>
        <v>___</v>
      </c>
      <c r="AC2041" s="3" t="str">
        <f t="shared" si="17"/>
        <v>____</v>
      </c>
    </row>
    <row r="2042" spans="1:30" ht="14">
      <c r="A2042" s="23"/>
      <c r="B2042" s="23"/>
      <c r="C2042" s="23"/>
      <c r="D2042" s="23"/>
      <c r="E2042" s="23"/>
      <c r="F2042" s="23"/>
      <c r="G2042" s="23"/>
      <c r="H2042" s="22"/>
      <c r="I2042" s="23"/>
      <c r="J2042" s="23"/>
      <c r="K2042" s="23"/>
      <c r="L2042" s="32" t="s">
        <v>39</v>
      </c>
      <c r="M2042" s="33">
        <v>52</v>
      </c>
      <c r="N2042" s="33">
        <v>6</v>
      </c>
      <c r="O2042" s="33">
        <v>13</v>
      </c>
      <c r="P2042" s="32">
        <v>0</v>
      </c>
      <c r="Q2042" s="33">
        <v>0</v>
      </c>
      <c r="R2042" s="32">
        <v>0</v>
      </c>
      <c r="S2042" s="32">
        <v>0</v>
      </c>
      <c r="Z2042" s="23"/>
      <c r="AA2042" s="23"/>
      <c r="AB2042" s="3" t="str">
        <f t="shared" si="16"/>
        <v>___</v>
      </c>
      <c r="AC2042" s="3" t="str">
        <f t="shared" si="17"/>
        <v>____</v>
      </c>
    </row>
    <row r="2043" spans="1:30" ht="14">
      <c r="A2043" s="23"/>
      <c r="B2043" s="23"/>
      <c r="C2043" s="32" t="s">
        <v>283</v>
      </c>
      <c r="D2043" s="32" t="s">
        <v>81</v>
      </c>
      <c r="E2043" s="23"/>
      <c r="F2043" s="23"/>
      <c r="G2043" s="32" t="s">
        <v>35</v>
      </c>
      <c r="H2043" s="33">
        <v>4</v>
      </c>
      <c r="I2043" s="32">
        <v>15.7</v>
      </c>
      <c r="J2043" s="32">
        <v>17.5</v>
      </c>
      <c r="K2043" s="32">
        <v>5</v>
      </c>
      <c r="L2043" s="32" t="s">
        <v>36</v>
      </c>
      <c r="M2043" s="33">
        <v>31</v>
      </c>
      <c r="N2043" s="33">
        <v>10</v>
      </c>
      <c r="O2043" s="33">
        <v>11</v>
      </c>
      <c r="P2043" s="32">
        <v>0</v>
      </c>
      <c r="Q2043" s="33">
        <v>0</v>
      </c>
      <c r="R2043" s="23"/>
      <c r="S2043" s="23"/>
      <c r="Z2043" s="32" t="s">
        <v>284</v>
      </c>
      <c r="AA2043" s="23"/>
      <c r="AB2043" s="3" t="str">
        <f t="shared" si="16"/>
        <v>_MK4_4__vv</v>
      </c>
      <c r="AC2043" s="3" t="str">
        <f t="shared" si="17"/>
        <v>_MK4_4__vv_4</v>
      </c>
      <c r="AD2043" s="3" t="s">
        <v>37</v>
      </c>
    </row>
    <row r="2044" spans="1:30" ht="14">
      <c r="A2044" s="23"/>
      <c r="B2044" s="23"/>
      <c r="C2044" s="23"/>
      <c r="D2044" s="23"/>
      <c r="E2044" s="23"/>
      <c r="F2044" s="23"/>
      <c r="G2044" s="23"/>
      <c r="H2044" s="22"/>
      <c r="I2044" s="23"/>
      <c r="J2044" s="23"/>
      <c r="K2044" s="23"/>
      <c r="L2044" s="32" t="s">
        <v>38</v>
      </c>
      <c r="M2044" s="33">
        <v>27</v>
      </c>
      <c r="N2044" s="33">
        <v>10</v>
      </c>
      <c r="O2044" s="33">
        <v>10</v>
      </c>
      <c r="P2044" s="32">
        <v>0</v>
      </c>
      <c r="Q2044" s="33">
        <v>0</v>
      </c>
      <c r="R2044" s="23"/>
      <c r="S2044" s="23"/>
      <c r="Z2044" s="23"/>
      <c r="AA2044" s="23"/>
      <c r="AB2044" s="3" t="str">
        <f t="shared" si="16"/>
        <v>___</v>
      </c>
      <c r="AC2044" s="3" t="str">
        <f t="shared" si="17"/>
        <v>____</v>
      </c>
    </row>
    <row r="2045" spans="1:30" ht="14">
      <c r="A2045" s="23"/>
      <c r="B2045" s="23"/>
      <c r="C2045" s="23"/>
      <c r="D2045" s="23"/>
      <c r="E2045" s="23"/>
      <c r="F2045" s="23"/>
      <c r="G2045" s="23"/>
      <c r="H2045" s="22"/>
      <c r="I2045" s="23"/>
      <c r="J2045" s="23"/>
      <c r="K2045" s="23"/>
      <c r="L2045" s="32" t="s">
        <v>39</v>
      </c>
      <c r="M2045" s="33">
        <v>36</v>
      </c>
      <c r="N2045" s="33">
        <v>6</v>
      </c>
      <c r="O2045" s="33">
        <v>0</v>
      </c>
      <c r="P2045" s="32">
        <v>0</v>
      </c>
      <c r="Q2045" s="33">
        <v>0</v>
      </c>
      <c r="R2045" s="23"/>
      <c r="S2045" s="23"/>
      <c r="Z2045" s="23"/>
      <c r="AA2045" s="23"/>
      <c r="AB2045" s="3" t="str">
        <f t="shared" si="16"/>
        <v>___</v>
      </c>
      <c r="AC2045" s="3" t="str">
        <f t="shared" si="17"/>
        <v>____</v>
      </c>
    </row>
    <row r="2046" spans="1:30" ht="14">
      <c r="A2046" s="23"/>
      <c r="B2046" s="23"/>
      <c r="C2046" s="32" t="s">
        <v>282</v>
      </c>
      <c r="D2046" s="32" t="s">
        <v>81</v>
      </c>
      <c r="E2046" s="23"/>
      <c r="F2046" s="23"/>
      <c r="G2046" s="32" t="s">
        <v>35</v>
      </c>
      <c r="H2046" s="33">
        <v>3</v>
      </c>
      <c r="I2046" s="32">
        <v>9.5</v>
      </c>
      <c r="J2046" s="32">
        <v>15.2</v>
      </c>
      <c r="K2046" s="32">
        <v>3</v>
      </c>
      <c r="L2046" s="32" t="s">
        <v>36</v>
      </c>
      <c r="M2046" s="33">
        <v>29</v>
      </c>
      <c r="N2046" s="33">
        <v>9</v>
      </c>
      <c r="O2046" s="33">
        <v>10</v>
      </c>
      <c r="P2046" s="32">
        <v>0</v>
      </c>
      <c r="Q2046" s="33">
        <v>0</v>
      </c>
      <c r="R2046" s="23"/>
      <c r="S2046" s="23"/>
      <c r="Z2046" s="23"/>
      <c r="AA2046" s="23"/>
      <c r="AB2046" s="3" t="str">
        <f t="shared" si="16"/>
        <v>_MK6_3__vv</v>
      </c>
      <c r="AC2046" s="3" t="str">
        <f t="shared" si="17"/>
        <v>_MK6_3__vv_3</v>
      </c>
      <c r="AD2046" s="3" t="s">
        <v>37</v>
      </c>
    </row>
    <row r="2047" spans="1:30" ht="14">
      <c r="A2047" s="23"/>
      <c r="B2047" s="23"/>
      <c r="C2047" s="23"/>
      <c r="D2047" s="23"/>
      <c r="E2047" s="23"/>
      <c r="F2047" s="23"/>
      <c r="G2047" s="23"/>
      <c r="H2047" s="22"/>
      <c r="I2047" s="23"/>
      <c r="J2047" s="23"/>
      <c r="K2047" s="23"/>
      <c r="L2047" s="32" t="s">
        <v>38</v>
      </c>
      <c r="M2047" s="33">
        <v>103</v>
      </c>
      <c r="N2047" s="33">
        <v>6</v>
      </c>
      <c r="O2047" s="33">
        <v>13</v>
      </c>
      <c r="P2047" s="32">
        <v>0</v>
      </c>
      <c r="Q2047" s="33">
        <v>0</v>
      </c>
      <c r="R2047" s="23"/>
      <c r="S2047" s="23"/>
      <c r="Z2047" s="23"/>
      <c r="AA2047" s="23"/>
      <c r="AB2047" s="3" t="str">
        <f t="shared" si="16"/>
        <v>___</v>
      </c>
      <c r="AC2047" s="3" t="str">
        <f t="shared" si="17"/>
        <v>____</v>
      </c>
    </row>
    <row r="2048" spans="1:30" ht="14">
      <c r="A2048" s="23"/>
      <c r="B2048" s="23"/>
      <c r="C2048" s="23"/>
      <c r="D2048" s="23"/>
      <c r="E2048" s="23"/>
      <c r="F2048" s="23"/>
      <c r="G2048" s="23"/>
      <c r="H2048" s="22"/>
      <c r="I2048" s="23"/>
      <c r="J2048" s="23"/>
      <c r="K2048" s="23"/>
      <c r="L2048" s="32" t="s">
        <v>39</v>
      </c>
      <c r="M2048" s="33">
        <v>35</v>
      </c>
      <c r="N2048" s="33">
        <v>0</v>
      </c>
      <c r="O2048" s="33">
        <v>0</v>
      </c>
      <c r="P2048" s="32">
        <v>3</v>
      </c>
      <c r="Q2048" s="33">
        <v>1</v>
      </c>
      <c r="R2048" s="23"/>
      <c r="S2048" s="23"/>
      <c r="Z2048" s="23"/>
      <c r="AA2048" s="23"/>
      <c r="AB2048" s="3" t="str">
        <f t="shared" si="16"/>
        <v>___</v>
      </c>
      <c r="AC2048" s="3" t="str">
        <f t="shared" si="17"/>
        <v>____</v>
      </c>
    </row>
    <row r="2049" spans="1:30" ht="14">
      <c r="A2049" s="23"/>
      <c r="B2049" s="23"/>
      <c r="C2049" s="23" t="s">
        <v>285</v>
      </c>
      <c r="D2049" s="32" t="s">
        <v>81</v>
      </c>
      <c r="E2049" s="23"/>
      <c r="F2049" s="23"/>
      <c r="G2049" s="32" t="s">
        <v>35</v>
      </c>
      <c r="H2049" s="33">
        <v>2</v>
      </c>
      <c r="I2049" s="32">
        <v>11</v>
      </c>
      <c r="J2049" s="32">
        <v>14.1</v>
      </c>
      <c r="K2049" s="32">
        <v>2</v>
      </c>
      <c r="L2049" s="32" t="s">
        <v>36</v>
      </c>
      <c r="M2049" s="33">
        <v>67</v>
      </c>
      <c r="N2049" s="33">
        <v>10</v>
      </c>
      <c r="O2049" s="33">
        <v>17</v>
      </c>
      <c r="P2049" s="32">
        <v>0</v>
      </c>
      <c r="Q2049" s="33">
        <v>0</v>
      </c>
      <c r="R2049" s="32">
        <v>0</v>
      </c>
      <c r="S2049" s="32">
        <v>0</v>
      </c>
      <c r="Z2049" s="23"/>
      <c r="AA2049" s="23"/>
      <c r="AB2049" s="3" t="str">
        <f t="shared" si="16"/>
        <v>_MK3_2__vv</v>
      </c>
      <c r="AC2049" s="3" t="str">
        <f t="shared" si="17"/>
        <v>_MK3_2__vv_2</v>
      </c>
      <c r="AD2049" s="3" t="s">
        <v>37</v>
      </c>
    </row>
    <row r="2050" spans="1:30" ht="14">
      <c r="A2050" s="23"/>
      <c r="B2050" s="23"/>
      <c r="C2050" s="23"/>
      <c r="D2050" s="23"/>
      <c r="E2050" s="23"/>
      <c r="F2050" s="23"/>
      <c r="G2050" s="23"/>
      <c r="H2050" s="22"/>
      <c r="I2050" s="23"/>
      <c r="J2050" s="23"/>
      <c r="K2050" s="23"/>
      <c r="L2050" s="32" t="s">
        <v>38</v>
      </c>
      <c r="M2050" s="33">
        <v>51</v>
      </c>
      <c r="N2050" s="33">
        <v>1</v>
      </c>
      <c r="O2050" s="33">
        <v>10</v>
      </c>
      <c r="P2050" s="32">
        <v>0</v>
      </c>
      <c r="Q2050" s="33">
        <v>0</v>
      </c>
      <c r="R2050" s="32">
        <v>0</v>
      </c>
      <c r="S2050" s="32">
        <v>0</v>
      </c>
      <c r="Z2050" s="23" t="s">
        <v>286</v>
      </c>
      <c r="AA2050" s="23"/>
      <c r="AB2050" s="3" t="str">
        <f t="shared" si="16"/>
        <v>___</v>
      </c>
      <c r="AC2050" s="3" t="str">
        <f t="shared" si="17"/>
        <v>____</v>
      </c>
    </row>
    <row r="2051" spans="1:30" ht="14">
      <c r="A2051" s="23"/>
      <c r="B2051" s="23"/>
      <c r="C2051" s="23"/>
      <c r="D2051" s="23"/>
      <c r="E2051" s="23"/>
      <c r="F2051" s="23"/>
      <c r="G2051" s="23"/>
      <c r="H2051" s="22"/>
      <c r="I2051" s="23"/>
      <c r="J2051" s="23"/>
      <c r="K2051" s="23"/>
      <c r="L2051" s="32" t="s">
        <v>39</v>
      </c>
      <c r="M2051" s="33">
        <v>29</v>
      </c>
      <c r="N2051" s="33">
        <v>0</v>
      </c>
      <c r="O2051" s="33">
        <v>3</v>
      </c>
      <c r="P2051" s="32">
        <v>1</v>
      </c>
      <c r="Q2051" s="33">
        <v>1</v>
      </c>
      <c r="R2051" s="32">
        <v>0</v>
      </c>
      <c r="S2051" s="32">
        <v>0</v>
      </c>
      <c r="Z2051" s="23" t="s">
        <v>286</v>
      </c>
      <c r="AA2051" s="23"/>
      <c r="AB2051" s="3" t="str">
        <f t="shared" si="16"/>
        <v>___</v>
      </c>
      <c r="AC2051" s="3" t="str">
        <f t="shared" si="17"/>
        <v>____</v>
      </c>
    </row>
    <row r="2052" spans="1:30" ht="14">
      <c r="A2052" s="23"/>
      <c r="B2052" s="23"/>
      <c r="C2052" s="32" t="s">
        <v>287</v>
      </c>
      <c r="D2052" s="32" t="s">
        <v>81</v>
      </c>
      <c r="E2052" s="23"/>
      <c r="F2052" s="23"/>
      <c r="G2052" s="32" t="s">
        <v>35</v>
      </c>
      <c r="H2052" s="33">
        <v>3</v>
      </c>
      <c r="I2052" s="32">
        <v>12.5</v>
      </c>
      <c r="J2052" s="32">
        <v>14.4</v>
      </c>
      <c r="K2052" s="32">
        <v>4</v>
      </c>
      <c r="L2052" s="32" t="s">
        <v>36</v>
      </c>
      <c r="M2052" s="33">
        <v>68</v>
      </c>
      <c r="N2052" s="33">
        <v>18</v>
      </c>
      <c r="O2052" s="33">
        <v>18</v>
      </c>
      <c r="P2052" s="32">
        <v>0</v>
      </c>
      <c r="Q2052" s="33">
        <v>0</v>
      </c>
      <c r="R2052" s="32">
        <v>0</v>
      </c>
      <c r="S2052" s="32">
        <v>0</v>
      </c>
      <c r="Z2052" s="32" t="s">
        <v>288</v>
      </c>
      <c r="AA2052" s="23"/>
      <c r="AB2052" s="3" t="str">
        <f t="shared" si="16"/>
        <v>_MK3_3__vv</v>
      </c>
      <c r="AC2052" s="3" t="str">
        <f t="shared" si="17"/>
        <v>_MK3_3__vv_3</v>
      </c>
      <c r="AD2052" s="3" t="s">
        <v>37</v>
      </c>
    </row>
    <row r="2053" spans="1:30" ht="14">
      <c r="A2053" s="23"/>
      <c r="B2053" s="23"/>
      <c r="C2053" s="23"/>
      <c r="D2053" s="23"/>
      <c r="E2053" s="23"/>
      <c r="F2053" s="23"/>
      <c r="G2053" s="23"/>
      <c r="H2053" s="22"/>
      <c r="I2053" s="23"/>
      <c r="J2053" s="23"/>
      <c r="K2053" s="23"/>
      <c r="L2053" s="32" t="s">
        <v>38</v>
      </c>
      <c r="M2053" s="33">
        <v>60</v>
      </c>
      <c r="N2053" s="33">
        <v>4</v>
      </c>
      <c r="O2053" s="33">
        <v>13</v>
      </c>
      <c r="P2053" s="32">
        <v>0</v>
      </c>
      <c r="Q2053" s="33">
        <v>0</v>
      </c>
      <c r="R2053" s="32">
        <v>0</v>
      </c>
      <c r="S2053" s="32">
        <v>0</v>
      </c>
      <c r="Z2053" s="23"/>
      <c r="AA2053" s="23"/>
      <c r="AB2053" s="3" t="str">
        <f t="shared" si="16"/>
        <v>___</v>
      </c>
      <c r="AC2053" s="3" t="str">
        <f t="shared" si="17"/>
        <v>____</v>
      </c>
    </row>
    <row r="2054" spans="1:30" ht="14">
      <c r="A2054" s="23"/>
      <c r="B2054" s="23"/>
      <c r="C2054" s="23"/>
      <c r="D2054" s="23"/>
      <c r="E2054" s="23"/>
      <c r="F2054" s="23"/>
      <c r="G2054" s="23"/>
      <c r="H2054" s="22"/>
      <c r="I2054" s="23"/>
      <c r="J2054" s="23"/>
      <c r="K2054" s="23"/>
      <c r="L2054" s="32" t="s">
        <v>39</v>
      </c>
      <c r="M2054" s="33">
        <v>20</v>
      </c>
      <c r="N2054" s="33">
        <v>0</v>
      </c>
      <c r="O2054" s="33">
        <v>6</v>
      </c>
      <c r="P2054" s="32">
        <v>0</v>
      </c>
      <c r="Q2054" s="33">
        <v>0</v>
      </c>
      <c r="R2054" s="32">
        <v>0</v>
      </c>
      <c r="S2054" s="32">
        <v>0</v>
      </c>
      <c r="Z2054" s="23"/>
      <c r="AA2054" s="23"/>
      <c r="AB2054" s="3" t="str">
        <f t="shared" si="16"/>
        <v>___</v>
      </c>
      <c r="AC2054" s="3" t="str">
        <f t="shared" si="17"/>
        <v>____</v>
      </c>
    </row>
    <row r="2055" spans="1:30" ht="14">
      <c r="A2055" s="23"/>
      <c r="B2055" s="23"/>
      <c r="C2055" s="32" t="s">
        <v>289</v>
      </c>
      <c r="D2055" s="32" t="s">
        <v>81</v>
      </c>
      <c r="E2055" s="23"/>
      <c r="F2055" s="23"/>
      <c r="G2055" s="32" t="s">
        <v>35</v>
      </c>
      <c r="H2055" s="33">
        <v>3</v>
      </c>
      <c r="I2055" s="32">
        <v>9.1</v>
      </c>
      <c r="J2055" s="32">
        <v>10</v>
      </c>
      <c r="K2055" s="32">
        <v>3</v>
      </c>
      <c r="L2055" s="32" t="s">
        <v>36</v>
      </c>
      <c r="M2055" s="33">
        <v>21</v>
      </c>
      <c r="N2055" s="33">
        <v>8</v>
      </c>
      <c r="O2055" s="33">
        <v>11</v>
      </c>
      <c r="P2055" s="32">
        <v>0</v>
      </c>
      <c r="Q2055" s="33">
        <v>0</v>
      </c>
      <c r="R2055" s="32">
        <v>0</v>
      </c>
      <c r="S2055" s="32">
        <v>0</v>
      </c>
      <c r="Z2055" s="23"/>
      <c r="AA2055" s="23"/>
      <c r="AB2055" s="3" t="str">
        <f t="shared" si="16"/>
        <v>_MK4_3__vv</v>
      </c>
      <c r="AC2055" s="3" t="str">
        <f t="shared" si="17"/>
        <v>_MK4_3__vv_3</v>
      </c>
      <c r="AD2055" s="3" t="s">
        <v>37</v>
      </c>
    </row>
    <row r="2056" spans="1:30" ht="14">
      <c r="A2056" s="23"/>
      <c r="B2056" s="23"/>
      <c r="C2056" s="23"/>
      <c r="D2056" s="23"/>
      <c r="E2056" s="23"/>
      <c r="F2056" s="23"/>
      <c r="G2056" s="23"/>
      <c r="H2056" s="22"/>
      <c r="I2056" s="23"/>
      <c r="J2056" s="23"/>
      <c r="K2056" s="23"/>
      <c r="L2056" s="32" t="s">
        <v>38</v>
      </c>
      <c r="M2056" s="33">
        <v>50</v>
      </c>
      <c r="N2056" s="33">
        <v>7</v>
      </c>
      <c r="O2056" s="33">
        <v>13</v>
      </c>
      <c r="P2056" s="32">
        <v>1</v>
      </c>
      <c r="Q2056" s="33">
        <v>1</v>
      </c>
      <c r="R2056" s="32">
        <v>0</v>
      </c>
      <c r="S2056" s="32">
        <v>0</v>
      </c>
      <c r="Z2056" s="23"/>
      <c r="AA2056" s="23"/>
      <c r="AB2056" s="3" t="str">
        <f t="shared" si="16"/>
        <v>___</v>
      </c>
      <c r="AC2056" s="3" t="str">
        <f t="shared" si="17"/>
        <v>____</v>
      </c>
    </row>
    <row r="2057" spans="1:30" ht="14">
      <c r="A2057" s="23"/>
      <c r="B2057" s="23"/>
      <c r="C2057" s="23"/>
      <c r="D2057" s="23"/>
      <c r="E2057" s="23"/>
      <c r="F2057" s="23"/>
      <c r="G2057" s="23"/>
      <c r="H2057" s="22"/>
      <c r="I2057" s="23"/>
      <c r="J2057" s="23"/>
      <c r="K2057" s="23"/>
      <c r="L2057" s="32" t="s">
        <v>39</v>
      </c>
      <c r="M2057" s="33">
        <v>32</v>
      </c>
      <c r="N2057" s="33">
        <v>1</v>
      </c>
      <c r="O2057" s="33">
        <v>5</v>
      </c>
      <c r="P2057" s="32">
        <v>1</v>
      </c>
      <c r="Q2057" s="33">
        <v>1</v>
      </c>
      <c r="R2057" s="32">
        <v>0</v>
      </c>
      <c r="S2057" s="32">
        <v>0</v>
      </c>
      <c r="Z2057" s="23"/>
      <c r="AA2057" s="23"/>
      <c r="AB2057" s="3" t="str">
        <f t="shared" si="16"/>
        <v>___</v>
      </c>
      <c r="AC2057" s="3" t="str">
        <f t="shared" si="17"/>
        <v>____</v>
      </c>
    </row>
    <row r="2058" spans="1:30" ht="14">
      <c r="A2058" s="23"/>
      <c r="B2058" s="23"/>
      <c r="C2058" s="32" t="s">
        <v>290</v>
      </c>
      <c r="D2058" s="32" t="s">
        <v>81</v>
      </c>
      <c r="E2058" s="23"/>
      <c r="F2058" s="23"/>
      <c r="G2058" s="32" t="s">
        <v>35</v>
      </c>
      <c r="H2058" s="33">
        <v>4</v>
      </c>
      <c r="I2058" s="32">
        <v>9.1999999999999993</v>
      </c>
      <c r="J2058" s="32">
        <v>15.1</v>
      </c>
      <c r="K2058" s="32">
        <v>4</v>
      </c>
      <c r="L2058" s="32" t="s">
        <v>36</v>
      </c>
      <c r="M2058" s="33">
        <v>55</v>
      </c>
      <c r="N2058" s="33">
        <v>12</v>
      </c>
      <c r="O2058" s="33">
        <v>12</v>
      </c>
      <c r="P2058" s="32">
        <v>0</v>
      </c>
      <c r="Q2058" s="33">
        <v>0</v>
      </c>
      <c r="R2058" s="32">
        <v>0</v>
      </c>
      <c r="S2058" s="32">
        <v>0</v>
      </c>
      <c r="Z2058" s="23"/>
      <c r="AA2058" s="23"/>
      <c r="AB2058" s="3" t="str">
        <f t="shared" si="16"/>
        <v>_MK6_4__vv</v>
      </c>
      <c r="AC2058" s="3" t="str">
        <f t="shared" si="17"/>
        <v>_MK6_4__vv_4</v>
      </c>
      <c r="AD2058" s="3" t="s">
        <v>37</v>
      </c>
    </row>
    <row r="2059" spans="1:30" ht="14">
      <c r="A2059" s="23"/>
      <c r="B2059" s="23"/>
      <c r="C2059" s="23"/>
      <c r="D2059" s="23"/>
      <c r="E2059" s="23"/>
      <c r="F2059" s="23"/>
      <c r="G2059" s="23"/>
      <c r="H2059" s="22"/>
      <c r="I2059" s="23"/>
      <c r="J2059" s="23"/>
      <c r="K2059" s="23"/>
      <c r="L2059" s="32" t="s">
        <v>38</v>
      </c>
      <c r="M2059" s="33">
        <v>42</v>
      </c>
      <c r="N2059" s="33">
        <v>10</v>
      </c>
      <c r="O2059" s="33">
        <v>10</v>
      </c>
      <c r="P2059" s="32">
        <v>0</v>
      </c>
      <c r="Q2059" s="33">
        <v>0</v>
      </c>
      <c r="R2059" s="32">
        <v>0</v>
      </c>
      <c r="S2059" s="32">
        <v>0</v>
      </c>
      <c r="Z2059" s="23"/>
      <c r="AA2059" s="23"/>
      <c r="AB2059" s="3" t="str">
        <f t="shared" si="16"/>
        <v>___</v>
      </c>
      <c r="AC2059" s="3" t="str">
        <f t="shared" si="17"/>
        <v>____</v>
      </c>
    </row>
    <row r="2060" spans="1:30" ht="14">
      <c r="A2060" s="23"/>
      <c r="B2060" s="23"/>
      <c r="C2060" s="23"/>
      <c r="D2060" s="23"/>
      <c r="E2060" s="23"/>
      <c r="F2060" s="23"/>
      <c r="G2060" s="23"/>
      <c r="H2060" s="22"/>
      <c r="I2060" s="23"/>
      <c r="J2060" s="23"/>
      <c r="K2060" s="23"/>
      <c r="L2060" s="32" t="s">
        <v>39</v>
      </c>
      <c r="M2060" s="33">
        <v>35</v>
      </c>
      <c r="N2060" s="33">
        <v>2</v>
      </c>
      <c r="O2060" s="33">
        <v>7</v>
      </c>
      <c r="P2060" s="32">
        <v>0</v>
      </c>
      <c r="Q2060" s="33">
        <v>0</v>
      </c>
      <c r="R2060" s="32">
        <v>0</v>
      </c>
      <c r="S2060" s="32">
        <v>0</v>
      </c>
      <c r="Z2060" s="23"/>
      <c r="AA2060" s="23"/>
      <c r="AB2060" s="3" t="str">
        <f t="shared" si="16"/>
        <v>___</v>
      </c>
      <c r="AC2060" s="3" t="str">
        <f t="shared" si="17"/>
        <v>____</v>
      </c>
    </row>
    <row r="2061" spans="1:30" ht="14">
      <c r="A2061" s="23"/>
      <c r="B2061" s="23"/>
      <c r="C2061" s="32" t="s">
        <v>291</v>
      </c>
      <c r="D2061" s="32" t="s">
        <v>81</v>
      </c>
      <c r="E2061" s="23"/>
      <c r="F2061" s="23"/>
      <c r="G2061" s="32" t="s">
        <v>35</v>
      </c>
      <c r="H2061" s="33">
        <v>2</v>
      </c>
      <c r="I2061" s="32">
        <v>10.6</v>
      </c>
      <c r="J2061" s="32">
        <v>13.6</v>
      </c>
      <c r="K2061" s="32">
        <v>4</v>
      </c>
      <c r="L2061" s="32" t="s">
        <v>36</v>
      </c>
      <c r="M2061" s="33">
        <v>37</v>
      </c>
      <c r="N2061" s="33">
        <v>6</v>
      </c>
      <c r="O2061" s="33">
        <v>12</v>
      </c>
      <c r="P2061" s="32">
        <v>0</v>
      </c>
      <c r="Q2061" s="33">
        <v>0</v>
      </c>
      <c r="R2061" s="32">
        <v>0</v>
      </c>
      <c r="S2061" s="32">
        <v>0</v>
      </c>
      <c r="Z2061" s="23"/>
      <c r="AA2061" s="23"/>
      <c r="AB2061" s="3" t="str">
        <f t="shared" si="16"/>
        <v>_MK5_2__vv</v>
      </c>
      <c r="AC2061" s="3" t="str">
        <f t="shared" si="17"/>
        <v>_MK5_2__vv_2</v>
      </c>
      <c r="AD2061" s="3" t="s">
        <v>37</v>
      </c>
    </row>
    <row r="2062" spans="1:30" ht="14">
      <c r="A2062" s="23"/>
      <c r="B2062" s="23"/>
      <c r="C2062" s="23"/>
      <c r="D2062" s="23"/>
      <c r="E2062" s="23"/>
      <c r="F2062" s="23"/>
      <c r="G2062" s="23"/>
      <c r="H2062" s="22"/>
      <c r="I2062" s="23"/>
      <c r="J2062" s="23"/>
      <c r="K2062" s="23"/>
      <c r="L2062" s="32" t="s">
        <v>38</v>
      </c>
      <c r="M2062" s="33">
        <v>41</v>
      </c>
      <c r="N2062" s="33">
        <v>5</v>
      </c>
      <c r="O2062" s="33">
        <v>11</v>
      </c>
      <c r="P2062" s="32">
        <v>0</v>
      </c>
      <c r="Q2062" s="33">
        <v>0</v>
      </c>
      <c r="R2062" s="32">
        <v>0</v>
      </c>
      <c r="S2062" s="32">
        <v>0</v>
      </c>
      <c r="Z2062" s="23"/>
      <c r="AA2062" s="23"/>
      <c r="AB2062" s="3" t="str">
        <f t="shared" si="16"/>
        <v>___</v>
      </c>
      <c r="AC2062" s="3" t="str">
        <f t="shared" si="17"/>
        <v>____</v>
      </c>
    </row>
    <row r="2063" spans="1:30" ht="14">
      <c r="A2063" s="23"/>
      <c r="B2063" s="23"/>
      <c r="C2063" s="23"/>
      <c r="D2063" s="23"/>
      <c r="E2063" s="23"/>
      <c r="F2063" s="23"/>
      <c r="G2063" s="23"/>
      <c r="H2063" s="22"/>
      <c r="I2063" s="23"/>
      <c r="J2063" s="23"/>
      <c r="K2063" s="23"/>
      <c r="L2063" s="32" t="s">
        <v>39</v>
      </c>
      <c r="M2063" s="33">
        <v>40</v>
      </c>
      <c r="N2063" s="33">
        <v>0</v>
      </c>
      <c r="O2063" s="33">
        <v>8</v>
      </c>
      <c r="P2063" s="32">
        <v>1</v>
      </c>
      <c r="Q2063" s="33">
        <v>1</v>
      </c>
      <c r="R2063" s="32">
        <v>0</v>
      </c>
      <c r="S2063" s="32">
        <v>0</v>
      </c>
      <c r="Z2063" s="23"/>
      <c r="AA2063" s="23"/>
      <c r="AB2063" s="3" t="str">
        <f t="shared" si="16"/>
        <v>___</v>
      </c>
      <c r="AC2063" s="3" t="str">
        <f t="shared" si="17"/>
        <v>____</v>
      </c>
    </row>
    <row r="2064" spans="1:30" ht="14">
      <c r="A2064" s="23"/>
      <c r="B2064" s="23"/>
      <c r="C2064" s="32" t="s">
        <v>292</v>
      </c>
      <c r="D2064" s="32" t="s">
        <v>81</v>
      </c>
      <c r="E2064" s="23"/>
      <c r="F2064" s="23"/>
      <c r="G2064" s="32" t="s">
        <v>35</v>
      </c>
      <c r="H2064" s="33">
        <v>2</v>
      </c>
      <c r="I2064" s="32">
        <v>14.5</v>
      </c>
      <c r="J2064" s="32">
        <v>15.3</v>
      </c>
      <c r="K2064" s="32">
        <v>5</v>
      </c>
      <c r="L2064" s="32" t="s">
        <v>36</v>
      </c>
      <c r="M2064" s="33">
        <v>29</v>
      </c>
      <c r="N2064" s="33">
        <v>10</v>
      </c>
      <c r="O2064" s="33">
        <v>10</v>
      </c>
      <c r="P2064" s="32">
        <v>0</v>
      </c>
      <c r="Q2064" s="33">
        <v>0</v>
      </c>
      <c r="R2064" s="32">
        <v>0</v>
      </c>
      <c r="S2064" s="32">
        <v>1</v>
      </c>
      <c r="Z2064" s="32" t="s">
        <v>293</v>
      </c>
      <c r="AA2064" s="23"/>
      <c r="AB2064" s="3" t="str">
        <f t="shared" si="16"/>
        <v>_MK6_2__vv</v>
      </c>
      <c r="AC2064" s="3" t="str">
        <f t="shared" si="17"/>
        <v>_MK6_2__vv_2</v>
      </c>
      <c r="AD2064" s="3" t="s">
        <v>37</v>
      </c>
    </row>
    <row r="2065" spans="1:30" ht="14">
      <c r="A2065" s="23"/>
      <c r="B2065" s="23"/>
      <c r="C2065" s="23"/>
      <c r="D2065" s="23"/>
      <c r="E2065" s="23"/>
      <c r="F2065" s="23"/>
      <c r="G2065" s="23"/>
      <c r="H2065" s="22"/>
      <c r="I2065" s="23"/>
      <c r="J2065" s="23"/>
      <c r="K2065" s="23"/>
      <c r="L2065" s="32" t="s">
        <v>38</v>
      </c>
      <c r="M2065" s="33">
        <v>29</v>
      </c>
      <c r="N2065" s="33">
        <v>9</v>
      </c>
      <c r="O2065" s="33">
        <v>9</v>
      </c>
      <c r="P2065" s="32">
        <v>0</v>
      </c>
      <c r="Q2065" s="33">
        <v>0</v>
      </c>
      <c r="R2065" s="32">
        <v>0</v>
      </c>
      <c r="S2065" s="32">
        <v>0</v>
      </c>
      <c r="Z2065" s="23"/>
      <c r="AA2065" s="23"/>
      <c r="AB2065" s="3" t="str">
        <f t="shared" si="16"/>
        <v>___</v>
      </c>
      <c r="AC2065" s="3" t="str">
        <f t="shared" si="17"/>
        <v>____</v>
      </c>
    </row>
    <row r="2066" spans="1:30" ht="14">
      <c r="A2066" s="23"/>
      <c r="B2066" s="23"/>
      <c r="C2066" s="23"/>
      <c r="D2066" s="23"/>
      <c r="E2066" s="23"/>
      <c r="F2066" s="23"/>
      <c r="G2066" s="23"/>
      <c r="H2066" s="22"/>
      <c r="I2066" s="23"/>
      <c r="J2066" s="23"/>
      <c r="K2066" s="23"/>
      <c r="L2066" s="32" t="s">
        <v>39</v>
      </c>
      <c r="M2066" s="33">
        <v>25</v>
      </c>
      <c r="N2066" s="33">
        <v>1</v>
      </c>
      <c r="O2066" s="33">
        <v>7</v>
      </c>
      <c r="P2066" s="32">
        <v>1</v>
      </c>
      <c r="Q2066" s="33">
        <v>1</v>
      </c>
      <c r="R2066" s="32">
        <v>0</v>
      </c>
      <c r="S2066" s="32">
        <v>0</v>
      </c>
      <c r="Z2066" s="23"/>
      <c r="AA2066" s="23"/>
      <c r="AB2066" s="3" t="str">
        <f t="shared" si="16"/>
        <v>___</v>
      </c>
      <c r="AC2066" s="3" t="str">
        <f t="shared" si="17"/>
        <v>____</v>
      </c>
    </row>
    <row r="2067" spans="1:30" ht="14">
      <c r="A2067" s="23"/>
      <c r="B2067" s="23"/>
      <c r="C2067" s="32" t="s">
        <v>294</v>
      </c>
      <c r="D2067" s="32" t="s">
        <v>81</v>
      </c>
      <c r="E2067" s="23"/>
      <c r="F2067" s="23"/>
      <c r="G2067" s="32" t="s">
        <v>35</v>
      </c>
      <c r="H2067" s="33">
        <v>1</v>
      </c>
      <c r="I2067" s="32">
        <v>9.1999999999999993</v>
      </c>
      <c r="J2067" s="32">
        <v>12.5</v>
      </c>
      <c r="K2067" s="32">
        <v>4</v>
      </c>
      <c r="L2067" s="32" t="s">
        <v>36</v>
      </c>
      <c r="M2067" s="33">
        <v>30</v>
      </c>
      <c r="N2067" s="33">
        <v>12</v>
      </c>
      <c r="O2067" s="33">
        <v>13</v>
      </c>
      <c r="P2067" s="32">
        <v>0</v>
      </c>
      <c r="Q2067" s="33">
        <v>0</v>
      </c>
      <c r="R2067" s="32">
        <v>0</v>
      </c>
      <c r="S2067" s="32">
        <v>1</v>
      </c>
      <c r="Z2067" s="32" t="s">
        <v>295</v>
      </c>
      <c r="AA2067" s="23"/>
      <c r="AB2067" s="3" t="str">
        <f t="shared" si="16"/>
        <v>_MK6_1__vv</v>
      </c>
      <c r="AC2067" s="3" t="str">
        <f t="shared" si="17"/>
        <v>_MK6_1__vv_1</v>
      </c>
      <c r="AD2067" s="3" t="s">
        <v>37</v>
      </c>
    </row>
    <row r="2068" spans="1:30" ht="14">
      <c r="A2068" s="23"/>
      <c r="B2068" s="23"/>
      <c r="C2068" s="23"/>
      <c r="D2068" s="23"/>
      <c r="E2068" s="23"/>
      <c r="F2068" s="23"/>
      <c r="G2068" s="23"/>
      <c r="H2068" s="22"/>
      <c r="I2068" s="23"/>
      <c r="J2068" s="23"/>
      <c r="K2068" s="23"/>
      <c r="L2068" s="32" t="s">
        <v>38</v>
      </c>
      <c r="M2068" s="33">
        <v>48</v>
      </c>
      <c r="N2068" s="33">
        <v>7</v>
      </c>
      <c r="O2068" s="33">
        <v>10</v>
      </c>
      <c r="P2068" s="32">
        <v>0</v>
      </c>
      <c r="Q2068" s="33">
        <v>0</v>
      </c>
      <c r="R2068" s="32">
        <v>0</v>
      </c>
      <c r="S2068" s="32">
        <v>0</v>
      </c>
      <c r="Z2068" s="23"/>
      <c r="AA2068" s="23"/>
      <c r="AB2068" s="3" t="str">
        <f t="shared" si="16"/>
        <v>___</v>
      </c>
      <c r="AC2068" s="3" t="str">
        <f t="shared" si="17"/>
        <v>____</v>
      </c>
    </row>
    <row r="2069" spans="1:30" ht="14">
      <c r="A2069" s="23"/>
      <c r="B2069" s="23"/>
      <c r="C2069" s="23"/>
      <c r="D2069" s="23"/>
      <c r="E2069" s="23"/>
      <c r="F2069" s="23"/>
      <c r="G2069" s="23"/>
      <c r="H2069" s="22"/>
      <c r="I2069" s="23"/>
      <c r="J2069" s="23"/>
      <c r="K2069" s="23"/>
      <c r="L2069" s="32" t="s">
        <v>39</v>
      </c>
      <c r="M2069" s="33">
        <v>11</v>
      </c>
      <c r="N2069" s="33">
        <v>0</v>
      </c>
      <c r="O2069" s="33">
        <v>1</v>
      </c>
      <c r="P2069" s="32">
        <v>0</v>
      </c>
      <c r="Q2069" s="33">
        <v>0</v>
      </c>
      <c r="R2069" s="32">
        <v>0</v>
      </c>
      <c r="S2069" s="32">
        <v>0</v>
      </c>
      <c r="Z2069" s="23"/>
      <c r="AA2069" s="23"/>
      <c r="AB2069" s="3" t="str">
        <f t="shared" si="16"/>
        <v>___</v>
      </c>
      <c r="AC2069" s="3" t="str">
        <f t="shared" si="17"/>
        <v>____</v>
      </c>
    </row>
    <row r="2070" spans="1:30" ht="14">
      <c r="A2070" s="23"/>
      <c r="B2070" s="23"/>
      <c r="C2070" s="32" t="s">
        <v>296</v>
      </c>
      <c r="D2070" s="32" t="s">
        <v>81</v>
      </c>
      <c r="E2070" s="23"/>
      <c r="F2070" s="23"/>
      <c r="G2070" s="32" t="s">
        <v>35</v>
      </c>
      <c r="H2070" s="33">
        <v>1</v>
      </c>
      <c r="I2070" s="32">
        <v>10.199999999999999</v>
      </c>
      <c r="J2070" s="32">
        <v>14.3</v>
      </c>
      <c r="K2070" s="32">
        <v>5</v>
      </c>
      <c r="L2070" s="32" t="s">
        <v>36</v>
      </c>
      <c r="M2070" s="33">
        <v>45</v>
      </c>
      <c r="N2070" s="33">
        <v>8</v>
      </c>
      <c r="O2070" s="33">
        <v>10</v>
      </c>
      <c r="P2070" s="32">
        <v>0</v>
      </c>
      <c r="Q2070" s="33">
        <v>0</v>
      </c>
      <c r="R2070" s="32">
        <v>0</v>
      </c>
      <c r="S2070" s="32">
        <v>0</v>
      </c>
      <c r="Z2070" s="23"/>
      <c r="AA2070" s="23"/>
      <c r="AB2070" s="3" t="str">
        <f t="shared" si="16"/>
        <v>_MK5_1__vv</v>
      </c>
      <c r="AC2070" s="3" t="str">
        <f t="shared" si="17"/>
        <v>_MK5_1__vv_1</v>
      </c>
      <c r="AD2070" s="3" t="s">
        <v>37</v>
      </c>
    </row>
    <row r="2071" spans="1:30" ht="14">
      <c r="A2071" s="23"/>
      <c r="B2071" s="23"/>
      <c r="C2071" s="23"/>
      <c r="D2071" s="23"/>
      <c r="E2071" s="23"/>
      <c r="F2071" s="23"/>
      <c r="G2071" s="23"/>
      <c r="H2071" s="22"/>
      <c r="I2071" s="23"/>
      <c r="J2071" s="23"/>
      <c r="K2071" s="23"/>
      <c r="L2071" s="32" t="s">
        <v>38</v>
      </c>
      <c r="M2071" s="33">
        <v>27</v>
      </c>
      <c r="N2071" s="33">
        <v>2</v>
      </c>
      <c r="O2071" s="33">
        <v>9</v>
      </c>
      <c r="P2071" s="32">
        <v>0</v>
      </c>
      <c r="Q2071" s="32">
        <v>0</v>
      </c>
      <c r="R2071" s="32">
        <v>0</v>
      </c>
      <c r="S2071" s="32">
        <v>0</v>
      </c>
      <c r="Z2071" s="23"/>
      <c r="AA2071" s="23"/>
      <c r="AB2071" s="3" t="str">
        <f t="shared" si="16"/>
        <v>___</v>
      </c>
      <c r="AC2071" s="3" t="str">
        <f t="shared" si="17"/>
        <v>____</v>
      </c>
    </row>
    <row r="2072" spans="1:30" ht="14">
      <c r="A2072" s="23"/>
      <c r="B2072" s="23"/>
      <c r="C2072" s="23"/>
      <c r="D2072" s="23"/>
      <c r="E2072" s="23"/>
      <c r="F2072" s="23"/>
      <c r="G2072" s="23"/>
      <c r="H2072" s="22"/>
      <c r="I2072" s="23"/>
      <c r="J2072" s="23"/>
      <c r="K2072" s="23"/>
      <c r="L2072" s="32" t="s">
        <v>39</v>
      </c>
      <c r="M2072" s="33">
        <v>26</v>
      </c>
      <c r="N2072" s="33">
        <v>0</v>
      </c>
      <c r="O2072" s="33">
        <v>8</v>
      </c>
      <c r="P2072" s="32">
        <v>0</v>
      </c>
      <c r="Q2072" s="32">
        <v>0</v>
      </c>
      <c r="R2072" s="32">
        <v>0</v>
      </c>
      <c r="S2072" s="32">
        <v>0</v>
      </c>
      <c r="Z2072" s="23"/>
      <c r="AA2072" s="23"/>
      <c r="AB2072" s="3" t="str">
        <f t="shared" si="16"/>
        <v>___</v>
      </c>
      <c r="AC2072" s="3" t="str">
        <f t="shared" si="17"/>
        <v>____</v>
      </c>
    </row>
    <row r="2073" spans="1:30" ht="14">
      <c r="A2073" s="23"/>
      <c r="B2073" s="23"/>
      <c r="C2073" s="32" t="s">
        <v>297</v>
      </c>
      <c r="D2073" s="32" t="s">
        <v>81</v>
      </c>
      <c r="E2073" s="23"/>
      <c r="F2073" s="23"/>
      <c r="G2073" s="32" t="s">
        <v>35</v>
      </c>
      <c r="H2073" s="33">
        <v>4</v>
      </c>
      <c r="I2073" s="32">
        <v>7.2</v>
      </c>
      <c r="J2073" s="32">
        <v>11</v>
      </c>
      <c r="K2073" s="32">
        <v>4</v>
      </c>
      <c r="L2073" s="32" t="s">
        <v>36</v>
      </c>
      <c r="M2073" s="33">
        <v>7</v>
      </c>
      <c r="N2073" s="33">
        <v>3</v>
      </c>
      <c r="O2073" s="33">
        <v>7</v>
      </c>
      <c r="P2073" s="32">
        <v>0</v>
      </c>
      <c r="Q2073" s="33">
        <v>0</v>
      </c>
      <c r="R2073" s="32">
        <v>0</v>
      </c>
      <c r="S2073" s="32">
        <v>0</v>
      </c>
      <c r="Z2073" s="23"/>
      <c r="AA2073" s="23"/>
      <c r="AB2073" s="3" t="str">
        <f t="shared" si="16"/>
        <v>_MK7_4__vv</v>
      </c>
      <c r="AC2073" s="3" t="str">
        <f t="shared" si="17"/>
        <v>_MK7_4__vv_4</v>
      </c>
      <c r="AD2073" s="3" t="s">
        <v>37</v>
      </c>
    </row>
    <row r="2074" spans="1:30" ht="14">
      <c r="A2074" s="23"/>
      <c r="B2074" s="23"/>
      <c r="C2074" s="23"/>
      <c r="D2074" s="23"/>
      <c r="E2074" s="23"/>
      <c r="F2074" s="23"/>
      <c r="G2074" s="23"/>
      <c r="H2074" s="22"/>
      <c r="I2074" s="23"/>
      <c r="J2074" s="23"/>
      <c r="K2074" s="23"/>
      <c r="L2074" s="32" t="s">
        <v>38</v>
      </c>
      <c r="M2074" s="33">
        <v>21</v>
      </c>
      <c r="N2074" s="33">
        <v>7</v>
      </c>
      <c r="O2074" s="33">
        <v>11</v>
      </c>
      <c r="P2074" s="32">
        <v>0</v>
      </c>
      <c r="Q2074" s="33">
        <v>0</v>
      </c>
      <c r="R2074" s="32">
        <v>0</v>
      </c>
      <c r="S2074" s="32">
        <v>0</v>
      </c>
      <c r="Z2074" s="23"/>
      <c r="AA2074" s="23"/>
      <c r="AB2074" s="3" t="str">
        <f t="shared" si="16"/>
        <v>___</v>
      </c>
      <c r="AC2074" s="3" t="str">
        <f t="shared" si="17"/>
        <v>____</v>
      </c>
    </row>
    <row r="2075" spans="1:30" ht="14">
      <c r="A2075" s="23"/>
      <c r="B2075" s="23"/>
      <c r="C2075" s="23"/>
      <c r="D2075" s="23"/>
      <c r="E2075" s="23"/>
      <c r="F2075" s="23"/>
      <c r="G2075" s="23"/>
      <c r="H2075" s="22"/>
      <c r="I2075" s="23"/>
      <c r="J2075" s="23"/>
      <c r="K2075" s="23"/>
      <c r="L2075" s="32" t="s">
        <v>39</v>
      </c>
      <c r="M2075" s="33">
        <v>50</v>
      </c>
      <c r="N2075" s="33">
        <v>1</v>
      </c>
      <c r="O2075" s="33">
        <v>13</v>
      </c>
      <c r="P2075" s="32">
        <v>13</v>
      </c>
      <c r="Q2075" s="33">
        <v>0</v>
      </c>
      <c r="R2075" s="32">
        <v>0</v>
      </c>
      <c r="S2075" s="32">
        <v>0</v>
      </c>
      <c r="Z2075" s="23"/>
      <c r="AA2075" s="23"/>
      <c r="AB2075" s="3" t="str">
        <f t="shared" si="16"/>
        <v>___</v>
      </c>
      <c r="AC2075" s="3" t="str">
        <f t="shared" si="17"/>
        <v>____</v>
      </c>
    </row>
    <row r="2076" spans="1:30" ht="14">
      <c r="A2076" s="23"/>
      <c r="B2076" s="23"/>
      <c r="C2076" s="32" t="s">
        <v>298</v>
      </c>
      <c r="D2076" s="32" t="s">
        <v>81</v>
      </c>
      <c r="E2076" s="23"/>
      <c r="F2076" s="23"/>
      <c r="G2076" s="32" t="s">
        <v>35</v>
      </c>
      <c r="H2076" s="33">
        <v>2</v>
      </c>
      <c r="I2076" s="32">
        <v>10.7</v>
      </c>
      <c r="J2076" s="32">
        <v>11.1</v>
      </c>
      <c r="K2076" s="32">
        <v>4</v>
      </c>
      <c r="L2076" s="32" t="s">
        <v>36</v>
      </c>
      <c r="M2076" s="33">
        <v>21</v>
      </c>
      <c r="N2076" s="33">
        <v>11</v>
      </c>
      <c r="O2076" s="33">
        <v>11</v>
      </c>
      <c r="P2076" s="32">
        <v>0</v>
      </c>
      <c r="Q2076" s="33">
        <v>0</v>
      </c>
      <c r="R2076" s="32">
        <v>0</v>
      </c>
      <c r="S2076" s="32">
        <v>1</v>
      </c>
      <c r="Z2076" s="23"/>
      <c r="AA2076" s="23"/>
      <c r="AB2076" s="3" t="str">
        <f t="shared" si="16"/>
        <v>_MK7_2__vv</v>
      </c>
      <c r="AC2076" s="3" t="str">
        <f t="shared" si="17"/>
        <v>_MK7_2__vv_2</v>
      </c>
      <c r="AD2076" s="3" t="s">
        <v>37</v>
      </c>
    </row>
    <row r="2077" spans="1:30" ht="14">
      <c r="A2077" s="23"/>
      <c r="B2077" s="23"/>
      <c r="C2077" s="23"/>
      <c r="D2077" s="23"/>
      <c r="E2077" s="23"/>
      <c r="F2077" s="23"/>
      <c r="G2077" s="23"/>
      <c r="H2077" s="22"/>
      <c r="I2077" s="23"/>
      <c r="J2077" s="23"/>
      <c r="K2077" s="23"/>
      <c r="L2077" s="32" t="s">
        <v>38</v>
      </c>
      <c r="M2077" s="33">
        <v>29</v>
      </c>
      <c r="N2077" s="33">
        <v>10</v>
      </c>
      <c r="O2077" s="33">
        <v>12</v>
      </c>
      <c r="P2077" s="32">
        <v>0</v>
      </c>
      <c r="Q2077" s="33">
        <v>0</v>
      </c>
      <c r="R2077" s="32">
        <v>0</v>
      </c>
      <c r="S2077" s="32">
        <v>0</v>
      </c>
      <c r="Z2077" s="23"/>
      <c r="AA2077" s="23"/>
      <c r="AB2077" s="3" t="str">
        <f t="shared" si="16"/>
        <v>___</v>
      </c>
      <c r="AC2077" s="3" t="str">
        <f t="shared" si="17"/>
        <v>____</v>
      </c>
    </row>
    <row r="2078" spans="1:30" ht="14">
      <c r="A2078" s="23"/>
      <c r="B2078" s="23"/>
      <c r="C2078" s="23"/>
      <c r="D2078" s="23"/>
      <c r="E2078" s="23"/>
      <c r="F2078" s="23"/>
      <c r="G2078" s="23"/>
      <c r="H2078" s="22"/>
      <c r="I2078" s="23"/>
      <c r="J2078" s="23"/>
      <c r="K2078" s="23"/>
      <c r="L2078" s="32" t="s">
        <v>39</v>
      </c>
      <c r="M2078" s="33">
        <v>42</v>
      </c>
      <c r="N2078" s="33">
        <v>4</v>
      </c>
      <c r="O2078" s="33">
        <v>13</v>
      </c>
      <c r="P2078" s="32">
        <v>0</v>
      </c>
      <c r="Q2078" s="33">
        <v>0</v>
      </c>
      <c r="R2078" s="32">
        <v>0</v>
      </c>
      <c r="S2078" s="32">
        <v>0</v>
      </c>
      <c r="Z2078" s="23"/>
      <c r="AA2078" s="23"/>
      <c r="AB2078" s="3" t="str">
        <f t="shared" si="16"/>
        <v>___</v>
      </c>
      <c r="AC2078" s="3" t="str">
        <f t="shared" si="17"/>
        <v>____</v>
      </c>
    </row>
    <row r="2079" spans="1:30" ht="14">
      <c r="A2079" s="23"/>
      <c r="B2079" s="23"/>
      <c r="C2079" s="32" t="s">
        <v>299</v>
      </c>
      <c r="D2079" s="32" t="s">
        <v>81</v>
      </c>
      <c r="E2079" s="23"/>
      <c r="F2079" s="23"/>
      <c r="G2079" s="32" t="s">
        <v>35</v>
      </c>
      <c r="H2079" s="33">
        <v>1</v>
      </c>
      <c r="I2079" s="32">
        <v>15.6</v>
      </c>
      <c r="J2079" s="32">
        <v>18.600000000000001</v>
      </c>
      <c r="K2079" s="32">
        <v>3</v>
      </c>
      <c r="L2079" s="32" t="s">
        <v>36</v>
      </c>
      <c r="M2079" s="33">
        <v>101</v>
      </c>
      <c r="N2079" s="33">
        <v>11</v>
      </c>
      <c r="O2079" s="33">
        <v>16</v>
      </c>
      <c r="P2079" s="32">
        <v>0</v>
      </c>
      <c r="Q2079" s="33">
        <v>0</v>
      </c>
      <c r="R2079" s="32">
        <v>0</v>
      </c>
      <c r="S2079" s="32">
        <v>1</v>
      </c>
      <c r="Z2079" s="23"/>
      <c r="AA2079" s="23"/>
      <c r="AB2079" s="3" t="str">
        <f t="shared" si="16"/>
        <v>_MK4_1__vv</v>
      </c>
      <c r="AC2079" s="3" t="str">
        <f t="shared" si="17"/>
        <v>_MK4_1__vv_1</v>
      </c>
      <c r="AD2079" s="3" t="s">
        <v>37</v>
      </c>
    </row>
    <row r="2080" spans="1:30" ht="14">
      <c r="A2080" s="23"/>
      <c r="B2080" s="23"/>
      <c r="C2080" s="23"/>
      <c r="D2080" s="23"/>
      <c r="E2080" s="23"/>
      <c r="F2080" s="23"/>
      <c r="G2080" s="23"/>
      <c r="H2080" s="22"/>
      <c r="I2080" s="23"/>
      <c r="J2080" s="23"/>
      <c r="K2080" s="23"/>
      <c r="L2080" s="32" t="s">
        <v>38</v>
      </c>
      <c r="M2080" s="33">
        <v>76</v>
      </c>
      <c r="N2080" s="33">
        <v>2</v>
      </c>
      <c r="O2080" s="33">
        <v>15</v>
      </c>
      <c r="P2080" s="32">
        <v>0</v>
      </c>
      <c r="Q2080" s="33">
        <v>0</v>
      </c>
      <c r="R2080" s="32">
        <v>0</v>
      </c>
      <c r="S2080" s="32">
        <v>0</v>
      </c>
      <c r="Z2080" s="23"/>
      <c r="AA2080" s="23"/>
      <c r="AB2080" s="3" t="str">
        <f t="shared" si="16"/>
        <v>___</v>
      </c>
      <c r="AC2080" s="3" t="str">
        <f t="shared" si="17"/>
        <v>____</v>
      </c>
    </row>
    <row r="2081" spans="1:30" ht="14">
      <c r="A2081" s="23"/>
      <c r="B2081" s="23"/>
      <c r="C2081" s="23"/>
      <c r="D2081" s="23"/>
      <c r="E2081" s="23"/>
      <c r="F2081" s="23"/>
      <c r="G2081" s="23"/>
      <c r="H2081" s="22"/>
      <c r="I2081" s="23"/>
      <c r="J2081" s="23"/>
      <c r="K2081" s="23"/>
      <c r="L2081" s="32" t="s">
        <v>39</v>
      </c>
      <c r="M2081" s="33">
        <v>9</v>
      </c>
      <c r="N2081" s="33">
        <v>0</v>
      </c>
      <c r="O2081" s="33">
        <v>1</v>
      </c>
      <c r="P2081" s="32">
        <v>1</v>
      </c>
      <c r="Q2081" s="33">
        <v>1</v>
      </c>
      <c r="R2081" s="32">
        <v>0</v>
      </c>
      <c r="S2081" s="32">
        <v>0</v>
      </c>
      <c r="Z2081" s="23"/>
      <c r="AA2081" s="23"/>
      <c r="AB2081" s="3" t="str">
        <f t="shared" si="16"/>
        <v>___</v>
      </c>
      <c r="AC2081" s="3" t="str">
        <f t="shared" si="17"/>
        <v>____</v>
      </c>
    </row>
    <row r="2082" spans="1:30" ht="14">
      <c r="A2082" s="23"/>
      <c r="B2082" s="23"/>
      <c r="C2082" s="32" t="s">
        <v>300</v>
      </c>
      <c r="D2082" s="32" t="s">
        <v>81</v>
      </c>
      <c r="E2082" s="23"/>
      <c r="F2082" s="23"/>
      <c r="G2082" s="32" t="s">
        <v>35</v>
      </c>
      <c r="H2082" s="33">
        <v>4</v>
      </c>
      <c r="I2082" s="32">
        <v>10</v>
      </c>
      <c r="J2082" s="32">
        <v>18.100000000000001</v>
      </c>
      <c r="K2082" s="32">
        <v>6</v>
      </c>
      <c r="L2082" s="32" t="s">
        <v>36</v>
      </c>
      <c r="M2082" s="33">
        <v>15</v>
      </c>
      <c r="N2082" s="33">
        <v>9</v>
      </c>
      <c r="O2082" s="33">
        <v>10</v>
      </c>
      <c r="P2082" s="32">
        <v>0</v>
      </c>
      <c r="Q2082" s="33">
        <v>0</v>
      </c>
      <c r="R2082" s="32">
        <v>0</v>
      </c>
      <c r="S2082" s="32">
        <v>1</v>
      </c>
      <c r="Z2082" s="23"/>
      <c r="AA2082" s="23"/>
      <c r="AB2082" s="3" t="str">
        <f t="shared" si="16"/>
        <v>_MK5_4__vv</v>
      </c>
      <c r="AC2082" s="3" t="str">
        <f t="shared" si="17"/>
        <v>_MK5_4__vv_4</v>
      </c>
      <c r="AD2082" s="3" t="s">
        <v>37</v>
      </c>
    </row>
    <row r="2083" spans="1:30" ht="14">
      <c r="A2083" s="23"/>
      <c r="B2083" s="23"/>
      <c r="C2083" s="23"/>
      <c r="D2083" s="23"/>
      <c r="E2083" s="23"/>
      <c r="F2083" s="23"/>
      <c r="G2083" s="23"/>
      <c r="H2083" s="22"/>
      <c r="I2083" s="23"/>
      <c r="J2083" s="23"/>
      <c r="K2083" s="23"/>
      <c r="L2083" s="32" t="s">
        <v>38</v>
      </c>
      <c r="M2083" s="33">
        <v>20</v>
      </c>
      <c r="N2083" s="33">
        <v>6</v>
      </c>
      <c r="O2083" s="33">
        <v>13</v>
      </c>
      <c r="P2083" s="32">
        <v>0</v>
      </c>
      <c r="Q2083" s="33">
        <v>0</v>
      </c>
      <c r="R2083" s="32">
        <v>0</v>
      </c>
      <c r="S2083" s="32">
        <v>0</v>
      </c>
      <c r="Z2083" s="23"/>
      <c r="AA2083" s="23"/>
      <c r="AB2083" s="3" t="str">
        <f t="shared" si="16"/>
        <v>___</v>
      </c>
      <c r="AC2083" s="3" t="str">
        <f t="shared" si="17"/>
        <v>____</v>
      </c>
    </row>
    <row r="2084" spans="1:30" ht="14">
      <c r="A2084" s="23"/>
      <c r="B2084" s="23"/>
      <c r="C2084" s="23"/>
      <c r="D2084" s="23"/>
      <c r="E2084" s="23"/>
      <c r="F2084" s="23"/>
      <c r="G2084" s="23"/>
      <c r="H2084" s="22"/>
      <c r="I2084" s="23"/>
      <c r="J2084" s="23"/>
      <c r="K2084" s="23"/>
      <c r="L2084" s="32" t="s">
        <v>39</v>
      </c>
      <c r="M2084" s="33">
        <v>43</v>
      </c>
      <c r="N2084" s="33">
        <v>8</v>
      </c>
      <c r="O2084" s="33">
        <v>14</v>
      </c>
      <c r="P2084" s="32">
        <v>0</v>
      </c>
      <c r="Q2084" s="33">
        <v>0</v>
      </c>
      <c r="R2084" s="32">
        <v>0</v>
      </c>
      <c r="S2084" s="32">
        <v>0</v>
      </c>
      <c r="Z2084" s="23"/>
      <c r="AA2084" s="23"/>
      <c r="AB2084" s="3" t="str">
        <f t="shared" si="16"/>
        <v>___</v>
      </c>
      <c r="AC2084" s="3" t="str">
        <f t="shared" si="17"/>
        <v>____</v>
      </c>
    </row>
    <row r="2085" spans="1:30" ht="14">
      <c r="A2085" s="23"/>
      <c r="B2085" s="23"/>
      <c r="C2085" s="32" t="s">
        <v>301</v>
      </c>
      <c r="D2085" s="32" t="s">
        <v>81</v>
      </c>
      <c r="E2085" s="23"/>
      <c r="F2085" s="23"/>
      <c r="G2085" s="32" t="s">
        <v>35</v>
      </c>
      <c r="H2085" s="33">
        <v>4</v>
      </c>
      <c r="I2085" s="32">
        <v>11.8</v>
      </c>
      <c r="J2085" s="32">
        <v>14</v>
      </c>
      <c r="K2085" s="32">
        <v>4</v>
      </c>
      <c r="L2085" s="32" t="s">
        <v>36</v>
      </c>
      <c r="M2085" s="33">
        <v>7</v>
      </c>
      <c r="N2085" s="33">
        <v>16</v>
      </c>
      <c r="O2085" s="33">
        <v>16</v>
      </c>
      <c r="P2085" s="32">
        <v>0</v>
      </c>
      <c r="Q2085" s="33">
        <v>0</v>
      </c>
      <c r="R2085" s="32">
        <v>0</v>
      </c>
      <c r="S2085" s="32">
        <v>1</v>
      </c>
      <c r="Z2085" s="23"/>
      <c r="AA2085" s="23"/>
      <c r="AB2085" s="3" t="str">
        <f t="shared" si="16"/>
        <v>_MK3_4__vv</v>
      </c>
      <c r="AC2085" s="3" t="str">
        <f t="shared" si="17"/>
        <v>_MK3_4__vv_4</v>
      </c>
      <c r="AD2085" s="3" t="s">
        <v>37</v>
      </c>
    </row>
    <row r="2086" spans="1:30" ht="14">
      <c r="A2086" s="23"/>
      <c r="B2086" s="23"/>
      <c r="C2086" s="23"/>
      <c r="D2086" s="23"/>
      <c r="E2086" s="23"/>
      <c r="F2086" s="23"/>
      <c r="G2086" s="23"/>
      <c r="H2086" s="22"/>
      <c r="I2086" s="23"/>
      <c r="J2086" s="23"/>
      <c r="K2086" s="23"/>
      <c r="L2086" s="32" t="s">
        <v>38</v>
      </c>
      <c r="M2086" s="33">
        <v>57</v>
      </c>
      <c r="N2086" s="33">
        <v>21</v>
      </c>
      <c r="O2086" s="33">
        <v>29</v>
      </c>
      <c r="P2086" s="32">
        <v>0</v>
      </c>
      <c r="Q2086" s="33">
        <v>0</v>
      </c>
      <c r="R2086" s="32">
        <v>0</v>
      </c>
      <c r="S2086" s="32">
        <v>0</v>
      </c>
      <c r="Z2086" s="23"/>
      <c r="AA2086" s="23"/>
      <c r="AB2086" s="3" t="str">
        <f t="shared" si="16"/>
        <v>___</v>
      </c>
      <c r="AC2086" s="3" t="str">
        <f t="shared" si="17"/>
        <v>____</v>
      </c>
    </row>
    <row r="2087" spans="1:30" ht="14">
      <c r="A2087" s="23"/>
      <c r="B2087" s="23"/>
      <c r="C2087" s="23"/>
      <c r="D2087" s="23"/>
      <c r="E2087" s="23"/>
      <c r="F2087" s="23"/>
      <c r="G2087" s="23"/>
      <c r="H2087" s="22"/>
      <c r="I2087" s="23"/>
      <c r="J2087" s="23"/>
      <c r="K2087" s="23"/>
      <c r="L2087" s="32" t="s">
        <v>39</v>
      </c>
      <c r="M2087" s="33">
        <v>53</v>
      </c>
      <c r="N2087" s="33">
        <v>3</v>
      </c>
      <c r="O2087" s="33">
        <v>14</v>
      </c>
      <c r="P2087" s="32">
        <v>1</v>
      </c>
      <c r="Q2087" s="33">
        <v>1</v>
      </c>
      <c r="R2087" s="32">
        <v>0</v>
      </c>
      <c r="S2087" s="32">
        <v>0</v>
      </c>
      <c r="Z2087" s="23"/>
      <c r="AA2087" s="23"/>
      <c r="AB2087" s="3" t="str">
        <f t="shared" si="16"/>
        <v>___</v>
      </c>
      <c r="AC2087" s="3" t="str">
        <f t="shared" si="17"/>
        <v>____</v>
      </c>
    </row>
    <row r="2088" spans="1:30" ht="14">
      <c r="A2088" s="23"/>
      <c r="B2088" s="23"/>
      <c r="C2088" s="32" t="s">
        <v>302</v>
      </c>
      <c r="D2088" s="32" t="s">
        <v>81</v>
      </c>
      <c r="E2088" s="23"/>
      <c r="F2088" s="23"/>
      <c r="G2088" s="32" t="s">
        <v>35</v>
      </c>
      <c r="H2088" s="33">
        <v>1</v>
      </c>
      <c r="I2088" s="32">
        <v>9.1999999999999993</v>
      </c>
      <c r="J2088" s="32">
        <v>9.1</v>
      </c>
      <c r="K2088" s="32">
        <v>5</v>
      </c>
      <c r="L2088" s="32" t="s">
        <v>36</v>
      </c>
      <c r="M2088" s="33">
        <v>23</v>
      </c>
      <c r="N2088" s="33">
        <v>8</v>
      </c>
      <c r="O2088" s="33">
        <v>8</v>
      </c>
      <c r="P2088" s="32">
        <v>0</v>
      </c>
      <c r="Q2088" s="33">
        <v>0</v>
      </c>
      <c r="R2088" s="32">
        <v>0</v>
      </c>
      <c r="S2088" s="32">
        <v>0</v>
      </c>
      <c r="Z2088" s="23"/>
      <c r="AA2088" s="23"/>
      <c r="AB2088" s="3" t="str">
        <f t="shared" si="16"/>
        <v>_MK13_1a__vv</v>
      </c>
      <c r="AC2088" s="3" t="str">
        <f t="shared" si="17"/>
        <v>_MK13_1a__vv_1</v>
      </c>
      <c r="AD2088" s="3" t="s">
        <v>37</v>
      </c>
    </row>
    <row r="2089" spans="1:30" ht="14">
      <c r="A2089" s="23"/>
      <c r="B2089" s="23"/>
      <c r="C2089" s="23"/>
      <c r="D2089" s="23"/>
      <c r="E2089" s="23"/>
      <c r="F2089" s="23"/>
      <c r="G2089" s="23"/>
      <c r="H2089" s="22"/>
      <c r="I2089" s="23"/>
      <c r="J2089" s="23"/>
      <c r="K2089" s="23"/>
      <c r="L2089" s="32" t="s">
        <v>38</v>
      </c>
      <c r="M2089" s="33">
        <v>21</v>
      </c>
      <c r="N2089" s="33">
        <v>6</v>
      </c>
      <c r="O2089" s="33">
        <v>10</v>
      </c>
      <c r="P2089" s="32">
        <v>0</v>
      </c>
      <c r="Q2089" s="33">
        <v>0</v>
      </c>
      <c r="R2089" s="32">
        <v>0</v>
      </c>
      <c r="S2089" s="32">
        <v>0</v>
      </c>
      <c r="Z2089" s="23"/>
      <c r="AA2089" s="23"/>
      <c r="AB2089" s="3" t="str">
        <f t="shared" si="16"/>
        <v>___</v>
      </c>
      <c r="AC2089" s="3" t="str">
        <f t="shared" si="17"/>
        <v>____</v>
      </c>
    </row>
    <row r="2090" spans="1:30" ht="14">
      <c r="A2090" s="23"/>
      <c r="B2090" s="23"/>
      <c r="C2090" s="23"/>
      <c r="D2090" s="23"/>
      <c r="E2090" s="23"/>
      <c r="F2090" s="23"/>
      <c r="G2090" s="23"/>
      <c r="H2090" s="22"/>
      <c r="I2090" s="23"/>
      <c r="J2090" s="23"/>
      <c r="K2090" s="23"/>
      <c r="L2090" s="32" t="s">
        <v>39</v>
      </c>
      <c r="M2090" s="33">
        <v>15</v>
      </c>
      <c r="N2090" s="33">
        <v>0</v>
      </c>
      <c r="O2090" s="33">
        <v>2</v>
      </c>
      <c r="P2090" s="32">
        <v>2</v>
      </c>
      <c r="Q2090" s="33">
        <v>2</v>
      </c>
      <c r="R2090" s="32">
        <v>0</v>
      </c>
      <c r="S2090" s="32">
        <v>0</v>
      </c>
      <c r="Z2090" s="23"/>
      <c r="AA2090" s="23"/>
      <c r="AB2090" s="3" t="str">
        <f t="shared" si="16"/>
        <v>___</v>
      </c>
      <c r="AC2090" s="3" t="str">
        <f t="shared" si="17"/>
        <v>____</v>
      </c>
    </row>
    <row r="2091" spans="1:30" ht="14">
      <c r="A2091" s="23"/>
      <c r="B2091" s="23"/>
      <c r="C2091" s="32" t="s">
        <v>303</v>
      </c>
      <c r="D2091" s="32" t="s">
        <v>81</v>
      </c>
      <c r="E2091" s="23"/>
      <c r="F2091" s="23"/>
      <c r="G2091" s="32" t="s">
        <v>35</v>
      </c>
      <c r="H2091" s="33">
        <v>1</v>
      </c>
      <c r="I2091" s="32">
        <v>10.1</v>
      </c>
      <c r="J2091" s="32">
        <v>13.3</v>
      </c>
      <c r="K2091" s="32">
        <v>4</v>
      </c>
      <c r="L2091" s="32" t="s">
        <v>36</v>
      </c>
      <c r="M2091" s="33">
        <v>35</v>
      </c>
      <c r="N2091" s="33">
        <v>9</v>
      </c>
      <c r="O2091" s="33">
        <v>11</v>
      </c>
      <c r="P2091" s="32">
        <v>0</v>
      </c>
      <c r="Q2091" s="33">
        <v>0</v>
      </c>
      <c r="R2091" s="32">
        <v>0</v>
      </c>
      <c r="S2091" s="32">
        <v>1</v>
      </c>
      <c r="Z2091" s="23"/>
      <c r="AA2091" s="23"/>
      <c r="AB2091" s="3" t="str">
        <f t="shared" si="16"/>
        <v>_MK13_1b__vv</v>
      </c>
      <c r="AC2091" s="3" t="str">
        <f t="shared" si="17"/>
        <v>_MK13_1b__vv_1</v>
      </c>
      <c r="AD2091" s="3" t="s">
        <v>37</v>
      </c>
    </row>
    <row r="2092" spans="1:30" ht="14">
      <c r="A2092" s="23"/>
      <c r="B2092" s="23"/>
      <c r="C2092" s="23"/>
      <c r="D2092" s="23"/>
      <c r="E2092" s="23"/>
      <c r="F2092" s="23"/>
      <c r="G2092" s="23"/>
      <c r="H2092" s="22"/>
      <c r="I2092" s="23"/>
      <c r="J2092" s="23"/>
      <c r="K2092" s="23"/>
      <c r="L2092" s="32" t="s">
        <v>38</v>
      </c>
      <c r="M2092" s="33">
        <v>53</v>
      </c>
      <c r="N2092" s="33">
        <v>6</v>
      </c>
      <c r="O2092" s="33">
        <v>13</v>
      </c>
      <c r="P2092" s="32">
        <v>0</v>
      </c>
      <c r="Q2092" s="33">
        <v>0</v>
      </c>
      <c r="R2092" s="32">
        <v>0</v>
      </c>
      <c r="S2092" s="32">
        <v>0</v>
      </c>
      <c r="Z2092" s="23"/>
      <c r="AA2092" s="23"/>
      <c r="AB2092" s="3" t="str">
        <f t="shared" si="16"/>
        <v>___</v>
      </c>
      <c r="AC2092" s="3" t="str">
        <f t="shared" si="17"/>
        <v>____</v>
      </c>
    </row>
    <row r="2093" spans="1:30" ht="14">
      <c r="A2093" s="23"/>
      <c r="B2093" s="23"/>
      <c r="C2093" s="23"/>
      <c r="D2093" s="23"/>
      <c r="E2093" s="23"/>
      <c r="F2093" s="23"/>
      <c r="G2093" s="23"/>
      <c r="H2093" s="22"/>
      <c r="I2093" s="23"/>
      <c r="J2093" s="23"/>
      <c r="K2093" s="23"/>
      <c r="L2093" s="32" t="s">
        <v>39</v>
      </c>
      <c r="M2093" s="33">
        <v>17</v>
      </c>
      <c r="N2093" s="33">
        <v>0</v>
      </c>
      <c r="O2093" s="33">
        <v>7</v>
      </c>
      <c r="P2093" s="32">
        <v>0</v>
      </c>
      <c r="Q2093" s="33">
        <v>0</v>
      </c>
      <c r="R2093" s="32">
        <v>0</v>
      </c>
      <c r="S2093" s="32">
        <v>0</v>
      </c>
      <c r="Z2093" s="23"/>
      <c r="AA2093" s="23"/>
      <c r="AB2093" s="3" t="str">
        <f t="shared" si="16"/>
        <v>___</v>
      </c>
      <c r="AC2093" s="3" t="str">
        <f t="shared" si="17"/>
        <v>____</v>
      </c>
    </row>
    <row r="2094" spans="1:30" ht="14">
      <c r="A2094" s="23"/>
      <c r="B2094" s="23"/>
      <c r="C2094" s="32" t="s">
        <v>297</v>
      </c>
      <c r="D2094" s="32" t="s">
        <v>81</v>
      </c>
      <c r="E2094" s="23"/>
      <c r="F2094" s="23"/>
      <c r="G2094" s="32" t="s">
        <v>35</v>
      </c>
      <c r="H2094" s="33">
        <v>4</v>
      </c>
      <c r="I2094" s="32">
        <v>7.4</v>
      </c>
      <c r="J2094" s="32">
        <v>10.5</v>
      </c>
      <c r="K2094" s="32">
        <v>4</v>
      </c>
      <c r="L2094" s="32" t="s">
        <v>36</v>
      </c>
      <c r="M2094" s="33">
        <v>24</v>
      </c>
      <c r="N2094" s="33">
        <v>9</v>
      </c>
      <c r="O2094" s="33">
        <v>10</v>
      </c>
      <c r="P2094" s="32">
        <v>0</v>
      </c>
      <c r="Q2094" s="32">
        <v>0</v>
      </c>
      <c r="R2094" s="32">
        <v>0</v>
      </c>
      <c r="S2094" s="32">
        <v>0</v>
      </c>
      <c r="Z2094" s="23"/>
      <c r="AA2094" s="23"/>
      <c r="AB2094" s="3" t="str">
        <f t="shared" si="16"/>
        <v>_MK7_4__vv</v>
      </c>
      <c r="AC2094" s="3" t="str">
        <f t="shared" si="17"/>
        <v>_MK7_4__vv_4</v>
      </c>
      <c r="AD2094" s="3" t="s">
        <v>37</v>
      </c>
    </row>
    <row r="2095" spans="1:30" ht="14">
      <c r="A2095" s="23"/>
      <c r="B2095" s="23"/>
      <c r="C2095" s="23"/>
      <c r="D2095" s="23"/>
      <c r="E2095" s="23"/>
      <c r="F2095" s="23"/>
      <c r="G2095" s="23"/>
      <c r="H2095" s="22"/>
      <c r="I2095" s="23"/>
      <c r="J2095" s="23"/>
      <c r="K2095" s="23"/>
      <c r="L2095" s="32" t="s">
        <v>38</v>
      </c>
      <c r="M2095" s="33">
        <v>16</v>
      </c>
      <c r="N2095" s="33">
        <v>7</v>
      </c>
      <c r="O2095" s="33">
        <v>8</v>
      </c>
      <c r="P2095" s="32">
        <v>0</v>
      </c>
      <c r="Q2095" s="32">
        <v>0</v>
      </c>
      <c r="R2095" s="32">
        <v>0</v>
      </c>
      <c r="S2095" s="32">
        <v>0</v>
      </c>
      <c r="Z2095" s="23"/>
      <c r="AA2095" s="23"/>
      <c r="AB2095" s="3" t="str">
        <f t="shared" si="16"/>
        <v>___</v>
      </c>
      <c r="AC2095" s="3" t="str">
        <f t="shared" si="17"/>
        <v>____</v>
      </c>
    </row>
    <row r="2096" spans="1:30" ht="14">
      <c r="A2096" s="23"/>
      <c r="B2096" s="23"/>
      <c r="C2096" s="23"/>
      <c r="D2096" s="23"/>
      <c r="E2096" s="23"/>
      <c r="F2096" s="23"/>
      <c r="G2096" s="23"/>
      <c r="H2096" s="22"/>
      <c r="I2096" s="23"/>
      <c r="J2096" s="23"/>
      <c r="K2096" s="23"/>
      <c r="L2096" s="32" t="s">
        <v>39</v>
      </c>
      <c r="M2096" s="33">
        <v>14</v>
      </c>
      <c r="N2096" s="33">
        <v>4</v>
      </c>
      <c r="O2096" s="33">
        <v>5</v>
      </c>
      <c r="P2096" s="32">
        <v>0</v>
      </c>
      <c r="Q2096" s="32">
        <v>0</v>
      </c>
      <c r="R2096" s="32">
        <v>0</v>
      </c>
      <c r="S2096" s="32">
        <v>0</v>
      </c>
      <c r="Z2096" s="23"/>
      <c r="AA2096" s="23"/>
      <c r="AB2096" s="3" t="str">
        <f t="shared" si="16"/>
        <v>___</v>
      </c>
      <c r="AC2096" s="3" t="str">
        <f t="shared" si="17"/>
        <v>____</v>
      </c>
    </row>
    <row r="2097" spans="1:30" ht="14">
      <c r="A2097" s="23"/>
      <c r="B2097" s="23"/>
      <c r="C2097" s="32" t="s">
        <v>304</v>
      </c>
      <c r="D2097" s="32" t="s">
        <v>81</v>
      </c>
      <c r="E2097" s="23"/>
      <c r="F2097" s="23"/>
      <c r="G2097" s="32" t="s">
        <v>35</v>
      </c>
      <c r="H2097" s="33">
        <v>3</v>
      </c>
      <c r="I2097" s="32">
        <v>8</v>
      </c>
      <c r="J2097" s="32">
        <v>12</v>
      </c>
      <c r="K2097" s="32">
        <v>6</v>
      </c>
      <c r="L2097" s="32" t="s">
        <v>36</v>
      </c>
      <c r="M2097" s="33">
        <v>19</v>
      </c>
      <c r="N2097" s="33">
        <v>8</v>
      </c>
      <c r="O2097" s="33">
        <v>10</v>
      </c>
      <c r="P2097" s="32">
        <v>0</v>
      </c>
      <c r="Q2097" s="33">
        <v>0</v>
      </c>
      <c r="R2097" s="32">
        <v>0</v>
      </c>
      <c r="S2097" s="32">
        <v>0</v>
      </c>
      <c r="Z2097" s="23"/>
      <c r="AA2097" s="23"/>
      <c r="AB2097" s="3" t="str">
        <f t="shared" si="16"/>
        <v>_MK12_3__vv</v>
      </c>
      <c r="AC2097" s="3" t="str">
        <f t="shared" si="17"/>
        <v>_MK12_3__vv_3</v>
      </c>
      <c r="AD2097" s="3" t="s">
        <v>37</v>
      </c>
    </row>
    <row r="2098" spans="1:30" ht="14">
      <c r="A2098" s="23"/>
      <c r="B2098" s="23"/>
      <c r="C2098" s="23"/>
      <c r="D2098" s="23"/>
      <c r="E2098" s="23"/>
      <c r="F2098" s="23"/>
      <c r="G2098" s="23"/>
      <c r="H2098" s="22"/>
      <c r="I2098" s="23"/>
      <c r="J2098" s="23"/>
      <c r="K2098" s="23"/>
      <c r="L2098" s="32" t="s">
        <v>38</v>
      </c>
      <c r="M2098" s="33">
        <v>32</v>
      </c>
      <c r="N2098" s="33">
        <v>6</v>
      </c>
      <c r="O2098" s="33">
        <v>12</v>
      </c>
      <c r="P2098" s="32">
        <v>0</v>
      </c>
      <c r="Q2098" s="33">
        <v>0</v>
      </c>
      <c r="R2098" s="32">
        <v>0</v>
      </c>
      <c r="S2098" s="32">
        <v>0</v>
      </c>
      <c r="Z2098" s="23"/>
      <c r="AA2098" s="23"/>
      <c r="AB2098" s="3" t="str">
        <f t="shared" si="16"/>
        <v>___</v>
      </c>
      <c r="AC2098" s="3" t="str">
        <f t="shared" si="17"/>
        <v>____</v>
      </c>
    </row>
    <row r="2099" spans="1:30" ht="14">
      <c r="A2099" s="23"/>
      <c r="B2099" s="23"/>
      <c r="C2099" s="23"/>
      <c r="D2099" s="23"/>
      <c r="E2099" s="23"/>
      <c r="F2099" s="23"/>
      <c r="G2099" s="23"/>
      <c r="H2099" s="22"/>
      <c r="I2099" s="23"/>
      <c r="J2099" s="23"/>
      <c r="K2099" s="23"/>
      <c r="L2099" s="32" t="s">
        <v>39</v>
      </c>
      <c r="M2099" s="33">
        <v>36</v>
      </c>
      <c r="N2099" s="33">
        <v>0</v>
      </c>
      <c r="O2099" s="33">
        <v>11</v>
      </c>
      <c r="P2099" s="32">
        <v>2</v>
      </c>
      <c r="Q2099" s="33">
        <v>2</v>
      </c>
      <c r="R2099" s="32">
        <v>0</v>
      </c>
      <c r="S2099" s="32">
        <v>0</v>
      </c>
      <c r="Z2099" s="23"/>
      <c r="AA2099" s="23"/>
      <c r="AB2099" s="3" t="str">
        <f t="shared" si="16"/>
        <v>___</v>
      </c>
      <c r="AC2099" s="3" t="str">
        <f t="shared" si="17"/>
        <v>____</v>
      </c>
    </row>
    <row r="2100" spans="1:30" ht="14">
      <c r="A2100" s="23"/>
      <c r="B2100" s="23"/>
      <c r="C2100" s="32" t="s">
        <v>305</v>
      </c>
      <c r="D2100" s="32" t="s">
        <v>81</v>
      </c>
      <c r="E2100" s="23"/>
      <c r="F2100" s="23"/>
      <c r="G2100" s="32" t="s">
        <v>35</v>
      </c>
      <c r="H2100" s="33">
        <v>3</v>
      </c>
      <c r="I2100" s="32">
        <v>9.1999999999999993</v>
      </c>
      <c r="J2100" s="32">
        <v>9.1999999999999993</v>
      </c>
      <c r="K2100" s="32">
        <v>5</v>
      </c>
      <c r="L2100" s="32" t="s">
        <v>36</v>
      </c>
      <c r="M2100" s="33">
        <v>15</v>
      </c>
      <c r="N2100" s="33">
        <v>10</v>
      </c>
      <c r="O2100" s="33">
        <v>0</v>
      </c>
      <c r="P2100" s="32">
        <v>0</v>
      </c>
      <c r="Q2100" s="33">
        <v>0</v>
      </c>
      <c r="R2100" s="32">
        <v>0</v>
      </c>
      <c r="S2100" s="32">
        <v>1</v>
      </c>
      <c r="Z2100" s="23"/>
      <c r="AA2100" s="23"/>
      <c r="AB2100" s="3" t="str">
        <f t="shared" si="16"/>
        <v>_MK7_3__vv</v>
      </c>
      <c r="AC2100" s="3" t="str">
        <f t="shared" si="17"/>
        <v>_MK7_3__vv_3</v>
      </c>
      <c r="AD2100" s="3" t="s">
        <v>37</v>
      </c>
    </row>
    <row r="2101" spans="1:30" ht="14">
      <c r="A2101" s="23"/>
      <c r="B2101" s="23"/>
      <c r="C2101" s="23"/>
      <c r="D2101" s="23"/>
      <c r="E2101" s="23"/>
      <c r="F2101" s="23"/>
      <c r="G2101" s="23"/>
      <c r="H2101" s="22"/>
      <c r="I2101" s="23"/>
      <c r="J2101" s="23"/>
      <c r="K2101" s="23"/>
      <c r="L2101" s="32" t="s">
        <v>38</v>
      </c>
      <c r="M2101" s="33">
        <v>25</v>
      </c>
      <c r="N2101" s="33">
        <v>12</v>
      </c>
      <c r="O2101" s="33">
        <v>12</v>
      </c>
      <c r="P2101" s="32">
        <v>0</v>
      </c>
      <c r="Q2101" s="32">
        <v>0</v>
      </c>
      <c r="R2101" s="32">
        <v>0</v>
      </c>
      <c r="S2101" s="32">
        <v>0</v>
      </c>
      <c r="T2101" s="32"/>
      <c r="Z2101" s="23"/>
      <c r="AA2101" s="23"/>
      <c r="AB2101" s="3" t="str">
        <f t="shared" si="16"/>
        <v>___</v>
      </c>
      <c r="AC2101" s="3" t="str">
        <f t="shared" si="17"/>
        <v>____</v>
      </c>
    </row>
    <row r="2102" spans="1:30" ht="14">
      <c r="A2102" s="23"/>
      <c r="B2102" s="23"/>
      <c r="C2102" s="23"/>
      <c r="D2102" s="23"/>
      <c r="E2102" s="23"/>
      <c r="F2102" s="23"/>
      <c r="G2102" s="23"/>
      <c r="H2102" s="22"/>
      <c r="I2102" s="23"/>
      <c r="J2102" s="23"/>
      <c r="K2102" s="23"/>
      <c r="L2102" s="32" t="s">
        <v>39</v>
      </c>
      <c r="M2102" s="33">
        <v>34</v>
      </c>
      <c r="N2102" s="33">
        <v>8</v>
      </c>
      <c r="O2102" s="33">
        <v>13</v>
      </c>
      <c r="P2102" s="32">
        <v>0</v>
      </c>
      <c r="Q2102" s="32">
        <v>0</v>
      </c>
      <c r="R2102" s="32">
        <v>0</v>
      </c>
      <c r="S2102" s="32">
        <v>0</v>
      </c>
      <c r="Z2102" s="23"/>
      <c r="AA2102" s="23"/>
      <c r="AB2102" s="3" t="str">
        <f t="shared" si="16"/>
        <v>___</v>
      </c>
      <c r="AC2102" s="3" t="str">
        <f t="shared" si="17"/>
        <v>____</v>
      </c>
    </row>
    <row r="2103" spans="1:30" ht="14">
      <c r="A2103" s="23"/>
      <c r="B2103" s="23"/>
      <c r="C2103" s="32" t="s">
        <v>306</v>
      </c>
      <c r="D2103" s="32" t="s">
        <v>81</v>
      </c>
      <c r="E2103" s="23"/>
      <c r="F2103" s="23"/>
      <c r="G2103" s="32" t="s">
        <v>35</v>
      </c>
      <c r="H2103" s="33">
        <v>4</v>
      </c>
      <c r="I2103" s="32">
        <v>9.1</v>
      </c>
      <c r="J2103" s="32">
        <v>15.8</v>
      </c>
      <c r="K2103" s="32">
        <v>4</v>
      </c>
      <c r="L2103" s="32" t="s">
        <v>36</v>
      </c>
      <c r="M2103" s="33">
        <v>30</v>
      </c>
      <c r="N2103" s="33">
        <v>11</v>
      </c>
      <c r="O2103" s="33">
        <v>11</v>
      </c>
      <c r="P2103" s="32">
        <v>0</v>
      </c>
      <c r="Q2103" s="32">
        <v>0</v>
      </c>
      <c r="R2103" s="32">
        <v>0</v>
      </c>
      <c r="S2103" s="23"/>
      <c r="Z2103" s="32" t="s">
        <v>307</v>
      </c>
      <c r="AA2103" s="23"/>
      <c r="AB2103" s="3" t="str">
        <f t="shared" si="16"/>
        <v>_MK11_4__vv</v>
      </c>
      <c r="AC2103" s="3" t="str">
        <f t="shared" si="17"/>
        <v>_MK11_4__vv_4</v>
      </c>
      <c r="AD2103" s="3" t="s">
        <v>37</v>
      </c>
    </row>
    <row r="2104" spans="1:30" ht="14">
      <c r="A2104" s="23"/>
      <c r="B2104" s="23"/>
      <c r="C2104" s="23"/>
      <c r="D2104" s="23"/>
      <c r="E2104" s="23"/>
      <c r="F2104" s="23"/>
      <c r="G2104" s="23"/>
      <c r="H2104" s="22"/>
      <c r="I2104" s="23"/>
      <c r="J2104" s="23"/>
      <c r="K2104" s="23"/>
      <c r="L2104" s="32" t="s">
        <v>38</v>
      </c>
      <c r="M2104" s="33">
        <v>43</v>
      </c>
      <c r="N2104" s="33">
        <v>2</v>
      </c>
      <c r="O2104" s="33">
        <v>9</v>
      </c>
      <c r="P2104" s="32">
        <v>0</v>
      </c>
      <c r="Q2104" s="32">
        <v>0</v>
      </c>
      <c r="R2104" s="32">
        <v>0</v>
      </c>
      <c r="S2104" s="23"/>
      <c r="Z2104" s="23"/>
      <c r="AA2104" s="23"/>
      <c r="AB2104" s="3" t="str">
        <f t="shared" si="16"/>
        <v>___</v>
      </c>
      <c r="AC2104" s="3" t="str">
        <f t="shared" si="17"/>
        <v>____</v>
      </c>
    </row>
    <row r="2105" spans="1:30" ht="14">
      <c r="A2105" s="23"/>
      <c r="B2105" s="23"/>
      <c r="C2105" s="23"/>
      <c r="D2105" s="23"/>
      <c r="E2105" s="23"/>
      <c r="F2105" s="23"/>
      <c r="G2105" s="23"/>
      <c r="H2105" s="22"/>
      <c r="I2105" s="23"/>
      <c r="J2105" s="23"/>
      <c r="K2105" s="23"/>
      <c r="L2105" s="32" t="s">
        <v>39</v>
      </c>
      <c r="M2105" s="33">
        <v>71</v>
      </c>
      <c r="N2105" s="33">
        <v>4</v>
      </c>
      <c r="O2105" s="33">
        <v>12</v>
      </c>
      <c r="P2105" s="32">
        <v>0</v>
      </c>
      <c r="Q2105" s="32">
        <v>0</v>
      </c>
      <c r="R2105" s="32">
        <v>0</v>
      </c>
      <c r="S2105" s="23"/>
      <c r="Z2105" s="23"/>
      <c r="AA2105" s="23"/>
      <c r="AB2105" s="3" t="str">
        <f t="shared" si="16"/>
        <v>___</v>
      </c>
      <c r="AC2105" s="3" t="str">
        <f t="shared" si="17"/>
        <v>____</v>
      </c>
    </row>
    <row r="2106" spans="1:30" ht="14">
      <c r="A2106" s="23"/>
      <c r="B2106" s="23"/>
      <c r="C2106" s="32" t="s">
        <v>308</v>
      </c>
      <c r="D2106" s="32" t="s">
        <v>81</v>
      </c>
      <c r="E2106" s="23"/>
      <c r="F2106" s="23"/>
      <c r="G2106" s="32" t="s">
        <v>35</v>
      </c>
      <c r="H2106" s="33">
        <v>3</v>
      </c>
      <c r="I2106" s="32">
        <v>14.4</v>
      </c>
      <c r="J2106" s="32">
        <v>14.1</v>
      </c>
      <c r="K2106" s="32">
        <v>4</v>
      </c>
      <c r="L2106" s="32" t="s">
        <v>36</v>
      </c>
      <c r="M2106" s="33">
        <v>29</v>
      </c>
      <c r="N2106" s="33">
        <v>9</v>
      </c>
      <c r="O2106" s="33">
        <v>13</v>
      </c>
      <c r="P2106" s="32">
        <v>0</v>
      </c>
      <c r="Q2106" s="33">
        <v>0</v>
      </c>
      <c r="R2106" s="32">
        <v>0</v>
      </c>
      <c r="S2106" s="32">
        <v>1</v>
      </c>
      <c r="Z2106" s="23"/>
      <c r="AA2106" s="23"/>
      <c r="AB2106" s="3" t="str">
        <f t="shared" si="16"/>
        <v>_MK10_3__vv</v>
      </c>
      <c r="AC2106" s="3" t="str">
        <f t="shared" si="17"/>
        <v>_MK10_3__vv_3</v>
      </c>
      <c r="AD2106" s="3" t="s">
        <v>37</v>
      </c>
    </row>
    <row r="2107" spans="1:30" ht="14">
      <c r="A2107" s="23"/>
      <c r="B2107" s="23"/>
      <c r="C2107" s="23"/>
      <c r="D2107" s="23"/>
      <c r="E2107" s="23"/>
      <c r="F2107" s="23"/>
      <c r="G2107" s="23"/>
      <c r="H2107" s="22"/>
      <c r="I2107" s="23"/>
      <c r="J2107" s="23"/>
      <c r="K2107" s="23"/>
      <c r="L2107" s="32" t="s">
        <v>38</v>
      </c>
      <c r="M2107" s="33">
        <v>57</v>
      </c>
      <c r="N2107" s="33">
        <v>4</v>
      </c>
      <c r="O2107" s="33">
        <v>14</v>
      </c>
      <c r="P2107" s="32">
        <v>0</v>
      </c>
      <c r="Q2107" s="33">
        <v>0</v>
      </c>
      <c r="R2107" s="32">
        <v>0</v>
      </c>
      <c r="S2107" s="32">
        <v>0</v>
      </c>
      <c r="Z2107" s="23"/>
      <c r="AA2107" s="23"/>
      <c r="AB2107" s="3" t="str">
        <f t="shared" si="16"/>
        <v>___</v>
      </c>
      <c r="AC2107" s="3" t="str">
        <f t="shared" si="17"/>
        <v>____</v>
      </c>
    </row>
    <row r="2108" spans="1:30" ht="14">
      <c r="A2108" s="23"/>
      <c r="B2108" s="23"/>
      <c r="C2108" s="23"/>
      <c r="D2108" s="23"/>
      <c r="E2108" s="23"/>
      <c r="F2108" s="23"/>
      <c r="G2108" s="23"/>
      <c r="H2108" s="22"/>
      <c r="I2108" s="23"/>
      <c r="J2108" s="23"/>
      <c r="K2108" s="23"/>
      <c r="L2108" s="32" t="s">
        <v>39</v>
      </c>
      <c r="M2108" s="33">
        <v>29</v>
      </c>
      <c r="N2108" s="33">
        <v>0</v>
      </c>
      <c r="O2108" s="33">
        <v>8</v>
      </c>
      <c r="P2108" s="32">
        <v>0</v>
      </c>
      <c r="Q2108" s="33">
        <v>0</v>
      </c>
      <c r="R2108" s="32">
        <v>0</v>
      </c>
      <c r="S2108" s="32">
        <v>0</v>
      </c>
      <c r="Z2108" s="23"/>
      <c r="AA2108" s="23"/>
      <c r="AB2108" s="3" t="str">
        <f t="shared" si="16"/>
        <v>___</v>
      </c>
      <c r="AC2108" s="3" t="str">
        <f t="shared" si="17"/>
        <v>____</v>
      </c>
    </row>
    <row r="2109" spans="1:30" ht="14">
      <c r="A2109" s="23"/>
      <c r="B2109" s="23"/>
      <c r="C2109" s="32" t="s">
        <v>309</v>
      </c>
      <c r="D2109" s="32" t="s">
        <v>81</v>
      </c>
      <c r="E2109" s="23"/>
      <c r="F2109" s="23"/>
      <c r="G2109" s="32" t="s">
        <v>35</v>
      </c>
      <c r="H2109" s="33">
        <v>2</v>
      </c>
      <c r="I2109" s="32">
        <v>12.9</v>
      </c>
      <c r="J2109" s="32">
        <v>16.2</v>
      </c>
      <c r="K2109" s="32">
        <v>4</v>
      </c>
      <c r="L2109" s="32" t="s">
        <v>36</v>
      </c>
      <c r="M2109" s="33">
        <v>31</v>
      </c>
      <c r="N2109" s="33">
        <v>10</v>
      </c>
      <c r="O2109" s="33">
        <v>10</v>
      </c>
      <c r="P2109" s="32">
        <v>0</v>
      </c>
      <c r="Q2109" s="33">
        <v>0</v>
      </c>
      <c r="R2109" s="32">
        <v>0</v>
      </c>
      <c r="S2109" s="32">
        <v>1</v>
      </c>
      <c r="Z2109" s="23"/>
      <c r="AA2109" s="23"/>
      <c r="AB2109" s="3" t="str">
        <f t="shared" si="16"/>
        <v>_MK11_2__vv</v>
      </c>
      <c r="AC2109" s="3" t="str">
        <f t="shared" si="17"/>
        <v>_MK11_2__vv_2</v>
      </c>
      <c r="AD2109" s="3" t="s">
        <v>37</v>
      </c>
    </row>
    <row r="2110" spans="1:30" ht="14">
      <c r="A2110" s="23"/>
      <c r="B2110" s="23"/>
      <c r="C2110" s="23"/>
      <c r="D2110" s="23"/>
      <c r="E2110" s="23"/>
      <c r="F2110" s="23"/>
      <c r="G2110" s="23"/>
      <c r="H2110" s="22"/>
      <c r="I2110" s="23"/>
      <c r="J2110" s="23"/>
      <c r="K2110" s="23"/>
      <c r="L2110" s="32" t="s">
        <v>38</v>
      </c>
      <c r="M2110" s="33">
        <v>35</v>
      </c>
      <c r="N2110" s="33">
        <v>4</v>
      </c>
      <c r="O2110" s="33">
        <v>11</v>
      </c>
      <c r="P2110" s="32">
        <v>1</v>
      </c>
      <c r="Q2110" s="33">
        <v>1</v>
      </c>
      <c r="R2110" s="32">
        <v>0</v>
      </c>
      <c r="S2110" s="32">
        <v>0</v>
      </c>
      <c r="Z2110" s="23"/>
      <c r="AA2110" s="23"/>
      <c r="AB2110" s="3" t="str">
        <f t="shared" si="16"/>
        <v>___</v>
      </c>
      <c r="AC2110" s="3" t="str">
        <f t="shared" si="17"/>
        <v>____</v>
      </c>
    </row>
    <row r="2111" spans="1:30" ht="14">
      <c r="A2111" s="23"/>
      <c r="B2111" s="23"/>
      <c r="C2111" s="23"/>
      <c r="D2111" s="23"/>
      <c r="E2111" s="23"/>
      <c r="F2111" s="23"/>
      <c r="G2111" s="23"/>
      <c r="H2111" s="22"/>
      <c r="I2111" s="23"/>
      <c r="J2111" s="23"/>
      <c r="K2111" s="23"/>
      <c r="L2111" s="32" t="s">
        <v>39</v>
      </c>
      <c r="M2111" s="33">
        <v>46</v>
      </c>
      <c r="N2111" s="33">
        <v>1</v>
      </c>
      <c r="O2111" s="33">
        <v>14</v>
      </c>
      <c r="P2111" s="32">
        <v>0</v>
      </c>
      <c r="Q2111" s="33">
        <v>0</v>
      </c>
      <c r="R2111" s="32">
        <v>0</v>
      </c>
      <c r="S2111" s="32">
        <v>0</v>
      </c>
      <c r="Z2111" s="23"/>
      <c r="AA2111" s="23"/>
      <c r="AB2111" s="3" t="str">
        <f t="shared" si="16"/>
        <v>___</v>
      </c>
      <c r="AC2111" s="3" t="str">
        <f t="shared" si="17"/>
        <v>____</v>
      </c>
    </row>
    <row r="2112" spans="1:30" ht="14">
      <c r="A2112" s="23"/>
      <c r="B2112" s="23"/>
      <c r="C2112" s="32" t="s">
        <v>310</v>
      </c>
      <c r="D2112" s="32" t="s">
        <v>81</v>
      </c>
      <c r="E2112" s="23"/>
      <c r="F2112" s="23"/>
      <c r="G2112" s="32" t="s">
        <v>35</v>
      </c>
      <c r="H2112" s="3">
        <v>2</v>
      </c>
      <c r="I2112" s="33">
        <v>15.2</v>
      </c>
      <c r="J2112" s="32">
        <v>16.3</v>
      </c>
      <c r="K2112" s="32">
        <v>5</v>
      </c>
      <c r="L2112" s="32" t="s">
        <v>36</v>
      </c>
      <c r="M2112" s="33">
        <v>30</v>
      </c>
      <c r="N2112" s="33">
        <v>11</v>
      </c>
      <c r="O2112" s="33">
        <v>16</v>
      </c>
      <c r="P2112" s="32">
        <v>0</v>
      </c>
      <c r="Q2112" s="33">
        <v>0</v>
      </c>
      <c r="R2112" s="32">
        <v>0</v>
      </c>
      <c r="S2112" s="32">
        <v>5</v>
      </c>
      <c r="Z2112" s="32" t="s">
        <v>311</v>
      </c>
      <c r="AA2112" s="23"/>
      <c r="AB2112" s="3" t="str">
        <f t="shared" si="16"/>
        <v>_MK10_2__vv</v>
      </c>
      <c r="AC2112" s="3" t="str">
        <f>CONCATENATE(B2112,"_",C2112,"_",F2112,"_",G2112,"_",I2112)</f>
        <v>_MK10_2__vv_15.2</v>
      </c>
      <c r="AD2112" s="3" t="s">
        <v>37</v>
      </c>
    </row>
    <row r="2113" spans="1:30" ht="14">
      <c r="A2113" s="23"/>
      <c r="B2113" s="23"/>
      <c r="C2113" s="23"/>
      <c r="D2113" s="23"/>
      <c r="E2113" s="23"/>
      <c r="F2113" s="23"/>
      <c r="G2113" s="32"/>
      <c r="H2113" s="22"/>
      <c r="I2113" s="23"/>
      <c r="J2113" s="23"/>
      <c r="K2113" s="23"/>
      <c r="L2113" s="32" t="s">
        <v>38</v>
      </c>
      <c r="M2113" s="33">
        <v>33</v>
      </c>
      <c r="N2113" s="33">
        <v>9</v>
      </c>
      <c r="O2113" s="33">
        <v>14</v>
      </c>
      <c r="P2113" s="32">
        <v>1</v>
      </c>
      <c r="Q2113" s="33">
        <v>1</v>
      </c>
      <c r="R2113" s="32">
        <v>0</v>
      </c>
      <c r="S2113" s="32">
        <v>0</v>
      </c>
      <c r="Z2113" s="23"/>
      <c r="AA2113" s="23"/>
      <c r="AB2113" s="3" t="str">
        <f t="shared" si="16"/>
        <v>___</v>
      </c>
      <c r="AC2113" s="3" t="str">
        <f t="shared" ref="AC2113:AC2158" si="18">CONCATENATE(B2113,"_",C2113,"_",F2113,"_",G2113,"_",H2113)</f>
        <v>____</v>
      </c>
    </row>
    <row r="2114" spans="1:30" ht="14">
      <c r="A2114" s="23"/>
      <c r="B2114" s="23"/>
      <c r="C2114" s="23"/>
      <c r="D2114" s="23"/>
      <c r="E2114" s="23"/>
      <c r="F2114" s="23"/>
      <c r="G2114" s="23"/>
      <c r="H2114" s="22"/>
      <c r="I2114" s="23"/>
      <c r="J2114" s="23"/>
      <c r="K2114" s="23"/>
      <c r="L2114" s="32" t="s">
        <v>39</v>
      </c>
      <c r="M2114" s="33">
        <v>57</v>
      </c>
      <c r="N2114" s="33">
        <v>2</v>
      </c>
      <c r="O2114" s="33">
        <v>10</v>
      </c>
      <c r="P2114" s="32">
        <v>2</v>
      </c>
      <c r="Q2114" s="33">
        <v>2</v>
      </c>
      <c r="R2114" s="32">
        <v>0</v>
      </c>
      <c r="S2114" s="32">
        <v>0</v>
      </c>
      <c r="Z2114" s="23"/>
      <c r="AA2114" s="23"/>
      <c r="AB2114" s="3" t="str">
        <f t="shared" si="16"/>
        <v>___</v>
      </c>
      <c r="AC2114" s="3" t="str">
        <f t="shared" si="18"/>
        <v>____</v>
      </c>
    </row>
    <row r="2115" spans="1:30" ht="14">
      <c r="A2115" s="23"/>
      <c r="B2115" s="23"/>
      <c r="C2115" s="32" t="s">
        <v>312</v>
      </c>
      <c r="D2115" s="32" t="s">
        <v>81</v>
      </c>
      <c r="E2115" s="23"/>
      <c r="F2115" s="23"/>
      <c r="G2115" s="32" t="s">
        <v>35</v>
      </c>
      <c r="H2115" s="33">
        <v>2</v>
      </c>
      <c r="I2115" s="32">
        <v>6.5</v>
      </c>
      <c r="J2115" s="32">
        <v>11.3</v>
      </c>
      <c r="K2115" s="32">
        <v>3</v>
      </c>
      <c r="L2115" s="32" t="s">
        <v>36</v>
      </c>
      <c r="M2115" s="33">
        <v>42</v>
      </c>
      <c r="N2115" s="33">
        <v>7</v>
      </c>
      <c r="O2115" s="33">
        <v>9</v>
      </c>
      <c r="P2115" s="32">
        <v>0</v>
      </c>
      <c r="Q2115" s="33">
        <v>0</v>
      </c>
      <c r="R2115" s="32">
        <v>0</v>
      </c>
      <c r="S2115" s="32">
        <v>1</v>
      </c>
      <c r="Z2115" s="23"/>
      <c r="AA2115" s="23"/>
      <c r="AB2115" s="3" t="str">
        <f t="shared" si="16"/>
        <v>_MK13_2__vv</v>
      </c>
      <c r="AC2115" s="3" t="str">
        <f t="shared" si="18"/>
        <v>_MK13_2__vv_2</v>
      </c>
      <c r="AD2115" s="3" t="s">
        <v>37</v>
      </c>
    </row>
    <row r="2116" spans="1:30" ht="14">
      <c r="A2116" s="23"/>
      <c r="B2116" s="23"/>
      <c r="C2116" s="23"/>
      <c r="D2116" s="23"/>
      <c r="E2116" s="23"/>
      <c r="F2116" s="23"/>
      <c r="G2116" s="23"/>
      <c r="H2116" s="22"/>
      <c r="I2116" s="23"/>
      <c r="J2116" s="23"/>
      <c r="K2116" s="23"/>
      <c r="L2116" s="32" t="s">
        <v>38</v>
      </c>
      <c r="M2116" s="33">
        <v>35</v>
      </c>
      <c r="N2116" s="33">
        <v>4</v>
      </c>
      <c r="O2116" s="33">
        <v>9</v>
      </c>
      <c r="P2116" s="32">
        <v>0</v>
      </c>
      <c r="Q2116" s="33">
        <v>0</v>
      </c>
      <c r="R2116" s="32">
        <v>0</v>
      </c>
      <c r="S2116" s="32">
        <v>0</v>
      </c>
      <c r="Z2116" s="23"/>
      <c r="AA2116" s="23"/>
      <c r="AB2116" s="3" t="str">
        <f t="shared" si="16"/>
        <v>___</v>
      </c>
      <c r="AC2116" s="3" t="str">
        <f t="shared" si="18"/>
        <v>____</v>
      </c>
    </row>
    <row r="2117" spans="1:30" ht="14">
      <c r="A2117" s="23"/>
      <c r="B2117" s="23"/>
      <c r="C2117" s="23"/>
      <c r="D2117" s="23"/>
      <c r="E2117" s="23"/>
      <c r="F2117" s="23"/>
      <c r="G2117" s="23"/>
      <c r="H2117" s="22"/>
      <c r="I2117" s="23"/>
      <c r="J2117" s="23"/>
      <c r="K2117" s="23"/>
      <c r="L2117" s="32" t="s">
        <v>39</v>
      </c>
      <c r="M2117" s="33">
        <v>40</v>
      </c>
      <c r="N2117" s="33">
        <v>0</v>
      </c>
      <c r="O2117" s="33">
        <v>6</v>
      </c>
      <c r="P2117" s="32">
        <v>1</v>
      </c>
      <c r="Q2117" s="33">
        <v>1</v>
      </c>
      <c r="R2117" s="32">
        <v>0</v>
      </c>
      <c r="S2117" s="32">
        <v>0</v>
      </c>
      <c r="Z2117" s="23"/>
      <c r="AA2117" s="23"/>
      <c r="AB2117" s="3" t="str">
        <f t="shared" si="16"/>
        <v>___</v>
      </c>
      <c r="AC2117" s="3" t="str">
        <f t="shared" si="18"/>
        <v>____</v>
      </c>
    </row>
    <row r="2118" spans="1:30" ht="14">
      <c r="A2118" s="23"/>
      <c r="B2118" s="23"/>
      <c r="C2118" s="32" t="s">
        <v>313</v>
      </c>
      <c r="D2118" s="32" t="s">
        <v>81</v>
      </c>
      <c r="E2118" s="23"/>
      <c r="F2118" s="23"/>
      <c r="G2118" s="32" t="s">
        <v>35</v>
      </c>
      <c r="H2118" s="33">
        <v>1</v>
      </c>
      <c r="I2118" s="32">
        <v>10.5</v>
      </c>
      <c r="J2118" s="32">
        <v>16.5</v>
      </c>
      <c r="K2118" s="32">
        <v>3</v>
      </c>
      <c r="L2118" s="32" t="s">
        <v>36</v>
      </c>
      <c r="M2118" s="33">
        <v>38</v>
      </c>
      <c r="N2118" s="33">
        <v>5</v>
      </c>
      <c r="O2118" s="33">
        <v>9</v>
      </c>
      <c r="P2118" s="32">
        <v>0</v>
      </c>
      <c r="Q2118" s="33">
        <v>0</v>
      </c>
      <c r="R2118" s="32">
        <v>0</v>
      </c>
      <c r="S2118" s="32">
        <v>0</v>
      </c>
      <c r="Z2118" s="32" t="s">
        <v>314</v>
      </c>
      <c r="AA2118" s="23"/>
      <c r="AB2118" s="3" t="str">
        <f t="shared" si="16"/>
        <v>_MK11_1__vv</v>
      </c>
      <c r="AC2118" s="3" t="str">
        <f t="shared" si="18"/>
        <v>_MK11_1__vv_1</v>
      </c>
      <c r="AD2118" s="3" t="s">
        <v>37</v>
      </c>
    </row>
    <row r="2119" spans="1:30" ht="14">
      <c r="A2119" s="23"/>
      <c r="B2119" s="23"/>
      <c r="C2119" s="23"/>
      <c r="D2119" s="23"/>
      <c r="E2119" s="23"/>
      <c r="F2119" s="23"/>
      <c r="G2119" s="23"/>
      <c r="H2119" s="22"/>
      <c r="I2119" s="23"/>
      <c r="J2119" s="23"/>
      <c r="K2119" s="23"/>
      <c r="L2119" s="32" t="s">
        <v>38</v>
      </c>
      <c r="M2119" s="33">
        <v>61</v>
      </c>
      <c r="N2119" s="33">
        <v>9</v>
      </c>
      <c r="O2119" s="33">
        <v>14</v>
      </c>
      <c r="P2119" s="32">
        <v>0</v>
      </c>
      <c r="Q2119" s="33">
        <v>0</v>
      </c>
      <c r="R2119" s="32">
        <v>0</v>
      </c>
      <c r="S2119" s="32">
        <v>0</v>
      </c>
      <c r="Z2119" s="23"/>
      <c r="AA2119" s="23"/>
      <c r="AB2119" s="3" t="str">
        <f t="shared" si="16"/>
        <v>___</v>
      </c>
      <c r="AC2119" s="3" t="str">
        <f t="shared" si="18"/>
        <v>____</v>
      </c>
    </row>
    <row r="2120" spans="1:30" ht="14">
      <c r="A2120" s="23"/>
      <c r="B2120" s="23"/>
      <c r="C2120" s="23"/>
      <c r="D2120" s="23"/>
      <c r="E2120" s="23"/>
      <c r="F2120" s="23"/>
      <c r="G2120" s="23"/>
      <c r="H2120" s="22"/>
      <c r="I2120" s="23"/>
      <c r="J2120" s="23"/>
      <c r="K2120" s="23"/>
      <c r="L2120" s="32" t="s">
        <v>39</v>
      </c>
      <c r="M2120" s="33">
        <v>66</v>
      </c>
      <c r="N2120" s="33">
        <v>0</v>
      </c>
      <c r="O2120" s="33">
        <v>13</v>
      </c>
      <c r="P2120" s="32">
        <v>1</v>
      </c>
      <c r="Q2120" s="33">
        <v>1</v>
      </c>
      <c r="R2120" s="32">
        <v>0</v>
      </c>
      <c r="S2120" s="32">
        <v>0</v>
      </c>
      <c r="Z2120" s="23"/>
      <c r="AA2120" s="23"/>
      <c r="AB2120" s="3" t="str">
        <f t="shared" si="16"/>
        <v>___</v>
      </c>
      <c r="AC2120" s="3" t="str">
        <f t="shared" si="18"/>
        <v>____</v>
      </c>
    </row>
    <row r="2121" spans="1:30" ht="14">
      <c r="A2121" s="23"/>
      <c r="B2121" s="23"/>
      <c r="C2121" s="32" t="s">
        <v>315</v>
      </c>
      <c r="D2121" s="32" t="s">
        <v>81</v>
      </c>
      <c r="E2121" s="23"/>
      <c r="F2121" s="23"/>
      <c r="G2121" s="32" t="s">
        <v>35</v>
      </c>
      <c r="H2121" s="33">
        <v>1</v>
      </c>
      <c r="I2121" s="32">
        <v>10.3</v>
      </c>
      <c r="J2121" s="32">
        <v>13.9</v>
      </c>
      <c r="K2121" s="32">
        <v>4</v>
      </c>
      <c r="L2121" s="32" t="s">
        <v>36</v>
      </c>
      <c r="M2121" s="33">
        <v>33</v>
      </c>
      <c r="N2121" s="33">
        <v>9</v>
      </c>
      <c r="O2121" s="33">
        <v>10</v>
      </c>
      <c r="P2121" s="32">
        <v>0</v>
      </c>
      <c r="Q2121" s="33">
        <v>0</v>
      </c>
      <c r="R2121" s="32">
        <v>0</v>
      </c>
      <c r="S2121" s="32">
        <v>1</v>
      </c>
      <c r="Z2121" s="23"/>
      <c r="AA2121" s="23"/>
      <c r="AB2121" s="3" t="str">
        <f t="shared" si="16"/>
        <v>_MK12_1__vv</v>
      </c>
      <c r="AC2121" s="3" t="str">
        <f t="shared" si="18"/>
        <v>_MK12_1__vv_1</v>
      </c>
      <c r="AD2121" s="3" t="s">
        <v>37</v>
      </c>
    </row>
    <row r="2122" spans="1:30" ht="14">
      <c r="A2122" s="23"/>
      <c r="B2122" s="23"/>
      <c r="C2122" s="23"/>
      <c r="D2122" s="23"/>
      <c r="E2122" s="23"/>
      <c r="F2122" s="23"/>
      <c r="G2122" s="23"/>
      <c r="H2122" s="22"/>
      <c r="I2122" s="23"/>
      <c r="J2122" s="23"/>
      <c r="K2122" s="23"/>
      <c r="L2122" s="32" t="s">
        <v>38</v>
      </c>
      <c r="M2122" s="33">
        <v>31</v>
      </c>
      <c r="N2122" s="33">
        <v>7</v>
      </c>
      <c r="O2122" s="33">
        <v>9</v>
      </c>
      <c r="P2122" s="32">
        <v>1</v>
      </c>
      <c r="Q2122" s="33">
        <v>1</v>
      </c>
      <c r="R2122" s="32">
        <v>0</v>
      </c>
      <c r="S2122" s="32">
        <v>0</v>
      </c>
      <c r="Z2122" s="23"/>
      <c r="AA2122" s="23"/>
      <c r="AB2122" s="3" t="str">
        <f t="shared" si="16"/>
        <v>___</v>
      </c>
      <c r="AC2122" s="3" t="str">
        <f t="shared" si="18"/>
        <v>____</v>
      </c>
    </row>
    <row r="2123" spans="1:30" ht="14">
      <c r="A2123" s="23"/>
      <c r="B2123" s="23"/>
      <c r="C2123" s="23"/>
      <c r="D2123" s="23"/>
      <c r="E2123" s="23"/>
      <c r="F2123" s="23"/>
      <c r="G2123" s="23"/>
      <c r="H2123" s="22"/>
      <c r="I2123" s="23"/>
      <c r="J2123" s="23"/>
      <c r="K2123" s="23"/>
      <c r="L2123" s="32" t="s">
        <v>39</v>
      </c>
      <c r="M2123" s="33">
        <v>45</v>
      </c>
      <c r="N2123" s="33">
        <v>0</v>
      </c>
      <c r="O2123" s="33">
        <v>7</v>
      </c>
      <c r="P2123" s="32">
        <v>0</v>
      </c>
      <c r="Q2123" s="33">
        <v>0</v>
      </c>
      <c r="R2123" s="32">
        <v>0</v>
      </c>
      <c r="S2123" s="32">
        <v>0</v>
      </c>
      <c r="Z2123" s="23"/>
      <c r="AA2123" s="23"/>
      <c r="AB2123" s="3" t="str">
        <f t="shared" si="16"/>
        <v>___</v>
      </c>
      <c r="AC2123" s="3" t="str">
        <f t="shared" si="18"/>
        <v>____</v>
      </c>
    </row>
    <row r="2124" spans="1:30" ht="14">
      <c r="A2124" s="23"/>
      <c r="B2124" s="23"/>
      <c r="C2124" s="32" t="s">
        <v>316</v>
      </c>
      <c r="D2124" s="32" t="s">
        <v>81</v>
      </c>
      <c r="E2124" s="23"/>
      <c r="F2124" s="23"/>
      <c r="G2124" s="32" t="s">
        <v>35</v>
      </c>
      <c r="H2124" s="33">
        <v>2</v>
      </c>
      <c r="I2124" s="32">
        <v>7</v>
      </c>
      <c r="J2124" s="32">
        <v>9.4</v>
      </c>
      <c r="K2124" s="32">
        <v>5</v>
      </c>
      <c r="L2124" s="32" t="s">
        <v>36</v>
      </c>
      <c r="M2124" s="33">
        <v>26</v>
      </c>
      <c r="N2124" s="33">
        <v>8</v>
      </c>
      <c r="O2124" s="33">
        <v>10</v>
      </c>
      <c r="P2124" s="32">
        <v>0</v>
      </c>
      <c r="Q2124" s="33">
        <v>0</v>
      </c>
      <c r="R2124" s="32">
        <v>0</v>
      </c>
      <c r="S2124" s="32">
        <v>1</v>
      </c>
      <c r="Z2124" s="23"/>
      <c r="AA2124" s="23"/>
      <c r="AB2124" s="3" t="str">
        <f t="shared" si="16"/>
        <v>_MK12_2__vv</v>
      </c>
      <c r="AC2124" s="3" t="str">
        <f t="shared" si="18"/>
        <v>_MK12_2__vv_2</v>
      </c>
      <c r="AD2124" s="3" t="s">
        <v>37</v>
      </c>
    </row>
    <row r="2125" spans="1:30" ht="14">
      <c r="A2125" s="23"/>
      <c r="B2125" s="23"/>
      <c r="C2125" s="23"/>
      <c r="D2125" s="23"/>
      <c r="E2125" s="23"/>
      <c r="F2125" s="23"/>
      <c r="G2125" s="23"/>
      <c r="H2125" s="22"/>
      <c r="I2125" s="23"/>
      <c r="J2125" s="23"/>
      <c r="K2125" s="23"/>
      <c r="L2125" s="32" t="s">
        <v>38</v>
      </c>
      <c r="M2125" s="33">
        <v>34</v>
      </c>
      <c r="N2125" s="33">
        <v>3</v>
      </c>
      <c r="O2125" s="33">
        <v>9</v>
      </c>
      <c r="P2125" s="32">
        <v>0</v>
      </c>
      <c r="Q2125" s="33">
        <v>0</v>
      </c>
      <c r="R2125" s="32">
        <v>0</v>
      </c>
      <c r="S2125" s="32">
        <v>0</v>
      </c>
      <c r="Z2125" s="23"/>
      <c r="AA2125" s="23"/>
      <c r="AB2125" s="3" t="str">
        <f t="shared" si="16"/>
        <v>___</v>
      </c>
      <c r="AC2125" s="3" t="str">
        <f t="shared" si="18"/>
        <v>____</v>
      </c>
    </row>
    <row r="2126" spans="1:30" ht="14">
      <c r="A2126" s="23"/>
      <c r="B2126" s="23"/>
      <c r="C2126" s="23"/>
      <c r="D2126" s="23"/>
      <c r="E2126" s="23"/>
      <c r="F2126" s="23"/>
      <c r="G2126" s="23"/>
      <c r="H2126" s="22"/>
      <c r="I2126" s="23"/>
      <c r="J2126" s="23"/>
      <c r="K2126" s="23"/>
      <c r="L2126" s="32" t="s">
        <v>39</v>
      </c>
      <c r="M2126" s="33">
        <v>15</v>
      </c>
      <c r="N2126" s="33">
        <v>0</v>
      </c>
      <c r="O2126" s="33">
        <v>5</v>
      </c>
      <c r="P2126" s="32">
        <v>2</v>
      </c>
      <c r="Q2126" s="33">
        <v>2</v>
      </c>
      <c r="R2126" s="32">
        <v>0</v>
      </c>
      <c r="S2126" s="32">
        <v>0</v>
      </c>
      <c r="Z2126" s="23"/>
      <c r="AA2126" s="23"/>
      <c r="AB2126" s="3" t="str">
        <f t="shared" si="16"/>
        <v>___</v>
      </c>
      <c r="AC2126" s="3" t="str">
        <f t="shared" si="18"/>
        <v>____</v>
      </c>
    </row>
    <row r="2127" spans="1:30" ht="14">
      <c r="A2127" s="23"/>
      <c r="B2127" s="23"/>
      <c r="C2127" s="32" t="s">
        <v>317</v>
      </c>
      <c r="D2127" s="32" t="s">
        <v>81</v>
      </c>
      <c r="E2127" s="23"/>
      <c r="F2127" s="23"/>
      <c r="G2127" s="32" t="s">
        <v>35</v>
      </c>
      <c r="H2127" s="33">
        <v>4</v>
      </c>
      <c r="I2127" s="32">
        <v>10.6</v>
      </c>
      <c r="J2127" s="32">
        <v>11.6</v>
      </c>
      <c r="K2127" s="32">
        <v>6</v>
      </c>
      <c r="L2127" s="32" t="s">
        <v>36</v>
      </c>
      <c r="M2127" s="33">
        <v>17</v>
      </c>
      <c r="N2127" s="33">
        <v>4</v>
      </c>
      <c r="O2127" s="33">
        <v>5</v>
      </c>
      <c r="P2127" s="32">
        <v>0</v>
      </c>
      <c r="Q2127" s="33">
        <v>0</v>
      </c>
      <c r="R2127" s="32">
        <v>0</v>
      </c>
      <c r="S2127" s="32">
        <v>0</v>
      </c>
      <c r="Z2127" s="23"/>
      <c r="AA2127" s="23"/>
      <c r="AB2127" s="3" t="str">
        <f t="shared" si="16"/>
        <v>_MK13_4__vv</v>
      </c>
      <c r="AC2127" s="3" t="str">
        <f t="shared" si="18"/>
        <v>_MK13_4__vv_4</v>
      </c>
      <c r="AD2127" s="3" t="s">
        <v>37</v>
      </c>
    </row>
    <row r="2128" spans="1:30" ht="14">
      <c r="A2128" s="23"/>
      <c r="B2128" s="23"/>
      <c r="C2128" s="23"/>
      <c r="D2128" s="23"/>
      <c r="E2128" s="23"/>
      <c r="F2128" s="23"/>
      <c r="G2128" s="23"/>
      <c r="H2128" s="22"/>
      <c r="I2128" s="23"/>
      <c r="J2128" s="23"/>
      <c r="K2128" s="23"/>
      <c r="L2128" s="32" t="s">
        <v>38</v>
      </c>
      <c r="M2128" s="3">
        <v>31</v>
      </c>
      <c r="N2128" s="3">
        <v>7</v>
      </c>
      <c r="O2128" s="3">
        <v>10</v>
      </c>
      <c r="P2128" s="3">
        <v>0</v>
      </c>
      <c r="Q2128" s="3">
        <v>0</v>
      </c>
      <c r="R2128" s="3">
        <v>0</v>
      </c>
      <c r="S2128" s="3">
        <v>0</v>
      </c>
      <c r="Z2128" s="23"/>
      <c r="AA2128" s="23"/>
      <c r="AB2128" s="3" t="str">
        <f t="shared" si="16"/>
        <v>___</v>
      </c>
      <c r="AC2128" s="3" t="str">
        <f t="shared" si="18"/>
        <v>____</v>
      </c>
    </row>
    <row r="2129" spans="1:30" ht="14">
      <c r="A2129" s="23"/>
      <c r="B2129" s="23"/>
      <c r="C2129" s="23"/>
      <c r="D2129" s="23"/>
      <c r="E2129" s="23"/>
      <c r="F2129" s="23"/>
      <c r="G2129" s="23"/>
      <c r="H2129" s="33"/>
      <c r="I2129" s="23"/>
      <c r="J2129" s="23"/>
      <c r="K2129" s="23"/>
      <c r="L2129" s="32" t="s">
        <v>39</v>
      </c>
      <c r="M2129" s="33">
        <v>17</v>
      </c>
      <c r="N2129" s="33">
        <v>3</v>
      </c>
      <c r="O2129" s="33">
        <v>6</v>
      </c>
      <c r="P2129" s="32">
        <v>2</v>
      </c>
      <c r="Q2129" s="33">
        <v>2</v>
      </c>
      <c r="R2129" s="32">
        <v>0</v>
      </c>
      <c r="S2129" s="32">
        <v>0</v>
      </c>
      <c r="Z2129" s="23"/>
      <c r="AA2129" s="23"/>
      <c r="AB2129" s="3" t="str">
        <f t="shared" si="16"/>
        <v>___</v>
      </c>
      <c r="AC2129" s="3" t="str">
        <f t="shared" si="18"/>
        <v>____</v>
      </c>
    </row>
    <row r="2130" spans="1:30" ht="14">
      <c r="A2130" s="23"/>
      <c r="B2130" s="23"/>
      <c r="C2130" s="32" t="s">
        <v>318</v>
      </c>
      <c r="D2130" s="32" t="s">
        <v>81</v>
      </c>
      <c r="E2130" s="23"/>
      <c r="F2130" s="23"/>
      <c r="G2130" s="32" t="s">
        <v>35</v>
      </c>
      <c r="H2130" s="33">
        <v>4</v>
      </c>
      <c r="I2130" s="32">
        <v>12</v>
      </c>
      <c r="J2130" s="32">
        <v>16.5</v>
      </c>
      <c r="K2130" s="32">
        <v>6</v>
      </c>
      <c r="L2130" s="32" t="s">
        <v>36</v>
      </c>
      <c r="M2130" s="33">
        <v>14</v>
      </c>
      <c r="N2130" s="33">
        <v>1</v>
      </c>
      <c r="O2130" s="33">
        <v>4</v>
      </c>
      <c r="P2130" s="32">
        <v>0</v>
      </c>
      <c r="Q2130" s="33">
        <v>0</v>
      </c>
      <c r="R2130" s="32">
        <v>0</v>
      </c>
      <c r="S2130" s="32">
        <v>4</v>
      </c>
      <c r="Z2130" s="23"/>
      <c r="AA2130" s="23"/>
      <c r="AB2130" s="3" t="str">
        <f t="shared" si="16"/>
        <v>_MK10_4__vv</v>
      </c>
      <c r="AC2130" s="3" t="str">
        <f t="shared" si="18"/>
        <v>_MK10_4__vv_4</v>
      </c>
      <c r="AD2130" s="3" t="s">
        <v>37</v>
      </c>
    </row>
    <row r="2131" spans="1:30" ht="14">
      <c r="A2131" s="23"/>
      <c r="B2131" s="23"/>
      <c r="C2131" s="23"/>
      <c r="D2131" s="23"/>
      <c r="E2131" s="23"/>
      <c r="F2131" s="23"/>
      <c r="G2131" s="23"/>
      <c r="H2131" s="22"/>
      <c r="I2131" s="23"/>
      <c r="J2131" s="23"/>
      <c r="K2131" s="23"/>
      <c r="L2131" s="32" t="s">
        <v>38</v>
      </c>
      <c r="M2131" s="33">
        <v>10</v>
      </c>
      <c r="N2131" s="33">
        <v>1</v>
      </c>
      <c r="O2131" s="33">
        <v>4</v>
      </c>
      <c r="P2131" s="32">
        <v>0</v>
      </c>
      <c r="Q2131" s="33">
        <v>0</v>
      </c>
      <c r="R2131" s="32">
        <v>0</v>
      </c>
      <c r="S2131" s="32">
        <v>0</v>
      </c>
      <c r="Z2131" s="23"/>
      <c r="AA2131" s="23"/>
      <c r="AB2131" s="3" t="str">
        <f t="shared" si="16"/>
        <v>___</v>
      </c>
      <c r="AC2131" s="3" t="str">
        <f t="shared" si="18"/>
        <v>____</v>
      </c>
    </row>
    <row r="2132" spans="1:30" ht="14">
      <c r="A2132" s="23"/>
      <c r="B2132" s="23"/>
      <c r="C2132" s="23"/>
      <c r="D2132" s="23"/>
      <c r="E2132" s="23"/>
      <c r="F2132" s="23"/>
      <c r="G2132" s="23"/>
      <c r="H2132" s="22"/>
      <c r="I2132" s="23"/>
      <c r="J2132" s="23"/>
      <c r="K2132" s="23"/>
      <c r="L2132" s="32" t="s">
        <v>39</v>
      </c>
      <c r="M2132" s="33">
        <v>15</v>
      </c>
      <c r="N2132" s="33">
        <v>7</v>
      </c>
      <c r="O2132" s="33">
        <v>8</v>
      </c>
      <c r="P2132" s="32">
        <v>0</v>
      </c>
      <c r="Q2132" s="33">
        <v>0</v>
      </c>
      <c r="R2132" s="32">
        <v>0</v>
      </c>
      <c r="S2132" s="32">
        <v>0</v>
      </c>
      <c r="Z2132" s="23"/>
      <c r="AA2132" s="23"/>
      <c r="AB2132" s="3" t="str">
        <f t="shared" si="16"/>
        <v>___</v>
      </c>
      <c r="AC2132" s="3" t="str">
        <f t="shared" si="18"/>
        <v>____</v>
      </c>
    </row>
    <row r="2133" spans="1:30" ht="14">
      <c r="A2133" s="23"/>
      <c r="B2133" s="23"/>
      <c r="C2133" s="38" t="s">
        <v>319</v>
      </c>
      <c r="D2133" s="38" t="s">
        <v>81</v>
      </c>
      <c r="E2133" s="39"/>
      <c r="F2133" s="39"/>
      <c r="G2133" s="38" t="s">
        <v>35</v>
      </c>
      <c r="H2133" s="40">
        <v>1</v>
      </c>
      <c r="I2133" s="38">
        <v>11.1</v>
      </c>
      <c r="J2133" s="38">
        <v>13.7</v>
      </c>
      <c r="K2133" s="38">
        <v>4</v>
      </c>
      <c r="L2133" s="38" t="s">
        <v>36</v>
      </c>
      <c r="M2133" s="40">
        <v>15</v>
      </c>
      <c r="N2133" s="40">
        <v>9</v>
      </c>
      <c r="O2133" s="40">
        <v>10</v>
      </c>
      <c r="P2133" s="38">
        <v>0</v>
      </c>
      <c r="Q2133" s="40">
        <v>0</v>
      </c>
      <c r="R2133" s="38">
        <v>0</v>
      </c>
      <c r="S2133" s="38">
        <v>3</v>
      </c>
      <c r="T2133" s="41"/>
      <c r="U2133" s="41"/>
      <c r="V2133" s="41"/>
      <c r="W2133" s="41"/>
      <c r="X2133" s="41"/>
      <c r="Y2133" s="41"/>
      <c r="Z2133" s="38" t="s">
        <v>320</v>
      </c>
      <c r="AA2133" s="23"/>
      <c r="AB2133" s="3" t="str">
        <f t="shared" si="16"/>
        <v>_MK10_1__vv</v>
      </c>
      <c r="AC2133" s="3" t="str">
        <f t="shared" si="18"/>
        <v>_MK10_1__vv_1</v>
      </c>
      <c r="AD2133" s="3" t="s">
        <v>37</v>
      </c>
    </row>
    <row r="2134" spans="1:30" ht="14">
      <c r="A2134" s="23"/>
      <c r="B2134" s="23"/>
      <c r="C2134" s="39"/>
      <c r="D2134" s="39"/>
      <c r="E2134" s="39"/>
      <c r="F2134" s="39"/>
      <c r="G2134" s="39"/>
      <c r="H2134" s="42"/>
      <c r="I2134" s="39"/>
      <c r="J2134" s="39"/>
      <c r="K2134" s="39"/>
      <c r="L2134" s="38" t="s">
        <v>38</v>
      </c>
      <c r="M2134" s="40">
        <v>37</v>
      </c>
      <c r="N2134" s="40">
        <v>10</v>
      </c>
      <c r="O2134" s="40">
        <v>13</v>
      </c>
      <c r="P2134" s="38">
        <v>1</v>
      </c>
      <c r="Q2134" s="40">
        <v>1</v>
      </c>
      <c r="R2134" s="38">
        <v>0</v>
      </c>
      <c r="S2134" s="38">
        <v>0</v>
      </c>
      <c r="T2134" s="41"/>
      <c r="U2134" s="41"/>
      <c r="V2134" s="41"/>
      <c r="W2134" s="41"/>
      <c r="X2134" s="41"/>
      <c r="Y2134" s="41"/>
      <c r="Z2134" s="39"/>
      <c r="AA2134" s="23"/>
      <c r="AB2134" s="3" t="str">
        <f t="shared" si="16"/>
        <v>___</v>
      </c>
      <c r="AC2134" s="3" t="str">
        <f t="shared" si="18"/>
        <v>____</v>
      </c>
    </row>
    <row r="2135" spans="1:30" ht="14">
      <c r="A2135" s="23"/>
      <c r="B2135" s="23"/>
      <c r="C2135" s="39"/>
      <c r="D2135" s="39"/>
      <c r="E2135" s="39"/>
      <c r="F2135" s="39"/>
      <c r="G2135" s="39"/>
      <c r="H2135" s="42"/>
      <c r="I2135" s="39"/>
      <c r="J2135" s="39"/>
      <c r="K2135" s="39"/>
      <c r="L2135" s="38" t="s">
        <v>39</v>
      </c>
      <c r="M2135" s="40">
        <v>57</v>
      </c>
      <c r="N2135" s="40">
        <v>2</v>
      </c>
      <c r="O2135" s="40">
        <v>12</v>
      </c>
      <c r="P2135" s="38">
        <v>2</v>
      </c>
      <c r="Q2135" s="40">
        <v>2</v>
      </c>
      <c r="R2135" s="38">
        <v>0</v>
      </c>
      <c r="S2135" s="38">
        <v>0</v>
      </c>
      <c r="T2135" s="41"/>
      <c r="U2135" s="41"/>
      <c r="V2135" s="41"/>
      <c r="W2135" s="41"/>
      <c r="X2135" s="41"/>
      <c r="Y2135" s="41"/>
      <c r="Z2135" s="39"/>
      <c r="AA2135" s="23"/>
      <c r="AB2135" s="3" t="str">
        <f t="shared" si="16"/>
        <v>___</v>
      </c>
      <c r="AC2135" s="3" t="str">
        <f t="shared" si="18"/>
        <v>____</v>
      </c>
    </row>
    <row r="2136" spans="1:30" ht="14">
      <c r="A2136" s="23"/>
      <c r="B2136" s="23"/>
      <c r="C2136" s="32" t="s">
        <v>321</v>
      </c>
      <c r="D2136" s="32" t="s">
        <v>81</v>
      </c>
      <c r="E2136" s="23"/>
      <c r="F2136" s="23"/>
      <c r="G2136" s="32" t="s">
        <v>35</v>
      </c>
      <c r="H2136" s="33">
        <v>2</v>
      </c>
      <c r="I2136" s="32">
        <v>6.2</v>
      </c>
      <c r="J2136" s="32">
        <v>7.5</v>
      </c>
      <c r="K2136" s="32">
        <v>4</v>
      </c>
      <c r="L2136" s="32" t="s">
        <v>36</v>
      </c>
      <c r="M2136" s="33">
        <v>15</v>
      </c>
      <c r="N2136" s="33">
        <v>10</v>
      </c>
      <c r="O2136" s="33">
        <v>11</v>
      </c>
      <c r="P2136" s="32">
        <v>0</v>
      </c>
      <c r="Q2136" s="33">
        <v>0</v>
      </c>
      <c r="R2136" s="32">
        <v>0</v>
      </c>
      <c r="S2136" s="32">
        <v>1</v>
      </c>
      <c r="Z2136" s="23"/>
      <c r="AA2136" s="23"/>
      <c r="AB2136" s="3" t="str">
        <f t="shared" si="16"/>
        <v>_MK14_2__vv</v>
      </c>
      <c r="AC2136" s="3" t="str">
        <f t="shared" si="18"/>
        <v>_MK14_2__vv_2</v>
      </c>
      <c r="AD2136" s="3" t="s">
        <v>37</v>
      </c>
    </row>
    <row r="2137" spans="1:30" ht="14">
      <c r="A2137" s="23"/>
      <c r="B2137" s="23"/>
      <c r="C2137" s="23"/>
      <c r="D2137" s="23"/>
      <c r="E2137" s="23"/>
      <c r="F2137" s="23"/>
      <c r="G2137" s="23"/>
      <c r="H2137" s="22"/>
      <c r="I2137" s="23"/>
      <c r="J2137" s="23"/>
      <c r="K2137" s="23"/>
      <c r="L2137" s="32" t="s">
        <v>38</v>
      </c>
      <c r="M2137" s="33">
        <v>24</v>
      </c>
      <c r="N2137" s="33">
        <v>8</v>
      </c>
      <c r="O2137" s="33">
        <v>10</v>
      </c>
      <c r="P2137" s="32">
        <v>0</v>
      </c>
      <c r="Q2137" s="33">
        <v>0</v>
      </c>
      <c r="R2137" s="32">
        <v>0</v>
      </c>
      <c r="S2137" s="32">
        <v>0</v>
      </c>
      <c r="Z2137" s="23"/>
      <c r="AA2137" s="23"/>
      <c r="AB2137" s="3" t="str">
        <f t="shared" si="16"/>
        <v>___</v>
      </c>
      <c r="AC2137" s="3" t="str">
        <f t="shared" si="18"/>
        <v>____</v>
      </c>
    </row>
    <row r="2138" spans="1:30" ht="14">
      <c r="A2138" s="23"/>
      <c r="B2138" s="23"/>
      <c r="C2138" s="23"/>
      <c r="D2138" s="23"/>
      <c r="E2138" s="23"/>
      <c r="F2138" s="23"/>
      <c r="G2138" s="23"/>
      <c r="H2138" s="22"/>
      <c r="I2138" s="23"/>
      <c r="J2138" s="23"/>
      <c r="K2138" s="23"/>
      <c r="L2138" s="32" t="s">
        <v>39</v>
      </c>
      <c r="M2138" s="33">
        <v>30</v>
      </c>
      <c r="N2138" s="33">
        <v>4</v>
      </c>
      <c r="O2138" s="33">
        <v>8</v>
      </c>
      <c r="P2138" s="32">
        <v>0</v>
      </c>
      <c r="Q2138" s="33">
        <v>0</v>
      </c>
      <c r="R2138" s="32">
        <v>0</v>
      </c>
      <c r="S2138" s="32">
        <v>0</v>
      </c>
      <c r="Z2138" s="23"/>
      <c r="AA2138" s="23"/>
      <c r="AB2138" s="3" t="str">
        <f t="shared" si="16"/>
        <v>___</v>
      </c>
      <c r="AC2138" s="3" t="str">
        <f t="shared" si="18"/>
        <v>____</v>
      </c>
    </row>
    <row r="2139" spans="1:30" ht="14">
      <c r="A2139" s="23"/>
      <c r="B2139" s="23"/>
      <c r="C2139" s="32" t="s">
        <v>322</v>
      </c>
      <c r="D2139" s="32" t="s">
        <v>81</v>
      </c>
      <c r="E2139" s="23"/>
      <c r="F2139" s="23"/>
      <c r="G2139" s="32" t="s">
        <v>35</v>
      </c>
      <c r="H2139" s="33">
        <v>3</v>
      </c>
      <c r="I2139" s="32">
        <v>8.1999999999999993</v>
      </c>
      <c r="J2139" s="32">
        <v>10.8</v>
      </c>
      <c r="K2139" s="32">
        <v>6</v>
      </c>
      <c r="L2139" s="32" t="s">
        <v>36</v>
      </c>
      <c r="M2139" s="33">
        <v>12</v>
      </c>
      <c r="N2139" s="33">
        <v>5</v>
      </c>
      <c r="O2139" s="33">
        <v>9</v>
      </c>
      <c r="P2139" s="32">
        <v>0</v>
      </c>
      <c r="Q2139" s="33">
        <v>0</v>
      </c>
      <c r="R2139" s="32">
        <v>0</v>
      </c>
      <c r="S2139" s="32">
        <v>0</v>
      </c>
      <c r="Z2139" s="23"/>
      <c r="AA2139" s="23"/>
      <c r="AB2139" s="3" t="str">
        <f t="shared" si="16"/>
        <v>_MK14_3__vv</v>
      </c>
      <c r="AC2139" s="3" t="str">
        <f t="shared" si="18"/>
        <v>_MK14_3__vv_3</v>
      </c>
      <c r="AD2139" s="3" t="s">
        <v>37</v>
      </c>
    </row>
    <row r="2140" spans="1:30" ht="14">
      <c r="A2140" s="23"/>
      <c r="B2140" s="23"/>
      <c r="C2140" s="23"/>
      <c r="D2140" s="23"/>
      <c r="E2140" s="23"/>
      <c r="F2140" s="23"/>
      <c r="G2140" s="23"/>
      <c r="H2140" s="22"/>
      <c r="I2140" s="23"/>
      <c r="J2140" s="23"/>
      <c r="K2140" s="23"/>
      <c r="L2140" s="32" t="s">
        <v>38</v>
      </c>
      <c r="M2140" s="33">
        <v>18</v>
      </c>
      <c r="N2140" s="33">
        <v>5</v>
      </c>
      <c r="O2140" s="33">
        <v>8</v>
      </c>
      <c r="P2140" s="32">
        <v>0</v>
      </c>
      <c r="Q2140" s="33">
        <v>0</v>
      </c>
      <c r="R2140" s="32">
        <v>0</v>
      </c>
      <c r="S2140" s="32">
        <v>0</v>
      </c>
      <c r="Z2140" s="23"/>
      <c r="AA2140" s="23"/>
      <c r="AB2140" s="3" t="str">
        <f t="shared" si="16"/>
        <v>___</v>
      </c>
      <c r="AC2140" s="3" t="str">
        <f t="shared" si="18"/>
        <v>____</v>
      </c>
    </row>
    <row r="2141" spans="1:30" ht="14">
      <c r="A2141" s="23"/>
      <c r="B2141" s="23"/>
      <c r="C2141" s="23"/>
      <c r="D2141" s="23"/>
      <c r="E2141" s="23"/>
      <c r="F2141" s="23"/>
      <c r="G2141" s="23"/>
      <c r="H2141" s="22"/>
      <c r="I2141" s="23"/>
      <c r="J2141" s="23"/>
      <c r="K2141" s="23"/>
      <c r="L2141" s="32" t="s">
        <v>39</v>
      </c>
      <c r="M2141" s="33">
        <v>25</v>
      </c>
      <c r="N2141" s="33">
        <v>3</v>
      </c>
      <c r="O2141" s="33">
        <v>10</v>
      </c>
      <c r="P2141" s="32">
        <v>0</v>
      </c>
      <c r="Q2141" s="33">
        <v>0</v>
      </c>
      <c r="R2141" s="32">
        <v>0</v>
      </c>
      <c r="S2141" s="32">
        <v>0</v>
      </c>
      <c r="Z2141" s="23"/>
      <c r="AA2141" s="23"/>
      <c r="AB2141" s="3" t="str">
        <f t="shared" si="16"/>
        <v>___</v>
      </c>
      <c r="AC2141" s="3" t="str">
        <f t="shared" si="18"/>
        <v>____</v>
      </c>
    </row>
    <row r="2142" spans="1:30" ht="14">
      <c r="A2142" s="23"/>
      <c r="B2142" s="23"/>
      <c r="C2142" s="32" t="s">
        <v>323</v>
      </c>
      <c r="D2142" s="32" t="s">
        <v>81</v>
      </c>
      <c r="E2142" s="23"/>
      <c r="F2142" s="23"/>
      <c r="G2142" s="32" t="s">
        <v>35</v>
      </c>
      <c r="H2142" s="33">
        <v>1</v>
      </c>
      <c r="I2142" s="32">
        <v>11.2</v>
      </c>
      <c r="J2142" s="32">
        <v>15</v>
      </c>
      <c r="K2142" s="32">
        <v>4</v>
      </c>
      <c r="L2142" s="32" t="s">
        <v>36</v>
      </c>
      <c r="M2142" s="33">
        <v>52</v>
      </c>
      <c r="N2142" s="33">
        <v>7</v>
      </c>
      <c r="O2142" s="33">
        <v>12</v>
      </c>
      <c r="P2142" s="32">
        <v>0</v>
      </c>
      <c r="Q2142" s="33">
        <v>0</v>
      </c>
      <c r="R2142" s="32">
        <v>0</v>
      </c>
      <c r="S2142" s="32">
        <v>0</v>
      </c>
      <c r="Z2142" s="23"/>
      <c r="AA2142" s="23"/>
      <c r="AB2142" s="3" t="str">
        <f t="shared" si="16"/>
        <v>_MK1_x__vv</v>
      </c>
      <c r="AC2142" s="3" t="str">
        <f t="shared" si="18"/>
        <v>_MK1_x__vv_1</v>
      </c>
      <c r="AD2142" s="3" t="s">
        <v>37</v>
      </c>
    </row>
    <row r="2143" spans="1:30" ht="14">
      <c r="A2143" s="23"/>
      <c r="B2143" s="23"/>
      <c r="C2143" s="23"/>
      <c r="D2143" s="23"/>
      <c r="E2143" s="23"/>
      <c r="F2143" s="23"/>
      <c r="G2143" s="23"/>
      <c r="H2143" s="22"/>
      <c r="I2143" s="23"/>
      <c r="J2143" s="23"/>
      <c r="K2143" s="23"/>
      <c r="L2143" s="32" t="s">
        <v>38</v>
      </c>
      <c r="M2143" s="33">
        <v>50</v>
      </c>
      <c r="N2143" s="33">
        <v>0</v>
      </c>
      <c r="O2143" s="33">
        <v>14</v>
      </c>
      <c r="P2143" s="32">
        <v>0</v>
      </c>
      <c r="Q2143" s="33">
        <v>0</v>
      </c>
      <c r="R2143" s="32">
        <v>0</v>
      </c>
      <c r="S2143" s="32">
        <v>0</v>
      </c>
      <c r="Z2143" s="23"/>
      <c r="AA2143" s="23"/>
      <c r="AB2143" s="3" t="str">
        <f t="shared" si="16"/>
        <v>___</v>
      </c>
      <c r="AC2143" s="3" t="str">
        <f t="shared" si="18"/>
        <v>____</v>
      </c>
    </row>
    <row r="2144" spans="1:30" ht="14">
      <c r="A2144" s="23"/>
      <c r="B2144" s="23"/>
      <c r="C2144" s="23"/>
      <c r="D2144" s="23"/>
      <c r="E2144" s="23"/>
      <c r="F2144" s="23"/>
      <c r="G2144" s="23"/>
      <c r="H2144" s="22"/>
      <c r="I2144" s="23"/>
      <c r="J2144" s="23"/>
      <c r="K2144" s="23"/>
      <c r="L2144" s="32" t="s">
        <v>39</v>
      </c>
      <c r="M2144" s="33">
        <v>46</v>
      </c>
      <c r="N2144" s="33">
        <v>0</v>
      </c>
      <c r="O2144" s="33">
        <v>8</v>
      </c>
      <c r="P2144" s="32">
        <v>2</v>
      </c>
      <c r="Q2144" s="33">
        <v>2</v>
      </c>
      <c r="R2144" s="32">
        <v>0</v>
      </c>
      <c r="S2144" s="32">
        <v>0</v>
      </c>
      <c r="Z2144" s="23"/>
      <c r="AA2144" s="23"/>
      <c r="AB2144" s="3" t="str">
        <f t="shared" si="16"/>
        <v>___</v>
      </c>
      <c r="AC2144" s="3" t="str">
        <f t="shared" si="18"/>
        <v>____</v>
      </c>
    </row>
    <row r="2145" spans="1:30" ht="14">
      <c r="A2145" s="23"/>
      <c r="B2145" s="23"/>
      <c r="C2145" s="32" t="s">
        <v>324</v>
      </c>
      <c r="D2145" s="32" t="s">
        <v>81</v>
      </c>
      <c r="E2145" s="23"/>
      <c r="F2145" s="23"/>
      <c r="G2145" s="32" t="s">
        <v>35</v>
      </c>
      <c r="H2145" s="33">
        <v>4</v>
      </c>
      <c r="I2145" s="32">
        <v>12.9</v>
      </c>
      <c r="J2145" s="32">
        <v>14.4</v>
      </c>
      <c r="K2145" s="23"/>
      <c r="L2145" s="32" t="s">
        <v>36</v>
      </c>
      <c r="M2145" s="33">
        <v>12</v>
      </c>
      <c r="N2145" s="33">
        <v>9</v>
      </c>
      <c r="O2145" s="33">
        <v>10</v>
      </c>
      <c r="P2145" s="32">
        <v>0</v>
      </c>
      <c r="Q2145" s="33">
        <v>0</v>
      </c>
      <c r="R2145" s="32">
        <v>0</v>
      </c>
      <c r="S2145" s="32">
        <v>0</v>
      </c>
      <c r="Z2145" s="23"/>
      <c r="AA2145" s="23"/>
      <c r="AB2145" s="3" t="str">
        <f t="shared" si="16"/>
        <v>_MK14_4__vv</v>
      </c>
      <c r="AC2145" s="3" t="str">
        <f t="shared" si="18"/>
        <v>_MK14_4__vv_4</v>
      </c>
      <c r="AD2145" s="3" t="s">
        <v>37</v>
      </c>
    </row>
    <row r="2146" spans="1:30" ht="14">
      <c r="A2146" s="23"/>
      <c r="B2146" s="23"/>
      <c r="C2146" s="23"/>
      <c r="D2146" s="23"/>
      <c r="E2146" s="23"/>
      <c r="F2146" s="23"/>
      <c r="G2146" s="23"/>
      <c r="H2146" s="22"/>
      <c r="I2146" s="23"/>
      <c r="J2146" s="23"/>
      <c r="K2146" s="23"/>
      <c r="L2146" s="32" t="s">
        <v>38</v>
      </c>
      <c r="M2146" s="33">
        <v>17</v>
      </c>
      <c r="N2146" s="33">
        <v>10</v>
      </c>
      <c r="O2146" s="33">
        <v>11</v>
      </c>
      <c r="P2146" s="32">
        <v>0</v>
      </c>
      <c r="Q2146" s="33">
        <v>0</v>
      </c>
      <c r="R2146" s="32">
        <v>0</v>
      </c>
      <c r="S2146" s="32">
        <v>0</v>
      </c>
      <c r="Z2146" s="23"/>
      <c r="AA2146" s="23"/>
      <c r="AB2146" s="3" t="str">
        <f t="shared" si="16"/>
        <v>___</v>
      </c>
      <c r="AC2146" s="3" t="str">
        <f t="shared" si="18"/>
        <v>____</v>
      </c>
    </row>
    <row r="2147" spans="1:30" ht="14">
      <c r="A2147" s="23"/>
      <c r="B2147" s="23"/>
      <c r="C2147" s="23"/>
      <c r="D2147" s="23"/>
      <c r="E2147" s="23"/>
      <c r="F2147" s="23"/>
      <c r="G2147" s="23"/>
      <c r="H2147" s="22"/>
      <c r="I2147" s="23"/>
      <c r="J2147" s="23"/>
      <c r="K2147" s="23"/>
      <c r="L2147" s="32" t="s">
        <v>39</v>
      </c>
      <c r="M2147" s="33">
        <v>25</v>
      </c>
      <c r="N2147" s="33">
        <v>5</v>
      </c>
      <c r="O2147" s="33">
        <v>13</v>
      </c>
      <c r="P2147" s="32">
        <v>0</v>
      </c>
      <c r="Q2147" s="33">
        <v>0</v>
      </c>
      <c r="R2147" s="32">
        <v>0</v>
      </c>
      <c r="S2147" s="32">
        <v>0</v>
      </c>
      <c r="Z2147" s="23"/>
      <c r="AA2147" s="23"/>
      <c r="AB2147" s="3" t="str">
        <f t="shared" si="16"/>
        <v>___</v>
      </c>
      <c r="AC2147" s="3" t="str">
        <f t="shared" si="18"/>
        <v>____</v>
      </c>
    </row>
    <row r="2148" spans="1:30" ht="14">
      <c r="A2148" s="23"/>
      <c r="B2148" s="23"/>
      <c r="C2148" s="32" t="s">
        <v>325</v>
      </c>
      <c r="D2148" s="32" t="s">
        <v>81</v>
      </c>
      <c r="E2148" s="23"/>
      <c r="F2148" s="23"/>
      <c r="G2148" s="32" t="s">
        <v>35</v>
      </c>
      <c r="H2148" s="33">
        <v>3</v>
      </c>
      <c r="I2148" s="32">
        <v>15.6</v>
      </c>
      <c r="J2148" s="32">
        <v>18</v>
      </c>
      <c r="K2148" s="32">
        <v>5</v>
      </c>
      <c r="L2148" s="32" t="s">
        <v>36</v>
      </c>
      <c r="M2148" s="33">
        <v>49</v>
      </c>
      <c r="N2148" s="33">
        <v>5</v>
      </c>
      <c r="O2148" s="33">
        <v>13</v>
      </c>
      <c r="P2148" s="32">
        <v>0</v>
      </c>
      <c r="Q2148" s="33">
        <v>0</v>
      </c>
      <c r="R2148" s="32">
        <v>0</v>
      </c>
      <c r="S2148" s="32">
        <v>0</v>
      </c>
      <c r="Z2148" s="23"/>
      <c r="AA2148" s="23"/>
      <c r="AB2148" s="3" t="str">
        <f t="shared" si="16"/>
        <v>_MK11_3__vv</v>
      </c>
      <c r="AC2148" s="3" t="str">
        <f t="shared" si="18"/>
        <v>_MK11_3__vv_3</v>
      </c>
      <c r="AD2148" s="3" t="s">
        <v>37</v>
      </c>
    </row>
    <row r="2149" spans="1:30" ht="14">
      <c r="A2149" s="23"/>
      <c r="B2149" s="23"/>
      <c r="C2149" s="23"/>
      <c r="D2149" s="23"/>
      <c r="E2149" s="23"/>
      <c r="F2149" s="23"/>
      <c r="G2149" s="23"/>
      <c r="H2149" s="22"/>
      <c r="I2149" s="23"/>
      <c r="J2149" s="23"/>
      <c r="K2149" s="23"/>
      <c r="L2149" s="32" t="s">
        <v>38</v>
      </c>
      <c r="M2149" s="33">
        <v>82</v>
      </c>
      <c r="N2149" s="33">
        <v>5</v>
      </c>
      <c r="O2149" s="33">
        <v>18</v>
      </c>
      <c r="P2149" s="32">
        <v>0</v>
      </c>
      <c r="Q2149" s="33">
        <v>0</v>
      </c>
      <c r="R2149" s="32">
        <v>0</v>
      </c>
      <c r="S2149" s="32">
        <v>0</v>
      </c>
      <c r="Z2149" s="23"/>
      <c r="AA2149" s="23"/>
      <c r="AB2149" s="3" t="str">
        <f t="shared" si="16"/>
        <v>___</v>
      </c>
      <c r="AC2149" s="3" t="str">
        <f t="shared" si="18"/>
        <v>____</v>
      </c>
    </row>
    <row r="2150" spans="1:30" ht="14">
      <c r="A2150" s="23"/>
      <c r="B2150" s="23"/>
      <c r="C2150" s="23"/>
      <c r="D2150" s="23"/>
      <c r="E2150" s="23"/>
      <c r="F2150" s="23"/>
      <c r="G2150" s="23"/>
      <c r="H2150" s="22"/>
      <c r="I2150" s="23"/>
      <c r="J2150" s="23"/>
      <c r="K2150" s="23"/>
      <c r="L2150" s="32" t="s">
        <v>39</v>
      </c>
      <c r="M2150" s="33">
        <v>15</v>
      </c>
      <c r="N2150" s="33">
        <v>0</v>
      </c>
      <c r="O2150" s="33">
        <v>4</v>
      </c>
      <c r="P2150" s="32">
        <v>0</v>
      </c>
      <c r="Q2150" s="33">
        <v>0</v>
      </c>
      <c r="R2150" s="32">
        <v>0</v>
      </c>
      <c r="S2150" s="32">
        <v>0</v>
      </c>
      <c r="Z2150" s="23"/>
      <c r="AA2150" s="23"/>
      <c r="AB2150" s="3" t="str">
        <f t="shared" si="16"/>
        <v>___</v>
      </c>
      <c r="AC2150" s="3" t="str">
        <f t="shared" si="18"/>
        <v>____</v>
      </c>
    </row>
    <row r="2151" spans="1:30" ht="14">
      <c r="A2151" s="23"/>
      <c r="B2151" s="23"/>
      <c r="C2151" s="32" t="s">
        <v>326</v>
      </c>
      <c r="D2151" s="32" t="s">
        <v>81</v>
      </c>
      <c r="E2151" s="23"/>
      <c r="F2151" s="23"/>
      <c r="G2151" s="32" t="s">
        <v>35</v>
      </c>
      <c r="H2151" s="33">
        <v>1</v>
      </c>
      <c r="I2151" s="32">
        <v>11.6</v>
      </c>
      <c r="J2151" s="32">
        <v>10.7</v>
      </c>
      <c r="K2151" s="32">
        <v>4</v>
      </c>
      <c r="L2151" s="32" t="s">
        <v>36</v>
      </c>
      <c r="M2151" s="33">
        <v>34</v>
      </c>
      <c r="N2151" s="33">
        <v>9</v>
      </c>
      <c r="O2151" s="33">
        <v>12</v>
      </c>
      <c r="P2151" s="32">
        <v>0</v>
      </c>
      <c r="Q2151" s="33">
        <v>0</v>
      </c>
      <c r="R2151" s="32">
        <v>0</v>
      </c>
      <c r="S2151" s="32">
        <v>1</v>
      </c>
      <c r="Z2151" s="23"/>
      <c r="AA2151" s="23"/>
      <c r="AB2151" s="3" t="str">
        <f t="shared" si="16"/>
        <v>_MK14_1__vv</v>
      </c>
      <c r="AC2151" s="3" t="str">
        <f t="shared" si="18"/>
        <v>_MK14_1__vv_1</v>
      </c>
      <c r="AD2151" s="3" t="s">
        <v>37</v>
      </c>
    </row>
    <row r="2152" spans="1:30" ht="14">
      <c r="A2152" s="23"/>
      <c r="B2152" s="23"/>
      <c r="C2152" s="23"/>
      <c r="D2152" s="23"/>
      <c r="E2152" s="23"/>
      <c r="F2152" s="23"/>
      <c r="G2152" s="23"/>
      <c r="H2152" s="22"/>
      <c r="I2152" s="23"/>
      <c r="J2152" s="23"/>
      <c r="K2152" s="23"/>
      <c r="L2152" s="32" t="s">
        <v>38</v>
      </c>
      <c r="M2152" s="33">
        <v>26</v>
      </c>
      <c r="N2152" s="33">
        <v>9</v>
      </c>
      <c r="O2152" s="33">
        <v>11</v>
      </c>
      <c r="P2152" s="32">
        <v>0</v>
      </c>
      <c r="Q2152" s="33">
        <v>0</v>
      </c>
      <c r="R2152" s="32">
        <v>0</v>
      </c>
      <c r="S2152" s="32">
        <v>0</v>
      </c>
      <c r="Z2152" s="23"/>
      <c r="AA2152" s="23"/>
      <c r="AB2152" s="3" t="str">
        <f t="shared" si="16"/>
        <v>___</v>
      </c>
      <c r="AC2152" s="3" t="str">
        <f t="shared" si="18"/>
        <v>____</v>
      </c>
    </row>
    <row r="2153" spans="1:30" ht="14">
      <c r="A2153" s="23"/>
      <c r="B2153" s="23"/>
      <c r="C2153" s="23"/>
      <c r="D2153" s="23"/>
      <c r="E2153" s="23"/>
      <c r="F2153" s="23"/>
      <c r="G2153" s="23"/>
      <c r="H2153" s="22"/>
      <c r="I2153" s="23"/>
      <c r="J2153" s="23"/>
      <c r="K2153" s="23"/>
      <c r="L2153" s="32" t="s">
        <v>39</v>
      </c>
      <c r="M2153" s="33">
        <v>31</v>
      </c>
      <c r="N2153" s="33">
        <v>0</v>
      </c>
      <c r="O2153" s="33">
        <v>8</v>
      </c>
      <c r="P2153" s="32">
        <v>1</v>
      </c>
      <c r="Q2153" s="33">
        <v>1</v>
      </c>
      <c r="R2153" s="32">
        <v>0</v>
      </c>
      <c r="S2153" s="32">
        <v>0</v>
      </c>
      <c r="Z2153" s="23"/>
      <c r="AA2153" s="23"/>
      <c r="AB2153" s="3" t="str">
        <f t="shared" si="16"/>
        <v>___</v>
      </c>
      <c r="AC2153" s="3" t="str">
        <f t="shared" si="18"/>
        <v>____</v>
      </c>
    </row>
    <row r="2154" spans="1:30" ht="14">
      <c r="A2154" s="23"/>
      <c r="B2154" s="23"/>
      <c r="C2154" s="32" t="s">
        <v>327</v>
      </c>
      <c r="D2154" s="32" t="s">
        <v>81</v>
      </c>
      <c r="E2154" s="23"/>
      <c r="F2154" s="23"/>
      <c r="G2154" s="32" t="s">
        <v>35</v>
      </c>
      <c r="H2154" s="33">
        <v>4</v>
      </c>
      <c r="I2154" s="32">
        <v>9</v>
      </c>
      <c r="J2154" s="32">
        <v>12</v>
      </c>
      <c r="K2154" s="32">
        <v>4</v>
      </c>
      <c r="L2154" s="32" t="s">
        <v>36</v>
      </c>
      <c r="M2154" s="33">
        <v>27</v>
      </c>
      <c r="N2154" s="33">
        <v>9</v>
      </c>
      <c r="O2154" s="33">
        <v>10</v>
      </c>
      <c r="P2154" s="32">
        <v>0</v>
      </c>
      <c r="Q2154" s="33">
        <v>0</v>
      </c>
      <c r="R2154" s="32">
        <v>0</v>
      </c>
      <c r="S2154" s="32">
        <v>1</v>
      </c>
      <c r="Z2154" s="23"/>
      <c r="AA2154" s="23"/>
      <c r="AB2154" s="3" t="str">
        <f t="shared" si="16"/>
        <v>_MK12_4__vv</v>
      </c>
      <c r="AC2154" s="3" t="str">
        <f t="shared" si="18"/>
        <v>_MK12_4__vv_4</v>
      </c>
      <c r="AD2154" s="3" t="s">
        <v>37</v>
      </c>
    </row>
    <row r="2155" spans="1:30" ht="14">
      <c r="A2155" s="23"/>
      <c r="B2155" s="23"/>
      <c r="C2155" s="23"/>
      <c r="D2155" s="23"/>
      <c r="E2155" s="23"/>
      <c r="F2155" s="23"/>
      <c r="G2155" s="23"/>
      <c r="H2155" s="22"/>
      <c r="I2155" s="23"/>
      <c r="J2155" s="23"/>
      <c r="K2155" s="23"/>
      <c r="L2155" s="32" t="s">
        <v>38</v>
      </c>
      <c r="M2155" s="33">
        <v>35</v>
      </c>
      <c r="N2155" s="33">
        <v>3</v>
      </c>
      <c r="O2155" s="33">
        <v>10</v>
      </c>
      <c r="P2155" s="32">
        <v>0</v>
      </c>
      <c r="Q2155" s="33">
        <v>0</v>
      </c>
      <c r="R2155" s="32">
        <v>0</v>
      </c>
      <c r="S2155" s="32">
        <v>0</v>
      </c>
      <c r="Z2155" s="23"/>
      <c r="AA2155" s="23"/>
      <c r="AB2155" s="3" t="str">
        <f t="shared" si="16"/>
        <v>___</v>
      </c>
      <c r="AC2155" s="3" t="str">
        <f t="shared" si="18"/>
        <v>____</v>
      </c>
    </row>
    <row r="2156" spans="1:30" ht="14">
      <c r="A2156" s="23"/>
      <c r="B2156" s="23"/>
      <c r="C2156" s="23"/>
      <c r="D2156" s="23"/>
      <c r="E2156" s="23"/>
      <c r="F2156" s="23"/>
      <c r="G2156" s="23"/>
      <c r="H2156" s="22"/>
      <c r="I2156" s="23"/>
      <c r="J2156" s="23"/>
      <c r="K2156" s="23"/>
      <c r="L2156" s="32" t="s">
        <v>39</v>
      </c>
      <c r="M2156" s="33">
        <v>37</v>
      </c>
      <c r="N2156" s="33">
        <v>10</v>
      </c>
      <c r="O2156" s="33">
        <v>10</v>
      </c>
      <c r="P2156" s="32">
        <v>0</v>
      </c>
      <c r="Q2156" s="33">
        <v>0</v>
      </c>
      <c r="R2156" s="32">
        <v>0</v>
      </c>
      <c r="S2156" s="32">
        <v>0</v>
      </c>
      <c r="Z2156" s="23"/>
      <c r="AA2156" s="23"/>
      <c r="AB2156" s="3" t="str">
        <f t="shared" si="16"/>
        <v>___</v>
      </c>
      <c r="AC2156" s="3" t="str">
        <f t="shared" si="18"/>
        <v>____</v>
      </c>
    </row>
    <row r="2157" spans="1:30" ht="14">
      <c r="A2157" s="23"/>
      <c r="B2157" s="23"/>
      <c r="C2157" s="32" t="s">
        <v>323</v>
      </c>
      <c r="D2157" s="32" t="s">
        <v>81</v>
      </c>
      <c r="E2157" s="23"/>
      <c r="F2157" s="23"/>
      <c r="G2157" s="32" t="s">
        <v>35</v>
      </c>
      <c r="H2157" s="33">
        <v>4</v>
      </c>
      <c r="I2157" s="32">
        <v>10</v>
      </c>
      <c r="J2157" s="32">
        <v>11.6</v>
      </c>
      <c r="K2157" s="32">
        <v>4</v>
      </c>
      <c r="L2157" s="32" t="s">
        <v>36</v>
      </c>
      <c r="M2157" s="33">
        <v>45</v>
      </c>
      <c r="N2157" s="33">
        <v>11</v>
      </c>
      <c r="O2157" s="33">
        <v>15</v>
      </c>
      <c r="P2157" s="32">
        <v>0</v>
      </c>
      <c r="Q2157" s="33">
        <v>0</v>
      </c>
      <c r="R2157" s="32">
        <v>0</v>
      </c>
      <c r="S2157" s="32">
        <v>1</v>
      </c>
      <c r="Z2157" s="23"/>
      <c r="AA2157" s="23"/>
      <c r="AB2157" s="3" t="str">
        <f t="shared" si="16"/>
        <v>_MK1_x__vv</v>
      </c>
      <c r="AC2157" s="3" t="str">
        <f t="shared" si="18"/>
        <v>_MK1_x__vv_4</v>
      </c>
      <c r="AD2157" s="3" t="s">
        <v>37</v>
      </c>
    </row>
    <row r="2158" spans="1:30" ht="14">
      <c r="A2158" s="23"/>
      <c r="B2158" s="23"/>
      <c r="C2158" s="23"/>
      <c r="D2158" s="23"/>
      <c r="E2158" s="23"/>
      <c r="F2158" s="23"/>
      <c r="G2158" s="23"/>
      <c r="H2158" s="22"/>
      <c r="I2158" s="23"/>
      <c r="J2158" s="23"/>
      <c r="K2158" s="23"/>
      <c r="L2158" s="32" t="s">
        <v>38</v>
      </c>
      <c r="M2158" s="33">
        <v>34</v>
      </c>
      <c r="N2158" s="33">
        <v>6</v>
      </c>
      <c r="O2158" s="33">
        <v>11</v>
      </c>
      <c r="P2158" s="32">
        <v>0</v>
      </c>
      <c r="Q2158" s="33">
        <v>0</v>
      </c>
      <c r="R2158" s="32">
        <v>0</v>
      </c>
      <c r="S2158" s="32">
        <v>0</v>
      </c>
      <c r="Z2158" s="23"/>
      <c r="AA2158" s="23"/>
      <c r="AB2158" s="3" t="str">
        <f t="shared" si="16"/>
        <v>___</v>
      </c>
      <c r="AC2158" s="3" t="str">
        <f t="shared" si="18"/>
        <v>____</v>
      </c>
    </row>
    <row r="2159" spans="1:30" ht="14">
      <c r="A2159" s="23"/>
      <c r="B2159" s="23"/>
      <c r="H2159" s="22"/>
      <c r="I2159" s="23"/>
      <c r="J2159" s="23"/>
      <c r="K2159" s="23"/>
      <c r="L2159" s="32" t="s">
        <v>39</v>
      </c>
      <c r="M2159" s="33">
        <v>4</v>
      </c>
      <c r="N2159" s="33">
        <v>0</v>
      </c>
      <c r="O2159" s="33">
        <v>2</v>
      </c>
      <c r="P2159" s="32">
        <v>0</v>
      </c>
      <c r="Q2159" s="33">
        <v>0</v>
      </c>
      <c r="R2159" s="32">
        <v>0</v>
      </c>
      <c r="S2159" s="32">
        <v>0</v>
      </c>
      <c r="Z2159" s="23"/>
      <c r="AA2159" s="23"/>
      <c r="AB2159" s="3" t="str">
        <f>CONCATENATE(B2159, "_",C2160,"_",F2160,"_",G2160)</f>
        <v>_MK1_x__vv</v>
      </c>
      <c r="AC2159" s="3" t="str">
        <f>CONCATENATE(B2159,"_",C2160,"_",F2160,"_",G2160,"_",H2159)</f>
        <v>_MK1_x__vv_</v>
      </c>
    </row>
    <row r="2160" spans="1:30" ht="14">
      <c r="A2160" s="23"/>
      <c r="B2160" s="23"/>
      <c r="C2160" s="32" t="s">
        <v>323</v>
      </c>
      <c r="D2160" s="32" t="s">
        <v>81</v>
      </c>
      <c r="E2160" s="23"/>
      <c r="F2160" s="23"/>
      <c r="G2160" s="32" t="s">
        <v>35</v>
      </c>
      <c r="H2160" s="33">
        <v>2</v>
      </c>
      <c r="I2160" s="32">
        <v>12</v>
      </c>
      <c r="J2160" s="32">
        <v>13.9</v>
      </c>
      <c r="K2160" s="32">
        <v>5</v>
      </c>
      <c r="L2160" s="32" t="s">
        <v>36</v>
      </c>
      <c r="M2160" s="33">
        <v>43</v>
      </c>
      <c r="N2160" s="33">
        <v>13</v>
      </c>
      <c r="O2160" s="33">
        <v>16</v>
      </c>
      <c r="P2160" s="32">
        <v>0</v>
      </c>
      <c r="Q2160" s="33">
        <v>0</v>
      </c>
      <c r="R2160" s="32">
        <v>0</v>
      </c>
      <c r="S2160" s="32">
        <v>1</v>
      </c>
      <c r="Z2160" s="23"/>
      <c r="AA2160" s="23"/>
      <c r="AB2160" s="3" t="e">
        <f>CONCATENATE(B2160, "_",#REF!,"_",#REF!,"_",#REF!)</f>
        <v>#REF!</v>
      </c>
      <c r="AC2160" s="3" t="e">
        <f>CONCATENATE(B2160,"_",#REF!,"_",#REF!,"_",#REF!,"_",H2160)</f>
        <v>#REF!</v>
      </c>
      <c r="AD2160" s="3" t="s">
        <v>37</v>
      </c>
    </row>
    <row r="2161" spans="1:30" ht="14">
      <c r="A2161" s="23"/>
      <c r="B2161" s="23"/>
      <c r="C2161" s="23"/>
      <c r="D2161" s="23"/>
      <c r="E2161" s="23"/>
      <c r="F2161" s="23"/>
      <c r="G2161" s="23"/>
      <c r="H2161" s="22"/>
      <c r="I2161" s="23"/>
      <c r="J2161" s="23"/>
      <c r="K2161" s="23"/>
      <c r="L2161" s="32" t="s">
        <v>38</v>
      </c>
      <c r="M2161" s="33">
        <v>40</v>
      </c>
      <c r="N2161" s="33">
        <v>11</v>
      </c>
      <c r="O2161" s="33">
        <v>12</v>
      </c>
      <c r="P2161" s="32">
        <v>0</v>
      </c>
      <c r="Q2161" s="33">
        <v>0</v>
      </c>
      <c r="R2161" s="32">
        <v>0</v>
      </c>
      <c r="S2161" s="32">
        <v>0</v>
      </c>
      <c r="Z2161" s="23"/>
      <c r="AA2161" s="23"/>
      <c r="AB2161" s="3" t="str">
        <f t="shared" ref="AB2161:AB2192" si="19">CONCATENATE(B2161, "_",C2161,"_",F2161,"_",G2161)</f>
        <v>___</v>
      </c>
      <c r="AC2161" s="3" t="str">
        <f t="shared" ref="AC2161:AC2192" si="20">CONCATENATE(B2161,"_",C2161,"_",F2161,"_",G2161,"_",H2161)</f>
        <v>____</v>
      </c>
    </row>
    <row r="2162" spans="1:30" ht="14">
      <c r="A2162" s="23"/>
      <c r="B2162" s="23"/>
      <c r="C2162" s="23"/>
      <c r="D2162" s="23"/>
      <c r="E2162" s="23"/>
      <c r="F2162" s="23"/>
      <c r="G2162" s="23"/>
      <c r="H2162" s="22"/>
      <c r="I2162" s="23"/>
      <c r="J2162" s="23"/>
      <c r="K2162" s="23"/>
      <c r="L2162" s="32" t="s">
        <v>39</v>
      </c>
      <c r="M2162" s="33">
        <v>29</v>
      </c>
      <c r="N2162" s="33">
        <v>4</v>
      </c>
      <c r="O2162" s="33">
        <v>9</v>
      </c>
      <c r="P2162" s="32">
        <v>0</v>
      </c>
      <c r="Q2162" s="33">
        <v>0</v>
      </c>
      <c r="R2162" s="32">
        <v>0</v>
      </c>
      <c r="S2162" s="32">
        <v>0</v>
      </c>
      <c r="Z2162" s="23"/>
      <c r="AA2162" s="23"/>
      <c r="AB2162" s="3" t="str">
        <f t="shared" si="19"/>
        <v>___</v>
      </c>
      <c r="AC2162" s="3" t="str">
        <f t="shared" si="20"/>
        <v>____</v>
      </c>
    </row>
    <row r="2163" spans="1:30" ht="14">
      <c r="A2163" s="23"/>
      <c r="B2163" s="23"/>
      <c r="C2163" s="32" t="s">
        <v>323</v>
      </c>
      <c r="D2163" s="32" t="s">
        <v>81</v>
      </c>
      <c r="E2163" s="23"/>
      <c r="F2163" s="23"/>
      <c r="G2163" s="32" t="s">
        <v>35</v>
      </c>
      <c r="H2163" s="33">
        <v>3</v>
      </c>
      <c r="I2163" s="32">
        <v>13.2</v>
      </c>
      <c r="J2163" s="32">
        <v>13.5</v>
      </c>
      <c r="K2163" s="32">
        <v>6</v>
      </c>
      <c r="L2163" s="32" t="s">
        <v>36</v>
      </c>
      <c r="M2163" s="33">
        <v>18</v>
      </c>
      <c r="N2163" s="33">
        <v>7</v>
      </c>
      <c r="O2163" s="33">
        <v>12</v>
      </c>
      <c r="P2163" s="32">
        <v>0</v>
      </c>
      <c r="Q2163" s="33">
        <v>0</v>
      </c>
      <c r="R2163" s="32">
        <v>0</v>
      </c>
      <c r="S2163" s="32">
        <v>1</v>
      </c>
      <c r="Z2163" s="23"/>
      <c r="AA2163" s="23"/>
      <c r="AB2163" s="3" t="str">
        <f t="shared" si="19"/>
        <v>_MK1_x__vv</v>
      </c>
      <c r="AC2163" s="3" t="str">
        <f t="shared" si="20"/>
        <v>_MK1_x__vv_3</v>
      </c>
      <c r="AD2163" s="3" t="s">
        <v>37</v>
      </c>
    </row>
    <row r="2164" spans="1:30" ht="14">
      <c r="A2164" s="23"/>
      <c r="B2164" s="23"/>
      <c r="C2164" s="23"/>
      <c r="D2164" s="23"/>
      <c r="E2164" s="23"/>
      <c r="F2164" s="23"/>
      <c r="G2164" s="23"/>
      <c r="H2164" s="22"/>
      <c r="I2164" s="23"/>
      <c r="J2164" s="23"/>
      <c r="K2164" s="23"/>
      <c r="L2164" s="32" t="s">
        <v>38</v>
      </c>
      <c r="M2164" s="33">
        <v>44</v>
      </c>
      <c r="N2164" s="33">
        <v>5</v>
      </c>
      <c r="O2164" s="33">
        <v>13</v>
      </c>
      <c r="P2164" s="32">
        <v>0</v>
      </c>
      <c r="Q2164" s="33">
        <v>0</v>
      </c>
      <c r="R2164" s="32">
        <v>0</v>
      </c>
      <c r="S2164" s="32">
        <v>0</v>
      </c>
      <c r="Z2164" s="23"/>
      <c r="AA2164" s="23"/>
      <c r="AB2164" s="3" t="str">
        <f t="shared" si="19"/>
        <v>___</v>
      </c>
      <c r="AC2164" s="3" t="str">
        <f t="shared" si="20"/>
        <v>____</v>
      </c>
    </row>
    <row r="2165" spans="1:30" ht="14">
      <c r="A2165" s="23"/>
      <c r="B2165" s="23"/>
      <c r="C2165" s="23"/>
      <c r="D2165" s="23"/>
      <c r="E2165" s="23"/>
      <c r="F2165" s="23"/>
      <c r="G2165" s="23"/>
      <c r="H2165" s="22"/>
      <c r="I2165" s="23"/>
      <c r="J2165" s="23"/>
      <c r="K2165" s="23"/>
      <c r="L2165" s="32" t="s">
        <v>39</v>
      </c>
      <c r="M2165" s="33">
        <v>24</v>
      </c>
      <c r="N2165" s="33">
        <v>0</v>
      </c>
      <c r="O2165" s="33">
        <v>7</v>
      </c>
      <c r="P2165" s="32">
        <v>0</v>
      </c>
      <c r="Q2165" s="33">
        <v>0</v>
      </c>
      <c r="R2165" s="32">
        <v>0</v>
      </c>
      <c r="S2165" s="32">
        <v>0</v>
      </c>
      <c r="Z2165" s="23"/>
      <c r="AA2165" s="23"/>
      <c r="AB2165" s="3" t="str">
        <f t="shared" si="19"/>
        <v>___</v>
      </c>
      <c r="AC2165" s="3" t="str">
        <f t="shared" si="20"/>
        <v>____</v>
      </c>
    </row>
    <row r="2166" spans="1:30" ht="14">
      <c r="A2166" s="23"/>
      <c r="B2166" s="23"/>
      <c r="C2166" s="32" t="s">
        <v>328</v>
      </c>
      <c r="D2166" s="32" t="s">
        <v>81</v>
      </c>
      <c r="E2166" s="23"/>
      <c r="F2166" s="23"/>
      <c r="G2166" s="32" t="s">
        <v>35</v>
      </c>
      <c r="H2166" s="33">
        <v>4</v>
      </c>
      <c r="I2166" s="32">
        <v>10.3</v>
      </c>
      <c r="J2166" s="32">
        <v>11.7</v>
      </c>
      <c r="K2166" s="32">
        <v>3</v>
      </c>
      <c r="L2166" s="32" t="s">
        <v>36</v>
      </c>
      <c r="M2166" s="33">
        <v>46</v>
      </c>
      <c r="N2166" s="33">
        <v>7</v>
      </c>
      <c r="O2166" s="33">
        <v>9</v>
      </c>
      <c r="P2166" s="32">
        <v>0</v>
      </c>
      <c r="Q2166" s="33">
        <v>0</v>
      </c>
      <c r="R2166" s="32">
        <v>0</v>
      </c>
      <c r="S2166" s="32">
        <v>1</v>
      </c>
      <c r="Z2166" s="32" t="s">
        <v>329</v>
      </c>
      <c r="AA2166" s="23"/>
      <c r="AB2166" s="3" t="str">
        <f t="shared" si="19"/>
        <v>_MK2_4__vv</v>
      </c>
      <c r="AC2166" s="3" t="str">
        <f t="shared" si="20"/>
        <v>_MK2_4__vv_4</v>
      </c>
      <c r="AD2166" s="3" t="s">
        <v>37</v>
      </c>
    </row>
    <row r="2167" spans="1:30" ht="14">
      <c r="A2167" s="23"/>
      <c r="B2167" s="23"/>
      <c r="C2167" s="23"/>
      <c r="D2167" s="23"/>
      <c r="E2167" s="23"/>
      <c r="F2167" s="23"/>
      <c r="G2167" s="23"/>
      <c r="H2167" s="22"/>
      <c r="I2167" s="23"/>
      <c r="J2167" s="23"/>
      <c r="K2167" s="23"/>
      <c r="L2167" s="32" t="s">
        <v>38</v>
      </c>
      <c r="M2167" s="33">
        <v>60</v>
      </c>
      <c r="N2167" s="33">
        <v>5</v>
      </c>
      <c r="O2167" s="33">
        <v>11</v>
      </c>
      <c r="P2167" s="32">
        <v>1</v>
      </c>
      <c r="Q2167" s="33">
        <v>1</v>
      </c>
      <c r="R2167" s="32">
        <v>0</v>
      </c>
      <c r="S2167" s="32">
        <v>0</v>
      </c>
      <c r="Z2167" s="32" t="s">
        <v>277</v>
      </c>
      <c r="AA2167" s="23"/>
      <c r="AB2167" s="3" t="str">
        <f t="shared" si="19"/>
        <v>___</v>
      </c>
      <c r="AC2167" s="3" t="str">
        <f t="shared" si="20"/>
        <v>____</v>
      </c>
    </row>
    <row r="2168" spans="1:30" ht="14">
      <c r="A2168" s="23"/>
      <c r="B2168" s="23"/>
      <c r="C2168" s="23"/>
      <c r="D2168" s="23"/>
      <c r="E2168" s="23"/>
      <c r="F2168" s="23"/>
      <c r="G2168" s="23"/>
      <c r="H2168" s="22"/>
      <c r="I2168" s="23"/>
      <c r="J2168" s="23"/>
      <c r="K2168" s="23"/>
      <c r="L2168" s="32" t="s">
        <v>39</v>
      </c>
      <c r="M2168" s="33">
        <v>12</v>
      </c>
      <c r="N2168" s="33">
        <v>0</v>
      </c>
      <c r="O2168" s="33">
        <v>2</v>
      </c>
      <c r="P2168" s="32">
        <v>1</v>
      </c>
      <c r="Q2168" s="33">
        <v>1</v>
      </c>
      <c r="R2168" s="32">
        <v>0</v>
      </c>
      <c r="S2168" s="32">
        <v>0</v>
      </c>
      <c r="Z2168" s="32" t="s">
        <v>277</v>
      </c>
      <c r="AA2168" s="23"/>
      <c r="AB2168" s="3" t="str">
        <f t="shared" si="19"/>
        <v>___</v>
      </c>
      <c r="AC2168" s="3" t="str">
        <f t="shared" si="20"/>
        <v>____</v>
      </c>
    </row>
    <row r="2169" spans="1:30" ht="14">
      <c r="A2169" s="23"/>
      <c r="B2169" s="23"/>
      <c r="C2169" s="32" t="s">
        <v>328</v>
      </c>
      <c r="D2169" s="32" t="s">
        <v>81</v>
      </c>
      <c r="E2169" s="23"/>
      <c r="F2169" s="23"/>
      <c r="G2169" s="32" t="s">
        <v>35</v>
      </c>
      <c r="H2169" s="33">
        <v>4</v>
      </c>
      <c r="I2169" s="32">
        <v>10.3</v>
      </c>
      <c r="J2169" s="32">
        <v>9.3000000000000007</v>
      </c>
      <c r="K2169" s="32">
        <v>5</v>
      </c>
      <c r="L2169" s="32" t="s">
        <v>36</v>
      </c>
      <c r="M2169" s="3">
        <v>24</v>
      </c>
      <c r="N2169" s="3">
        <v>0</v>
      </c>
      <c r="O2169" s="3">
        <v>7</v>
      </c>
      <c r="P2169" s="3">
        <v>0</v>
      </c>
      <c r="Q2169" s="3">
        <v>0</v>
      </c>
      <c r="R2169" s="3">
        <v>0</v>
      </c>
      <c r="S2169" s="3">
        <v>0</v>
      </c>
      <c r="Z2169" s="32" t="s">
        <v>330</v>
      </c>
      <c r="AA2169" s="23"/>
      <c r="AB2169" s="3" t="str">
        <f t="shared" si="19"/>
        <v>_MK2_4__vv</v>
      </c>
      <c r="AC2169" s="3" t="str">
        <f t="shared" si="20"/>
        <v>_MK2_4__vv_4</v>
      </c>
      <c r="AD2169" s="3" t="s">
        <v>37</v>
      </c>
    </row>
    <row r="2170" spans="1:30" ht="14">
      <c r="A2170" s="23"/>
      <c r="B2170" s="23"/>
      <c r="C2170" s="23"/>
      <c r="D2170" s="23"/>
      <c r="E2170" s="23"/>
      <c r="F2170" s="23"/>
      <c r="G2170" s="23"/>
      <c r="H2170" s="22"/>
      <c r="I2170" s="23"/>
      <c r="J2170" s="23"/>
      <c r="K2170" s="23"/>
      <c r="L2170" s="32" t="s">
        <v>38</v>
      </c>
      <c r="M2170" s="33">
        <v>6</v>
      </c>
      <c r="N2170" s="33">
        <v>0</v>
      </c>
      <c r="O2170" s="33">
        <v>5</v>
      </c>
      <c r="P2170" s="32">
        <v>0</v>
      </c>
      <c r="Q2170" s="33">
        <v>0</v>
      </c>
      <c r="R2170" s="32">
        <v>0</v>
      </c>
      <c r="S2170" s="32">
        <v>0</v>
      </c>
      <c r="Z2170" s="32" t="s">
        <v>331</v>
      </c>
      <c r="AA2170" s="23"/>
      <c r="AB2170" s="3" t="str">
        <f t="shared" si="19"/>
        <v>___</v>
      </c>
      <c r="AC2170" s="3" t="str">
        <f t="shared" si="20"/>
        <v>____</v>
      </c>
    </row>
    <row r="2171" spans="1:30" ht="14">
      <c r="A2171" s="23"/>
      <c r="B2171" s="23"/>
      <c r="C2171" s="23"/>
      <c r="D2171" s="23"/>
      <c r="E2171" s="23"/>
      <c r="F2171" s="23"/>
      <c r="G2171" s="23"/>
      <c r="H2171" s="22"/>
      <c r="I2171" s="23"/>
      <c r="J2171" s="23"/>
      <c r="K2171" s="23"/>
      <c r="L2171" s="32" t="s">
        <v>39</v>
      </c>
      <c r="M2171" s="33">
        <v>41</v>
      </c>
      <c r="N2171" s="33">
        <v>0</v>
      </c>
      <c r="O2171" s="33">
        <v>10</v>
      </c>
      <c r="P2171" s="32">
        <v>0</v>
      </c>
      <c r="Q2171" s="33">
        <v>0</v>
      </c>
      <c r="R2171" s="32">
        <v>0</v>
      </c>
      <c r="S2171" s="32">
        <v>0</v>
      </c>
      <c r="Z2171" s="32" t="s">
        <v>279</v>
      </c>
      <c r="AA2171" s="23"/>
      <c r="AB2171" s="3" t="str">
        <f t="shared" si="19"/>
        <v>___</v>
      </c>
      <c r="AC2171" s="3" t="str">
        <f t="shared" si="20"/>
        <v>____</v>
      </c>
    </row>
    <row r="2172" spans="1:30" ht="14">
      <c r="A2172" s="23"/>
      <c r="B2172" s="23"/>
      <c r="C2172" s="32" t="s">
        <v>332</v>
      </c>
      <c r="D2172" s="32" t="s">
        <v>81</v>
      </c>
      <c r="E2172" s="23"/>
      <c r="F2172" s="23"/>
      <c r="G2172" s="32" t="s">
        <v>35</v>
      </c>
      <c r="H2172" s="33">
        <v>1</v>
      </c>
      <c r="I2172" s="32">
        <v>13.1</v>
      </c>
      <c r="J2172" s="32">
        <v>14.7</v>
      </c>
      <c r="K2172" s="32">
        <v>4</v>
      </c>
      <c r="L2172" s="32" t="s">
        <v>36</v>
      </c>
      <c r="M2172" s="33">
        <v>52</v>
      </c>
      <c r="N2172" s="33">
        <v>11</v>
      </c>
      <c r="O2172" s="33">
        <v>15</v>
      </c>
      <c r="P2172" s="32">
        <v>0</v>
      </c>
      <c r="Q2172" s="33">
        <v>0</v>
      </c>
      <c r="R2172" s="32">
        <v>0</v>
      </c>
      <c r="S2172" s="32">
        <v>1</v>
      </c>
      <c r="Z2172" s="23"/>
      <c r="AA2172" s="23"/>
      <c r="AB2172" s="3" t="str">
        <f t="shared" si="19"/>
        <v>_MK18_1__vv</v>
      </c>
      <c r="AC2172" s="3" t="str">
        <f t="shared" si="20"/>
        <v>_MK18_1__vv_1</v>
      </c>
      <c r="AD2172" s="3" t="s">
        <v>37</v>
      </c>
    </row>
    <row r="2173" spans="1:30" ht="14">
      <c r="A2173" s="23"/>
      <c r="B2173" s="23"/>
      <c r="C2173" s="23"/>
      <c r="D2173" s="23"/>
      <c r="E2173" s="23"/>
      <c r="F2173" s="23"/>
      <c r="G2173" s="23"/>
      <c r="H2173" s="22"/>
      <c r="I2173" s="23"/>
      <c r="J2173" s="23"/>
      <c r="K2173" s="23"/>
      <c r="L2173" s="32" t="s">
        <v>38</v>
      </c>
      <c r="M2173" s="33">
        <v>49</v>
      </c>
      <c r="N2173" s="33">
        <v>7</v>
      </c>
      <c r="O2173" s="33">
        <v>10</v>
      </c>
      <c r="P2173" s="32">
        <v>0</v>
      </c>
      <c r="Q2173" s="33">
        <v>0</v>
      </c>
      <c r="R2173" s="32">
        <v>0</v>
      </c>
      <c r="S2173" s="32">
        <v>0</v>
      </c>
      <c r="Z2173" s="23"/>
      <c r="AA2173" s="23"/>
      <c r="AB2173" s="3" t="str">
        <f t="shared" si="19"/>
        <v>___</v>
      </c>
      <c r="AC2173" s="3" t="str">
        <f t="shared" si="20"/>
        <v>____</v>
      </c>
    </row>
    <row r="2174" spans="1:30" ht="14">
      <c r="A2174" s="23"/>
      <c r="B2174" s="23"/>
      <c r="C2174" s="23"/>
      <c r="D2174" s="23"/>
      <c r="E2174" s="23"/>
      <c r="F2174" s="23"/>
      <c r="G2174" s="23"/>
      <c r="H2174" s="22"/>
      <c r="I2174" s="23"/>
      <c r="J2174" s="23"/>
      <c r="K2174" s="23"/>
      <c r="L2174" s="32" t="s">
        <v>39</v>
      </c>
      <c r="M2174" s="33">
        <v>37</v>
      </c>
      <c r="N2174" s="33">
        <v>2</v>
      </c>
      <c r="O2174" s="33">
        <v>6</v>
      </c>
      <c r="P2174" s="32">
        <v>0</v>
      </c>
      <c r="Q2174" s="33">
        <v>0</v>
      </c>
      <c r="R2174" s="32">
        <v>0</v>
      </c>
      <c r="S2174" s="32">
        <v>0</v>
      </c>
      <c r="Z2174" s="23"/>
      <c r="AA2174" s="23"/>
      <c r="AB2174" s="3" t="str">
        <f t="shared" si="19"/>
        <v>___</v>
      </c>
      <c r="AC2174" s="3" t="str">
        <f t="shared" si="20"/>
        <v>____</v>
      </c>
    </row>
    <row r="2175" spans="1:30" ht="14">
      <c r="A2175" s="23"/>
      <c r="B2175" s="23"/>
      <c r="C2175" s="32" t="s">
        <v>333</v>
      </c>
      <c r="D2175" s="32" t="s">
        <v>81</v>
      </c>
      <c r="E2175" s="23"/>
      <c r="F2175" s="23"/>
      <c r="G2175" s="32" t="s">
        <v>35</v>
      </c>
      <c r="H2175" s="33">
        <v>2</v>
      </c>
      <c r="I2175" s="32">
        <v>9.5</v>
      </c>
      <c r="J2175" s="32">
        <v>10.1</v>
      </c>
      <c r="K2175" s="32">
        <v>4</v>
      </c>
      <c r="L2175" s="32" t="s">
        <v>36</v>
      </c>
      <c r="M2175" s="33">
        <v>44</v>
      </c>
      <c r="N2175" s="33">
        <v>7</v>
      </c>
      <c r="O2175" s="33">
        <v>12</v>
      </c>
      <c r="P2175" s="32">
        <v>0</v>
      </c>
      <c r="Q2175" s="33">
        <v>0</v>
      </c>
      <c r="R2175" s="32">
        <v>0</v>
      </c>
      <c r="S2175" s="32">
        <v>0</v>
      </c>
      <c r="Z2175" s="23"/>
      <c r="AA2175" s="23"/>
      <c r="AB2175" s="3" t="str">
        <f t="shared" si="19"/>
        <v>_MK18_2__vv</v>
      </c>
      <c r="AC2175" s="3" t="str">
        <f t="shared" si="20"/>
        <v>_MK18_2__vv_2</v>
      </c>
      <c r="AD2175" s="3" t="s">
        <v>37</v>
      </c>
    </row>
    <row r="2176" spans="1:30" ht="14">
      <c r="A2176" s="23"/>
      <c r="B2176" s="23"/>
      <c r="C2176" s="23"/>
      <c r="D2176" s="23"/>
      <c r="E2176" s="23"/>
      <c r="F2176" s="23"/>
      <c r="G2176" s="23"/>
      <c r="H2176" s="22"/>
      <c r="I2176" s="23"/>
      <c r="J2176" s="23"/>
      <c r="K2176" s="23"/>
      <c r="L2176" s="32" t="s">
        <v>38</v>
      </c>
      <c r="M2176" s="33">
        <v>34</v>
      </c>
      <c r="N2176" s="33">
        <v>3</v>
      </c>
      <c r="O2176" s="33">
        <v>8</v>
      </c>
      <c r="P2176" s="32">
        <v>0</v>
      </c>
      <c r="Q2176" s="33">
        <v>0</v>
      </c>
      <c r="R2176" s="32">
        <v>0</v>
      </c>
      <c r="S2176" s="32">
        <v>0</v>
      </c>
      <c r="Z2176" s="23"/>
      <c r="AA2176" s="23"/>
      <c r="AB2176" s="3" t="str">
        <f t="shared" si="19"/>
        <v>___</v>
      </c>
      <c r="AC2176" s="3" t="str">
        <f t="shared" si="20"/>
        <v>____</v>
      </c>
    </row>
    <row r="2177" spans="1:30" ht="14">
      <c r="A2177" s="23"/>
      <c r="B2177" s="23"/>
      <c r="C2177" s="23"/>
      <c r="D2177" s="23"/>
      <c r="E2177" s="23"/>
      <c r="F2177" s="23"/>
      <c r="G2177" s="23"/>
      <c r="H2177" s="22"/>
      <c r="I2177" s="23"/>
      <c r="J2177" s="23"/>
      <c r="K2177" s="23"/>
      <c r="L2177" s="32" t="s">
        <v>39</v>
      </c>
      <c r="M2177" s="33">
        <v>23</v>
      </c>
      <c r="N2177" s="33">
        <v>0</v>
      </c>
      <c r="O2177" s="33">
        <v>5</v>
      </c>
      <c r="P2177" s="32">
        <v>1</v>
      </c>
      <c r="Q2177" s="33">
        <v>1</v>
      </c>
      <c r="R2177" s="32">
        <v>0</v>
      </c>
      <c r="S2177" s="32">
        <v>0</v>
      </c>
      <c r="Z2177" s="23"/>
      <c r="AA2177" s="23"/>
      <c r="AB2177" s="3" t="str">
        <f t="shared" si="19"/>
        <v>___</v>
      </c>
      <c r="AC2177" s="3" t="str">
        <f t="shared" si="20"/>
        <v>____</v>
      </c>
    </row>
    <row r="2178" spans="1:30" ht="14">
      <c r="A2178" s="23"/>
      <c r="B2178" s="23"/>
      <c r="C2178" s="32" t="s">
        <v>334</v>
      </c>
      <c r="D2178" s="32" t="s">
        <v>81</v>
      </c>
      <c r="E2178" s="23"/>
      <c r="F2178" s="23"/>
      <c r="G2178" s="32" t="s">
        <v>35</v>
      </c>
      <c r="H2178" s="33">
        <v>3</v>
      </c>
      <c r="I2178" s="32">
        <v>12</v>
      </c>
      <c r="J2178" s="32">
        <v>15.5</v>
      </c>
      <c r="K2178" s="32">
        <v>6</v>
      </c>
      <c r="L2178" s="32" t="s">
        <v>36</v>
      </c>
      <c r="M2178" s="33">
        <v>38</v>
      </c>
      <c r="N2178" s="33">
        <v>8</v>
      </c>
      <c r="O2178" s="33">
        <v>10</v>
      </c>
      <c r="P2178" s="32">
        <v>0</v>
      </c>
      <c r="Q2178" s="33">
        <v>0</v>
      </c>
      <c r="R2178" s="32">
        <v>0</v>
      </c>
      <c r="S2178" s="32">
        <v>0</v>
      </c>
      <c r="Z2178" s="23"/>
      <c r="AA2178" s="23"/>
      <c r="AB2178" s="3" t="str">
        <f t="shared" si="19"/>
        <v>_MK18_3__vv</v>
      </c>
      <c r="AC2178" s="3" t="str">
        <f t="shared" si="20"/>
        <v>_MK18_3__vv_3</v>
      </c>
      <c r="AD2178" s="3" t="s">
        <v>37</v>
      </c>
    </row>
    <row r="2179" spans="1:30" ht="14">
      <c r="A2179" s="23"/>
      <c r="B2179" s="23"/>
      <c r="C2179" s="23"/>
      <c r="D2179" s="23"/>
      <c r="E2179" s="23"/>
      <c r="F2179" s="23"/>
      <c r="G2179" s="23"/>
      <c r="H2179" s="22"/>
      <c r="I2179" s="23"/>
      <c r="J2179" s="23"/>
      <c r="K2179" s="23"/>
      <c r="L2179" s="32" t="s">
        <v>38</v>
      </c>
      <c r="M2179" s="33">
        <v>24</v>
      </c>
      <c r="N2179" s="33">
        <v>5</v>
      </c>
      <c r="O2179" s="33">
        <v>8</v>
      </c>
      <c r="P2179" s="32">
        <v>0</v>
      </c>
      <c r="Q2179" s="33">
        <v>0</v>
      </c>
      <c r="R2179" s="32">
        <v>0</v>
      </c>
      <c r="S2179" s="32">
        <v>0</v>
      </c>
      <c r="Z2179" s="23"/>
      <c r="AA2179" s="23"/>
      <c r="AB2179" s="3" t="str">
        <f t="shared" si="19"/>
        <v>___</v>
      </c>
      <c r="AC2179" s="3" t="str">
        <f t="shared" si="20"/>
        <v>____</v>
      </c>
    </row>
    <row r="2180" spans="1:30" ht="14">
      <c r="A2180" s="23"/>
      <c r="B2180" s="23"/>
      <c r="C2180" s="23"/>
      <c r="D2180" s="23"/>
      <c r="E2180" s="23"/>
      <c r="F2180" s="23"/>
      <c r="G2180" s="23"/>
      <c r="H2180" s="22"/>
      <c r="I2180" s="23"/>
      <c r="J2180" s="23"/>
      <c r="K2180" s="23"/>
      <c r="L2180" s="32" t="s">
        <v>39</v>
      </c>
      <c r="M2180" s="33">
        <v>45</v>
      </c>
      <c r="N2180" s="33">
        <v>2</v>
      </c>
      <c r="O2180" s="33">
        <v>10</v>
      </c>
      <c r="P2180" s="32">
        <v>0</v>
      </c>
      <c r="Q2180" s="33">
        <v>0</v>
      </c>
      <c r="R2180" s="32">
        <v>0</v>
      </c>
      <c r="S2180" s="32">
        <v>0</v>
      </c>
      <c r="Z2180" s="23"/>
      <c r="AA2180" s="23"/>
      <c r="AB2180" s="3" t="str">
        <f t="shared" si="19"/>
        <v>___</v>
      </c>
      <c r="AC2180" s="3" t="str">
        <f t="shared" si="20"/>
        <v>____</v>
      </c>
    </row>
    <row r="2181" spans="1:30" ht="14">
      <c r="A2181" s="23"/>
      <c r="B2181" s="23"/>
      <c r="C2181" s="32" t="s">
        <v>335</v>
      </c>
      <c r="D2181" s="32" t="s">
        <v>81</v>
      </c>
      <c r="E2181" s="23"/>
      <c r="F2181" s="23"/>
      <c r="G2181" s="32" t="s">
        <v>35</v>
      </c>
      <c r="H2181" s="33">
        <v>4</v>
      </c>
      <c r="I2181" s="32">
        <v>11.3</v>
      </c>
      <c r="J2181" s="32">
        <v>14.6</v>
      </c>
      <c r="K2181" s="32">
        <v>5</v>
      </c>
      <c r="L2181" s="32" t="s">
        <v>36</v>
      </c>
      <c r="M2181" s="33">
        <v>63</v>
      </c>
      <c r="N2181" s="33">
        <v>4</v>
      </c>
      <c r="O2181" s="33">
        <v>11</v>
      </c>
      <c r="P2181" s="32">
        <v>0</v>
      </c>
      <c r="Q2181" s="33">
        <v>0</v>
      </c>
      <c r="R2181" s="32">
        <v>0</v>
      </c>
      <c r="S2181" s="32">
        <v>0</v>
      </c>
      <c r="Z2181" s="23"/>
      <c r="AA2181" s="23"/>
      <c r="AB2181" s="3" t="str">
        <f t="shared" si="19"/>
        <v>_MK18_4__vv</v>
      </c>
      <c r="AC2181" s="3" t="str">
        <f t="shared" si="20"/>
        <v>_MK18_4__vv_4</v>
      </c>
      <c r="AD2181" s="3" t="s">
        <v>37</v>
      </c>
    </row>
    <row r="2182" spans="1:30" ht="14">
      <c r="A2182" s="23"/>
      <c r="B2182" s="23"/>
      <c r="C2182" s="23"/>
      <c r="D2182" s="23"/>
      <c r="E2182" s="23"/>
      <c r="F2182" s="23"/>
      <c r="G2182" s="23"/>
      <c r="H2182" s="22"/>
      <c r="I2182" s="23"/>
      <c r="J2182" s="23"/>
      <c r="K2182" s="23"/>
      <c r="L2182" s="32" t="s">
        <v>38</v>
      </c>
      <c r="M2182" s="33">
        <v>16</v>
      </c>
      <c r="N2182" s="33">
        <v>0</v>
      </c>
      <c r="O2182" s="33">
        <v>5</v>
      </c>
      <c r="P2182" s="32">
        <v>0</v>
      </c>
      <c r="Q2182" s="33">
        <v>0</v>
      </c>
      <c r="R2182" s="32">
        <v>0</v>
      </c>
      <c r="S2182" s="32">
        <v>0</v>
      </c>
      <c r="Z2182" s="23"/>
      <c r="AA2182" s="23"/>
      <c r="AB2182" s="3" t="str">
        <f t="shared" si="19"/>
        <v>___</v>
      </c>
      <c r="AC2182" s="3" t="str">
        <f t="shared" si="20"/>
        <v>____</v>
      </c>
    </row>
    <row r="2183" spans="1:30" ht="14">
      <c r="A2183" s="23"/>
      <c r="B2183" s="23"/>
      <c r="C2183" s="23"/>
      <c r="D2183" s="23"/>
      <c r="E2183" s="23"/>
      <c r="F2183" s="23"/>
      <c r="G2183" s="23"/>
      <c r="H2183" s="22"/>
      <c r="I2183" s="23"/>
      <c r="J2183" s="23"/>
      <c r="K2183" s="23"/>
      <c r="L2183" s="32" t="s">
        <v>39</v>
      </c>
      <c r="M2183" s="33">
        <v>39</v>
      </c>
      <c r="N2183" s="33">
        <v>0</v>
      </c>
      <c r="O2183" s="33">
        <v>5</v>
      </c>
      <c r="P2183" s="32">
        <v>1</v>
      </c>
      <c r="Q2183" s="33">
        <v>1</v>
      </c>
      <c r="R2183" s="32">
        <v>0</v>
      </c>
      <c r="S2183" s="32">
        <v>0</v>
      </c>
      <c r="Z2183" s="23"/>
      <c r="AA2183" s="23"/>
      <c r="AB2183" s="3" t="str">
        <f t="shared" si="19"/>
        <v>___</v>
      </c>
      <c r="AC2183" s="3" t="str">
        <f t="shared" si="20"/>
        <v>____</v>
      </c>
    </row>
    <row r="2184" spans="1:30" ht="14">
      <c r="A2184" s="23"/>
      <c r="B2184" s="23"/>
      <c r="C2184" s="23"/>
      <c r="D2184" s="23"/>
      <c r="E2184" s="23"/>
      <c r="F2184" s="23"/>
      <c r="G2184" s="23"/>
      <c r="H2184" s="22"/>
      <c r="I2184" s="23"/>
      <c r="J2184" s="23"/>
      <c r="K2184" s="23"/>
      <c r="L2184" s="23"/>
      <c r="M2184" s="22"/>
      <c r="N2184" s="22"/>
      <c r="O2184" s="22"/>
      <c r="P2184" s="23"/>
      <c r="Q2184" s="22"/>
      <c r="R2184" s="23"/>
      <c r="S2184" s="23"/>
      <c r="Z2184" s="23"/>
      <c r="AA2184" s="23"/>
      <c r="AB2184" s="3" t="str">
        <f t="shared" si="19"/>
        <v>___</v>
      </c>
      <c r="AC2184" s="3" t="str">
        <f t="shared" si="20"/>
        <v>____</v>
      </c>
    </row>
    <row r="2185" spans="1:30" ht="14">
      <c r="A2185" s="23"/>
      <c r="B2185" s="23"/>
      <c r="C2185" s="23"/>
      <c r="D2185" s="23"/>
      <c r="E2185" s="23"/>
      <c r="F2185" s="23"/>
      <c r="G2185" s="23"/>
      <c r="H2185" s="22"/>
      <c r="I2185" s="23"/>
      <c r="J2185" s="23"/>
      <c r="K2185" s="23"/>
      <c r="L2185" s="23"/>
      <c r="M2185" s="22"/>
      <c r="N2185" s="22"/>
      <c r="O2185" s="22"/>
      <c r="P2185" s="23"/>
      <c r="Q2185" s="22"/>
      <c r="R2185" s="23"/>
      <c r="S2185" s="23"/>
      <c r="Z2185" s="23"/>
      <c r="AA2185" s="23"/>
      <c r="AB2185" s="3" t="str">
        <f t="shared" si="19"/>
        <v>___</v>
      </c>
      <c r="AC2185" s="3" t="str">
        <f t="shared" si="20"/>
        <v>____</v>
      </c>
    </row>
    <row r="2186" spans="1:30" ht="14">
      <c r="A2186" s="23"/>
      <c r="B2186" s="23"/>
      <c r="C2186" s="23"/>
      <c r="D2186" s="23"/>
      <c r="E2186" s="23"/>
      <c r="F2186" s="23"/>
      <c r="G2186" s="23"/>
      <c r="H2186" s="22"/>
      <c r="I2186" s="23"/>
      <c r="J2186" s="23"/>
      <c r="K2186" s="23"/>
      <c r="L2186" s="23"/>
      <c r="M2186" s="22"/>
      <c r="N2186" s="22"/>
      <c r="O2186" s="22"/>
      <c r="P2186" s="23"/>
      <c r="Q2186" s="22"/>
      <c r="R2186" s="23"/>
      <c r="S2186" s="23"/>
      <c r="Z2186" s="23"/>
      <c r="AA2186" s="23"/>
      <c r="AB2186" s="3" t="str">
        <f t="shared" si="19"/>
        <v>___</v>
      </c>
      <c r="AC2186" s="3" t="str">
        <f t="shared" si="20"/>
        <v>____</v>
      </c>
    </row>
    <row r="2187" spans="1:30" ht="14">
      <c r="A2187" s="23"/>
      <c r="B2187" s="23"/>
      <c r="C2187" s="23"/>
      <c r="D2187" s="23"/>
      <c r="E2187" s="23"/>
      <c r="F2187" s="23"/>
      <c r="G2187" s="23"/>
      <c r="H2187" s="22"/>
      <c r="I2187" s="23"/>
      <c r="J2187" s="23"/>
      <c r="K2187" s="23"/>
      <c r="L2187" s="23"/>
      <c r="M2187" s="22"/>
      <c r="N2187" s="22"/>
      <c r="O2187" s="22"/>
      <c r="P2187" s="23"/>
      <c r="Q2187" s="22"/>
      <c r="R2187" s="23"/>
      <c r="S2187" s="23"/>
      <c r="Z2187" s="23"/>
      <c r="AA2187" s="23"/>
      <c r="AB2187" s="3" t="str">
        <f t="shared" si="19"/>
        <v>___</v>
      </c>
      <c r="AC2187" s="3" t="str">
        <f t="shared" si="20"/>
        <v>____</v>
      </c>
    </row>
    <row r="2188" spans="1:30" ht="14">
      <c r="A2188" s="23"/>
      <c r="B2188" s="23"/>
      <c r="C2188" s="23"/>
      <c r="D2188" s="23"/>
      <c r="E2188" s="23"/>
      <c r="F2188" s="23"/>
      <c r="G2188" s="23"/>
      <c r="H2188" s="22"/>
      <c r="I2188" s="23"/>
      <c r="J2188" s="23"/>
      <c r="K2188" s="23"/>
      <c r="L2188" s="23"/>
      <c r="M2188" s="22"/>
      <c r="N2188" s="22"/>
      <c r="O2188" s="22"/>
      <c r="P2188" s="23"/>
      <c r="Q2188" s="22"/>
      <c r="R2188" s="23"/>
      <c r="S2188" s="23"/>
      <c r="Z2188" s="23"/>
      <c r="AA2188" s="23"/>
      <c r="AB2188" s="3" t="str">
        <f t="shared" si="19"/>
        <v>___</v>
      </c>
      <c r="AC2188" s="3" t="str">
        <f t="shared" si="20"/>
        <v>____</v>
      </c>
    </row>
    <row r="2189" spans="1:30" ht="14">
      <c r="A2189" s="23"/>
      <c r="B2189" s="23"/>
      <c r="C2189" s="23"/>
      <c r="D2189" s="23"/>
      <c r="E2189" s="23"/>
      <c r="F2189" s="23"/>
      <c r="G2189" s="23"/>
      <c r="H2189" s="22"/>
      <c r="I2189" s="23"/>
      <c r="J2189" s="23"/>
      <c r="K2189" s="23"/>
      <c r="L2189" s="23"/>
      <c r="M2189" s="22"/>
      <c r="N2189" s="22"/>
      <c r="O2189" s="22"/>
      <c r="P2189" s="23"/>
      <c r="Q2189" s="22"/>
      <c r="R2189" s="23"/>
      <c r="S2189" s="23"/>
      <c r="Z2189" s="23"/>
      <c r="AA2189" s="23"/>
      <c r="AB2189" s="3" t="str">
        <f t="shared" si="19"/>
        <v>___</v>
      </c>
      <c r="AC2189" s="3" t="str">
        <f t="shared" si="20"/>
        <v>____</v>
      </c>
    </row>
    <row r="2190" spans="1:30" ht="14">
      <c r="A2190" s="23"/>
      <c r="B2190" s="23"/>
      <c r="C2190" s="23"/>
      <c r="D2190" s="23"/>
      <c r="E2190" s="23"/>
      <c r="F2190" s="23"/>
      <c r="G2190" s="23"/>
      <c r="H2190" s="22"/>
      <c r="I2190" s="23"/>
      <c r="J2190" s="23"/>
      <c r="K2190" s="23"/>
      <c r="L2190" s="23"/>
      <c r="M2190" s="22"/>
      <c r="N2190" s="22"/>
      <c r="O2190" s="22"/>
      <c r="P2190" s="23"/>
      <c r="Q2190" s="22"/>
      <c r="R2190" s="23"/>
      <c r="S2190" s="23"/>
      <c r="Z2190" s="23"/>
      <c r="AA2190" s="23"/>
      <c r="AB2190" s="3" t="str">
        <f t="shared" si="19"/>
        <v>___</v>
      </c>
      <c r="AC2190" s="3" t="str">
        <f t="shared" si="20"/>
        <v>____</v>
      </c>
    </row>
    <row r="2191" spans="1:30" ht="14">
      <c r="A2191" s="23"/>
      <c r="B2191" s="23"/>
      <c r="C2191" s="23"/>
      <c r="D2191" s="23"/>
      <c r="E2191" s="23"/>
      <c r="F2191" s="23"/>
      <c r="G2191" s="23"/>
      <c r="H2191" s="22"/>
      <c r="I2191" s="23"/>
      <c r="J2191" s="23"/>
      <c r="K2191" s="23"/>
      <c r="L2191" s="23"/>
      <c r="M2191" s="22"/>
      <c r="N2191" s="22"/>
      <c r="O2191" s="22"/>
      <c r="P2191" s="23"/>
      <c r="Q2191" s="22"/>
      <c r="R2191" s="23"/>
      <c r="S2191" s="23"/>
      <c r="Z2191" s="23"/>
      <c r="AA2191" s="23"/>
      <c r="AB2191" s="3" t="str">
        <f t="shared" si="19"/>
        <v>___</v>
      </c>
      <c r="AC2191" s="3" t="str">
        <f t="shared" si="20"/>
        <v>____</v>
      </c>
    </row>
    <row r="2192" spans="1:30" ht="14">
      <c r="A2192" s="23"/>
      <c r="B2192" s="23"/>
      <c r="C2192" s="23"/>
      <c r="D2192" s="23"/>
      <c r="E2192" s="23"/>
      <c r="F2192" s="23"/>
      <c r="G2192" s="23"/>
      <c r="H2192" s="22"/>
      <c r="I2192" s="23"/>
      <c r="J2192" s="23"/>
      <c r="K2192" s="23"/>
      <c r="L2192" s="23"/>
      <c r="M2192" s="22"/>
      <c r="N2192" s="22"/>
      <c r="O2192" s="22"/>
      <c r="P2192" s="23"/>
      <c r="Q2192" s="22"/>
      <c r="R2192" s="23"/>
      <c r="S2192" s="23"/>
      <c r="Z2192" s="23"/>
      <c r="AA2192" s="23"/>
      <c r="AB2192" s="3" t="str">
        <f t="shared" si="19"/>
        <v>___</v>
      </c>
      <c r="AC2192" s="3" t="str">
        <f t="shared" si="20"/>
        <v>____</v>
      </c>
    </row>
  </sheetData>
  <conditionalFormatting sqref="AI1:AI2192">
    <cfRule type="notContainsBlanks" dxfId="1" priority="1">
      <formula>LEN(TRIM(AI1))&gt;0</formula>
    </cfRule>
  </conditionalFormatting>
  <dataValidations count="2">
    <dataValidation type="list" allowBlank="1" showErrorMessage="1" sqref="E2:E2158 E2160:E2192" xr:uid="{00000000-0002-0000-0000-000000000000}">
      <formula1>"open,forest"</formula1>
    </dataValidation>
    <dataValidation type="list" allowBlank="1" showErrorMessage="1" sqref="L2:L2192" xr:uid="{00000000-0002-0000-0000-000001000000}">
      <formula1>"S24,S23,S22"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2000000}">
          <x14:formula1>
            <xm:f>Tabellenblatt2!$B$2:$B$3</xm:f>
          </x14:formula1>
          <xm:sqref>G2:G936 G938:G2158 G2160:G2192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/>
  </sheetViews>
  <sheetFormatPr defaultColWidth="12.6328125" defaultRowHeight="15.75" customHeight="1"/>
  <cols>
    <col min="1" max="2" width="16.26953125" customWidth="1"/>
  </cols>
  <sheetData>
    <row r="1" spans="1:4" ht="13">
      <c r="A1" s="1" t="s">
        <v>336</v>
      </c>
      <c r="B1" s="1" t="s">
        <v>337</v>
      </c>
      <c r="C1" s="1" t="s">
        <v>338</v>
      </c>
      <c r="D1" s="1" t="s">
        <v>339</v>
      </c>
    </row>
    <row r="2" spans="1:4" ht="15.75" customHeight="1">
      <c r="A2" s="3" t="s">
        <v>340</v>
      </c>
      <c r="B2" s="3" t="s">
        <v>81</v>
      </c>
      <c r="C2" s="3" t="s">
        <v>341</v>
      </c>
      <c r="D2" s="3" t="s">
        <v>342</v>
      </c>
    </row>
    <row r="3" spans="1:4" ht="15.75" customHeight="1">
      <c r="A3" s="3" t="s">
        <v>340</v>
      </c>
      <c r="B3" s="3" t="s">
        <v>81</v>
      </c>
      <c r="C3" s="3" t="s">
        <v>343</v>
      </c>
      <c r="D3" s="3" t="s">
        <v>344</v>
      </c>
    </row>
    <row r="4" spans="1:4" ht="15.75" customHeight="1">
      <c r="A4" s="3" t="s">
        <v>345</v>
      </c>
      <c r="B4" s="3" t="s">
        <v>81</v>
      </c>
      <c r="C4" s="3" t="s">
        <v>346</v>
      </c>
      <c r="D4" s="3" t="s">
        <v>347</v>
      </c>
    </row>
    <row r="5" spans="1:4" ht="15.75" customHeight="1">
      <c r="A5" s="3" t="s">
        <v>348</v>
      </c>
      <c r="B5" s="3" t="s">
        <v>81</v>
      </c>
      <c r="C5" s="3" t="s">
        <v>349</v>
      </c>
      <c r="D5" s="3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218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3" width="8.08984375" customWidth="1"/>
    <col min="6" max="6" width="7.6328125" customWidth="1"/>
    <col min="7" max="7" width="10.90625" customWidth="1"/>
    <col min="8" max="8" width="9" customWidth="1"/>
    <col min="9" max="9" width="12.08984375" customWidth="1"/>
    <col min="10" max="10" width="14.90625" customWidth="1"/>
    <col min="13" max="15" width="10.6328125" customWidth="1"/>
    <col min="17" max="17" width="15.08984375" customWidth="1"/>
    <col min="24" max="24" width="18" customWidth="1"/>
    <col min="27" max="27" width="20.90625" customWidth="1"/>
    <col min="28" max="28" width="22.6328125" customWidth="1"/>
  </cols>
  <sheetData>
    <row r="1" spans="1:36" ht="13">
      <c r="A1" s="1" t="s">
        <v>350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/>
      <c r="AF1" s="1"/>
      <c r="AG1" s="1"/>
      <c r="AH1" s="1"/>
      <c r="AI1" s="1"/>
      <c r="AJ1" s="1"/>
    </row>
    <row r="2" spans="1:36" ht="15.75" customHeight="1">
      <c r="A2" s="3">
        <v>1</v>
      </c>
      <c r="B2" s="2">
        <v>45481</v>
      </c>
      <c r="C2" s="3" t="s">
        <v>32</v>
      </c>
      <c r="E2" s="3" t="s">
        <v>33</v>
      </c>
      <c r="F2" s="3" t="s">
        <v>34</v>
      </c>
      <c r="H2" s="3" t="s">
        <v>35</v>
      </c>
      <c r="I2" s="3">
        <v>1</v>
      </c>
      <c r="J2" s="4">
        <v>45429</v>
      </c>
      <c r="K2" s="4">
        <v>45550</v>
      </c>
      <c r="L2" s="3">
        <v>3</v>
      </c>
      <c r="M2" s="3" t="s">
        <v>36</v>
      </c>
      <c r="N2" s="3">
        <v>39</v>
      </c>
      <c r="O2" s="3">
        <v>11</v>
      </c>
      <c r="P2" s="3">
        <v>13</v>
      </c>
      <c r="S2" s="3">
        <v>0</v>
      </c>
      <c r="T2" s="3">
        <v>8.3059999999999995E-2</v>
      </c>
      <c r="U2" s="3">
        <v>9.1999999999999998E-3</v>
      </c>
      <c r="V2" s="3">
        <v>0</v>
      </c>
      <c r="W2" s="3">
        <v>0</v>
      </c>
      <c r="AA2" s="3" t="str">
        <f>CONCATENATE(C2,"_",D2,"_",G2,"_",H2)</f>
        <v>SE_O___vv</v>
      </c>
      <c r="AB2" s="3" t="str">
        <f t="shared" ref="AB2:AB256" si="0">CONCATENATE(C2,"_",D2,"_",G2,"_",H2,"_",I2)</f>
        <v>SE_O___vv_1</v>
      </c>
      <c r="AD2" s="3" t="s">
        <v>37</v>
      </c>
    </row>
    <row r="3" spans="1:36" ht="15.75" customHeight="1">
      <c r="A3" s="3">
        <v>2</v>
      </c>
      <c r="B3" s="2"/>
      <c r="F3" s="3"/>
      <c r="H3" s="3"/>
      <c r="M3" s="3" t="s">
        <v>38</v>
      </c>
      <c r="N3" s="3">
        <v>64</v>
      </c>
      <c r="O3" s="3">
        <v>7</v>
      </c>
      <c r="P3" s="3">
        <v>12</v>
      </c>
      <c r="S3" s="3">
        <v>0</v>
      </c>
      <c r="T3" s="3">
        <v>0.12827</v>
      </c>
      <c r="U3" s="3">
        <v>3.6990000000000002E-2</v>
      </c>
      <c r="V3" s="3">
        <v>0</v>
      </c>
      <c r="W3" s="3">
        <v>0</v>
      </c>
      <c r="AA3" s="3" t="str">
        <f t="shared" ref="AA3:AA257" si="1">CONCATENATE(C3, "_",D3,"_",G3,"_",H3)</f>
        <v>___</v>
      </c>
      <c r="AB3" s="3" t="str">
        <f t="shared" si="0"/>
        <v>____</v>
      </c>
    </row>
    <row r="4" spans="1:36" ht="15.75" customHeight="1">
      <c r="A4" s="3">
        <v>3</v>
      </c>
      <c r="B4" s="2"/>
      <c r="F4" s="3"/>
      <c r="H4" s="3"/>
      <c r="M4" s="3" t="s">
        <v>39</v>
      </c>
      <c r="N4" s="3">
        <v>48</v>
      </c>
      <c r="O4" s="3">
        <v>2</v>
      </c>
      <c r="P4" s="3">
        <v>9</v>
      </c>
      <c r="S4" s="3">
        <v>0</v>
      </c>
      <c r="T4" s="3">
        <v>2.5659999999999999E-2</v>
      </c>
      <c r="U4" s="3">
        <v>3.0079999999999999E-2</v>
      </c>
      <c r="V4" s="3">
        <v>0</v>
      </c>
      <c r="W4" s="3">
        <v>0</v>
      </c>
      <c r="AA4" s="3" t="str">
        <f t="shared" si="1"/>
        <v>___</v>
      </c>
      <c r="AB4" s="3" t="str">
        <f t="shared" si="0"/>
        <v>____</v>
      </c>
    </row>
    <row r="5" spans="1:36" ht="15.75" customHeight="1">
      <c r="A5" s="3">
        <v>4</v>
      </c>
      <c r="B5" s="2">
        <v>45481</v>
      </c>
      <c r="C5" s="3" t="s">
        <v>32</v>
      </c>
      <c r="E5" s="3" t="s">
        <v>33</v>
      </c>
      <c r="F5" s="3" t="s">
        <v>34</v>
      </c>
      <c r="H5" s="3" t="s">
        <v>35</v>
      </c>
      <c r="I5" s="3">
        <v>2</v>
      </c>
      <c r="J5" s="4">
        <v>45428</v>
      </c>
      <c r="K5" s="4">
        <v>45465</v>
      </c>
      <c r="L5" s="3">
        <v>9</v>
      </c>
      <c r="M5" s="3" t="s">
        <v>36</v>
      </c>
      <c r="N5" s="3">
        <v>22</v>
      </c>
      <c r="O5" s="3">
        <v>12</v>
      </c>
      <c r="P5" s="3">
        <v>12</v>
      </c>
      <c r="S5" s="3">
        <v>0</v>
      </c>
      <c r="T5" s="3">
        <v>3.934E-2</v>
      </c>
      <c r="U5" s="3">
        <v>6.4000000000000003E-3</v>
      </c>
      <c r="V5" s="3">
        <v>0</v>
      </c>
      <c r="W5" s="3">
        <v>0</v>
      </c>
      <c r="AA5" s="3" t="str">
        <f t="shared" si="1"/>
        <v>SE_O___vv</v>
      </c>
      <c r="AB5" s="3" t="str">
        <f t="shared" si="0"/>
        <v>SE_O___vv_2</v>
      </c>
      <c r="AD5" s="3" t="s">
        <v>37</v>
      </c>
    </row>
    <row r="6" spans="1:36" ht="15.75" customHeight="1">
      <c r="A6" s="3">
        <v>5</v>
      </c>
      <c r="F6" s="3"/>
      <c r="H6" s="3"/>
      <c r="M6" s="3" t="s">
        <v>38</v>
      </c>
      <c r="N6" s="3">
        <v>35</v>
      </c>
      <c r="O6" s="3">
        <v>9</v>
      </c>
      <c r="P6" s="3">
        <v>14</v>
      </c>
      <c r="S6" s="3">
        <v>0</v>
      </c>
      <c r="T6" s="3">
        <v>0.11717</v>
      </c>
      <c r="U6" s="3">
        <v>2.0889999999999999E-2</v>
      </c>
      <c r="V6" s="3">
        <v>0</v>
      </c>
      <c r="W6" s="3">
        <v>0</v>
      </c>
      <c r="AA6" s="3" t="str">
        <f t="shared" si="1"/>
        <v>___</v>
      </c>
      <c r="AB6" s="3" t="str">
        <f t="shared" si="0"/>
        <v>____</v>
      </c>
    </row>
    <row r="7" spans="1:36" ht="15.75" customHeight="1">
      <c r="A7" s="3">
        <v>6</v>
      </c>
      <c r="F7" s="3"/>
      <c r="H7" s="3"/>
      <c r="M7" s="3" t="s">
        <v>39</v>
      </c>
      <c r="N7" s="3">
        <v>26</v>
      </c>
      <c r="O7" s="3">
        <v>3</v>
      </c>
      <c r="P7" s="3">
        <v>11</v>
      </c>
      <c r="S7" s="3">
        <v>0</v>
      </c>
      <c r="T7" s="3">
        <v>2.0719999999999999E-2</v>
      </c>
      <c r="U7" s="3">
        <v>1.942E-2</v>
      </c>
      <c r="V7" s="3">
        <v>0</v>
      </c>
      <c r="W7" s="3">
        <v>0</v>
      </c>
      <c r="AA7" s="3" t="str">
        <f t="shared" si="1"/>
        <v>___</v>
      </c>
      <c r="AB7" s="3" t="str">
        <f t="shared" si="0"/>
        <v>____</v>
      </c>
    </row>
    <row r="8" spans="1:36" ht="15.75" customHeight="1">
      <c r="A8" s="3">
        <v>7</v>
      </c>
      <c r="B8" s="2">
        <v>45481</v>
      </c>
      <c r="C8" s="3" t="s">
        <v>32</v>
      </c>
      <c r="E8" s="3" t="s">
        <v>33</v>
      </c>
      <c r="F8" s="3" t="s">
        <v>34</v>
      </c>
      <c r="H8" s="3" t="s">
        <v>35</v>
      </c>
      <c r="I8" s="3">
        <v>3</v>
      </c>
      <c r="J8" s="3">
        <v>15.5</v>
      </c>
      <c r="K8" s="4">
        <v>45488</v>
      </c>
      <c r="L8" s="3">
        <v>4</v>
      </c>
      <c r="M8" s="3" t="s">
        <v>36</v>
      </c>
      <c r="N8" s="3">
        <v>34</v>
      </c>
      <c r="O8" s="3">
        <v>12</v>
      </c>
      <c r="P8" s="3">
        <v>13</v>
      </c>
      <c r="S8" s="3">
        <v>0</v>
      </c>
      <c r="T8" s="3">
        <v>0.11600000000000001</v>
      </c>
      <c r="U8" s="3">
        <v>1.2290000000000001E-2</v>
      </c>
      <c r="V8" s="3">
        <v>0</v>
      </c>
      <c r="W8" s="3">
        <v>0</v>
      </c>
      <c r="AA8" s="3" t="str">
        <f t="shared" si="1"/>
        <v>SE_O___vv</v>
      </c>
      <c r="AB8" s="3" t="str">
        <f t="shared" si="0"/>
        <v>SE_O___vv_3</v>
      </c>
      <c r="AD8" s="3" t="s">
        <v>37</v>
      </c>
    </row>
    <row r="9" spans="1:36" ht="15.75" customHeight="1">
      <c r="A9" s="3">
        <v>8</v>
      </c>
      <c r="F9" s="3"/>
      <c r="H9" s="3"/>
      <c r="M9" s="3" t="s">
        <v>38</v>
      </c>
      <c r="N9" s="3">
        <v>43</v>
      </c>
      <c r="O9" s="3">
        <v>8</v>
      </c>
      <c r="P9" s="3">
        <v>11</v>
      </c>
      <c r="S9" s="3">
        <v>0</v>
      </c>
      <c r="T9" s="3">
        <v>7.9170000000000004E-2</v>
      </c>
      <c r="U9" s="3">
        <v>2.3400000000000001E-2</v>
      </c>
      <c r="V9" s="3">
        <v>0</v>
      </c>
      <c r="W9" s="3">
        <v>0</v>
      </c>
      <c r="AA9" s="3" t="str">
        <f t="shared" si="1"/>
        <v>___</v>
      </c>
      <c r="AB9" s="3" t="str">
        <f t="shared" si="0"/>
        <v>____</v>
      </c>
    </row>
    <row r="10" spans="1:36" ht="15.75" customHeight="1">
      <c r="A10" s="3">
        <v>9</v>
      </c>
      <c r="F10" s="3"/>
      <c r="H10" s="3"/>
      <c r="M10" s="3" t="s">
        <v>39</v>
      </c>
      <c r="N10" s="3">
        <v>28</v>
      </c>
      <c r="O10" s="3">
        <v>5</v>
      </c>
      <c r="P10" s="3">
        <v>9</v>
      </c>
      <c r="S10" s="3">
        <v>0</v>
      </c>
      <c r="T10" s="3">
        <v>3.8260000000000002E-2</v>
      </c>
      <c r="U10" s="3">
        <v>1.8780000000000002E-2</v>
      </c>
      <c r="V10" s="3">
        <v>0</v>
      </c>
      <c r="W10" s="3">
        <v>0</v>
      </c>
      <c r="AA10" s="3" t="str">
        <f t="shared" si="1"/>
        <v>___</v>
      </c>
      <c r="AB10" s="3" t="str">
        <f t="shared" si="0"/>
        <v>____</v>
      </c>
    </row>
    <row r="11" spans="1:36" ht="15.75" customHeight="1">
      <c r="A11" s="3">
        <v>10</v>
      </c>
      <c r="B11" s="2">
        <v>45481</v>
      </c>
      <c r="C11" s="3" t="s">
        <v>32</v>
      </c>
      <c r="E11" s="3" t="s">
        <v>33</v>
      </c>
      <c r="F11" s="3" t="s">
        <v>34</v>
      </c>
      <c r="H11" s="3" t="s">
        <v>40</v>
      </c>
      <c r="I11" s="3">
        <v>1</v>
      </c>
      <c r="J11" s="4">
        <v>45310</v>
      </c>
      <c r="K11" s="3">
        <v>20</v>
      </c>
      <c r="L11" s="3">
        <v>5</v>
      </c>
      <c r="M11" s="3" t="s">
        <v>36</v>
      </c>
      <c r="N11" s="3">
        <v>19</v>
      </c>
      <c r="O11" s="3">
        <v>5</v>
      </c>
      <c r="P11" s="3">
        <v>5</v>
      </c>
      <c r="S11" s="3">
        <v>1</v>
      </c>
      <c r="T11" s="3">
        <v>1.6830000000000001E-2</v>
      </c>
      <c r="U11" s="3">
        <v>4.5799999999999999E-3</v>
      </c>
      <c r="V11" s="3">
        <v>0</v>
      </c>
      <c r="W11" s="3">
        <v>6.4700000000000001E-3</v>
      </c>
      <c r="AA11" s="3" t="str">
        <f t="shared" si="1"/>
        <v>SE_O___vm</v>
      </c>
      <c r="AB11" s="3" t="str">
        <f t="shared" si="0"/>
        <v>SE_O___vm_1</v>
      </c>
      <c r="AD11" s="3" t="s">
        <v>37</v>
      </c>
    </row>
    <row r="12" spans="1:36" ht="15.75" customHeight="1">
      <c r="A12" s="3">
        <v>11</v>
      </c>
      <c r="F12" s="3"/>
      <c r="H12" s="3"/>
      <c r="M12" s="3" t="s">
        <v>38</v>
      </c>
      <c r="N12" s="3">
        <v>32</v>
      </c>
      <c r="O12" s="3">
        <v>0</v>
      </c>
      <c r="P12" s="3">
        <v>3</v>
      </c>
      <c r="Q12" s="3">
        <v>2</v>
      </c>
      <c r="R12" s="3">
        <v>2</v>
      </c>
      <c r="S12" s="3">
        <v>0</v>
      </c>
      <c r="T12" s="3">
        <v>0</v>
      </c>
      <c r="U12" s="3">
        <v>1.8710000000000001E-2</v>
      </c>
      <c r="V12" s="3">
        <v>1.9560000000000001E-2</v>
      </c>
      <c r="W12" s="3">
        <v>0</v>
      </c>
      <c r="AA12" s="3" t="str">
        <f t="shared" si="1"/>
        <v>___</v>
      </c>
      <c r="AB12" s="3" t="str">
        <f t="shared" si="0"/>
        <v>____</v>
      </c>
    </row>
    <row r="13" spans="1:36" ht="15.75" customHeight="1">
      <c r="A13" s="3">
        <v>12</v>
      </c>
      <c r="F13" s="3"/>
      <c r="H13" s="3"/>
      <c r="M13" s="3" t="s">
        <v>39</v>
      </c>
      <c r="N13" s="3">
        <v>74</v>
      </c>
      <c r="O13" s="3">
        <v>0</v>
      </c>
      <c r="P13" s="3">
        <v>4</v>
      </c>
      <c r="Q13" s="3">
        <v>5</v>
      </c>
      <c r="R13" s="3">
        <v>5</v>
      </c>
      <c r="S13" s="3">
        <v>0</v>
      </c>
      <c r="T13" s="3">
        <v>0</v>
      </c>
      <c r="U13" s="3">
        <v>0.13016</v>
      </c>
      <c r="V13" s="3">
        <v>0.27345999999999998</v>
      </c>
      <c r="W13" s="3">
        <v>0</v>
      </c>
      <c r="AA13" s="3" t="str">
        <f t="shared" si="1"/>
        <v>___</v>
      </c>
      <c r="AB13" s="3" t="str">
        <f t="shared" si="0"/>
        <v>____</v>
      </c>
    </row>
    <row r="14" spans="1:36" ht="15.75" customHeight="1">
      <c r="A14" s="3">
        <v>13</v>
      </c>
      <c r="B14" s="2">
        <v>45481</v>
      </c>
      <c r="C14" s="3" t="s">
        <v>32</v>
      </c>
      <c r="E14" s="3" t="s">
        <v>33</v>
      </c>
      <c r="F14" s="3" t="s">
        <v>34</v>
      </c>
      <c r="H14" s="3" t="s">
        <v>40</v>
      </c>
      <c r="I14" s="3">
        <v>2</v>
      </c>
      <c r="J14" s="4">
        <v>45433</v>
      </c>
      <c r="K14" s="4">
        <v>45465</v>
      </c>
      <c r="L14" s="3">
        <v>7</v>
      </c>
      <c r="M14" s="3" t="s">
        <v>36</v>
      </c>
      <c r="N14" s="3">
        <v>40</v>
      </c>
      <c r="O14" s="3">
        <v>7</v>
      </c>
      <c r="P14" s="3">
        <v>7</v>
      </c>
      <c r="S14" s="3">
        <v>0</v>
      </c>
      <c r="T14" s="3">
        <v>3.8519999999999999E-2</v>
      </c>
      <c r="U14" s="3">
        <v>2.325E-2</v>
      </c>
      <c r="V14" s="3">
        <v>0</v>
      </c>
      <c r="W14" s="3">
        <v>0</v>
      </c>
      <c r="AA14" s="3" t="str">
        <f t="shared" si="1"/>
        <v>SE_O___vm</v>
      </c>
      <c r="AB14" s="3" t="str">
        <f t="shared" si="0"/>
        <v>SE_O___vm_2</v>
      </c>
      <c r="AD14" s="3" t="s">
        <v>37</v>
      </c>
    </row>
    <row r="15" spans="1:36" ht="15.75" customHeight="1">
      <c r="A15" s="3">
        <v>14</v>
      </c>
      <c r="F15" s="3"/>
      <c r="H15" s="3"/>
      <c r="M15" s="3" t="s">
        <v>38</v>
      </c>
      <c r="N15" s="3">
        <v>61</v>
      </c>
      <c r="O15" s="3">
        <v>0</v>
      </c>
      <c r="P15" s="3">
        <v>3</v>
      </c>
      <c r="Q15" s="3">
        <v>2</v>
      </c>
      <c r="R15" s="3">
        <v>2</v>
      </c>
      <c r="S15" s="3">
        <v>0</v>
      </c>
      <c r="T15" s="3">
        <v>0</v>
      </c>
      <c r="U15" s="3">
        <v>6.5699999999999995E-2</v>
      </c>
      <c r="V15" s="3">
        <v>9.11E-2</v>
      </c>
      <c r="W15" s="3">
        <v>0</v>
      </c>
      <c r="AA15" s="3" t="str">
        <f t="shared" si="1"/>
        <v>___</v>
      </c>
      <c r="AB15" s="3" t="str">
        <f t="shared" si="0"/>
        <v>____</v>
      </c>
    </row>
    <row r="16" spans="1:36" ht="15.75" customHeight="1">
      <c r="A16" s="3">
        <v>15</v>
      </c>
      <c r="F16" s="3"/>
      <c r="H16" s="3"/>
      <c r="M16" s="3" t="s">
        <v>39</v>
      </c>
      <c r="N16" s="3">
        <v>36</v>
      </c>
      <c r="O16" s="3">
        <v>0</v>
      </c>
      <c r="P16" s="3">
        <v>2</v>
      </c>
      <c r="Q16" s="3">
        <v>1</v>
      </c>
      <c r="R16" s="3">
        <v>1</v>
      </c>
      <c r="S16" s="3">
        <v>0</v>
      </c>
      <c r="T16" s="3">
        <v>0</v>
      </c>
      <c r="U16" s="3">
        <v>6.1170000000000002E-2</v>
      </c>
      <c r="V16" s="3">
        <v>0.16209999999999999</v>
      </c>
      <c r="W16" s="3">
        <v>0</v>
      </c>
      <c r="AA16" s="3" t="str">
        <f t="shared" si="1"/>
        <v>___</v>
      </c>
      <c r="AB16" s="3" t="str">
        <f t="shared" si="0"/>
        <v>____</v>
      </c>
    </row>
    <row r="17" spans="1:30" ht="15.75" customHeight="1">
      <c r="A17" s="3">
        <v>16</v>
      </c>
      <c r="B17" s="2">
        <v>45481</v>
      </c>
      <c r="C17" s="3" t="s">
        <v>32</v>
      </c>
      <c r="E17" s="3" t="s">
        <v>33</v>
      </c>
      <c r="F17" s="3" t="s">
        <v>34</v>
      </c>
      <c r="H17" s="3" t="s">
        <v>40</v>
      </c>
      <c r="I17" s="3">
        <v>3</v>
      </c>
      <c r="J17" s="3">
        <v>17</v>
      </c>
      <c r="K17" s="4">
        <v>45396</v>
      </c>
      <c r="L17" s="3">
        <v>4</v>
      </c>
      <c r="M17" s="3" t="s">
        <v>36</v>
      </c>
      <c r="N17" s="3">
        <v>37</v>
      </c>
      <c r="O17" s="3">
        <v>7</v>
      </c>
      <c r="P17" s="3">
        <v>7</v>
      </c>
      <c r="S17" s="3">
        <v>0</v>
      </c>
      <c r="T17" s="3">
        <v>3.3360000000000001E-2</v>
      </c>
      <c r="U17" s="3">
        <v>1.6830000000000001E-2</v>
      </c>
      <c r="V17" s="3">
        <v>0</v>
      </c>
      <c r="W17" s="3">
        <v>0</v>
      </c>
      <c r="AA17" s="3" t="str">
        <f t="shared" si="1"/>
        <v>SE_O___vm</v>
      </c>
      <c r="AB17" s="3" t="str">
        <f t="shared" si="0"/>
        <v>SE_O___vm_3</v>
      </c>
      <c r="AD17" s="3" t="s">
        <v>37</v>
      </c>
    </row>
    <row r="18" spans="1:30" ht="15.75" customHeight="1">
      <c r="A18" s="3">
        <v>17</v>
      </c>
      <c r="F18" s="3"/>
      <c r="H18" s="3"/>
      <c r="M18" s="3" t="s">
        <v>38</v>
      </c>
      <c r="N18" s="3">
        <v>59</v>
      </c>
      <c r="O18" s="3">
        <v>0</v>
      </c>
      <c r="P18" s="3">
        <v>8</v>
      </c>
      <c r="Q18" s="3">
        <v>3</v>
      </c>
      <c r="R18" s="3">
        <v>3</v>
      </c>
      <c r="S18" s="3">
        <v>0</v>
      </c>
      <c r="T18" s="3">
        <v>0</v>
      </c>
      <c r="U18" s="3">
        <v>5.6329999999999998E-2</v>
      </c>
      <c r="V18" s="3">
        <v>9.6670000000000006E-2</v>
      </c>
      <c r="W18" s="3">
        <v>0</v>
      </c>
      <c r="AA18" s="3" t="str">
        <f t="shared" si="1"/>
        <v>___</v>
      </c>
      <c r="AB18" s="3" t="str">
        <f t="shared" si="0"/>
        <v>____</v>
      </c>
    </row>
    <row r="19" spans="1:30" ht="15.75" customHeight="1">
      <c r="A19" s="3">
        <v>18</v>
      </c>
      <c r="F19" s="3"/>
      <c r="H19" s="3"/>
      <c r="M19" s="3" t="s">
        <v>39</v>
      </c>
      <c r="N19" s="3">
        <v>38</v>
      </c>
      <c r="O19" s="3">
        <v>0</v>
      </c>
      <c r="P19" s="3">
        <v>6</v>
      </c>
      <c r="S19" s="3">
        <v>0</v>
      </c>
      <c r="T19" s="3">
        <v>0</v>
      </c>
      <c r="U19" s="3">
        <v>4.9590000000000002E-2</v>
      </c>
      <c r="V19" s="3">
        <v>0</v>
      </c>
      <c r="W19" s="3">
        <v>0</v>
      </c>
      <c r="AA19" s="3" t="str">
        <f t="shared" si="1"/>
        <v>___</v>
      </c>
      <c r="AB19" s="3" t="str">
        <f t="shared" si="0"/>
        <v>____</v>
      </c>
    </row>
    <row r="20" spans="1:30" ht="15.75" customHeight="1">
      <c r="A20" s="3">
        <v>19</v>
      </c>
      <c r="B20" s="2">
        <v>45481</v>
      </c>
      <c r="C20" s="3" t="s">
        <v>41</v>
      </c>
      <c r="E20" s="3" t="s">
        <v>33</v>
      </c>
      <c r="F20" s="3" t="s">
        <v>42</v>
      </c>
      <c r="H20" s="3" t="s">
        <v>35</v>
      </c>
      <c r="I20" s="3">
        <v>1</v>
      </c>
      <c r="J20" s="4">
        <v>45396</v>
      </c>
      <c r="K20" s="4">
        <v>45396</v>
      </c>
      <c r="L20" s="3">
        <v>3</v>
      </c>
      <c r="M20" s="3" t="s">
        <v>36</v>
      </c>
      <c r="N20" s="3">
        <v>34</v>
      </c>
      <c r="O20" s="3">
        <v>11</v>
      </c>
      <c r="P20" s="3">
        <v>14</v>
      </c>
      <c r="S20" s="3">
        <v>0</v>
      </c>
      <c r="T20" s="5">
        <v>1.1644E-2</v>
      </c>
      <c r="U20" s="3">
        <v>1.3270000000000001E-2</v>
      </c>
      <c r="V20" s="3">
        <v>0</v>
      </c>
      <c r="W20" s="3">
        <v>0</v>
      </c>
      <c r="AA20" s="3" t="str">
        <f t="shared" si="1"/>
        <v>SE_F___vv</v>
      </c>
      <c r="AB20" s="3" t="str">
        <f t="shared" si="0"/>
        <v>SE_F___vv_1</v>
      </c>
      <c r="AD20" s="3" t="s">
        <v>37</v>
      </c>
    </row>
    <row r="21" spans="1:30" ht="15.75" customHeight="1">
      <c r="A21" s="3">
        <v>20</v>
      </c>
      <c r="F21" s="3"/>
      <c r="H21" s="3"/>
      <c r="M21" s="3" t="s">
        <v>38</v>
      </c>
      <c r="N21" s="3">
        <v>47</v>
      </c>
      <c r="O21" s="3">
        <v>12</v>
      </c>
      <c r="P21" s="3">
        <v>14</v>
      </c>
      <c r="S21" s="3">
        <v>0</v>
      </c>
      <c r="T21" s="3">
        <v>0.12895000000000001</v>
      </c>
      <c r="U21" s="3">
        <v>3.3520000000000001E-2</v>
      </c>
      <c r="V21" s="3">
        <v>0</v>
      </c>
      <c r="W21" s="3">
        <v>0</v>
      </c>
      <c r="AA21" s="3" t="str">
        <f t="shared" si="1"/>
        <v>___</v>
      </c>
      <c r="AB21" s="3" t="str">
        <f t="shared" si="0"/>
        <v>____</v>
      </c>
    </row>
    <row r="22" spans="1:30" ht="15.75" customHeight="1">
      <c r="A22" s="3">
        <v>21</v>
      </c>
      <c r="F22" s="3"/>
      <c r="H22" s="3"/>
      <c r="M22" s="3" t="s">
        <v>39</v>
      </c>
      <c r="N22" s="3">
        <v>59</v>
      </c>
      <c r="O22" s="3">
        <v>2</v>
      </c>
      <c r="P22" s="3">
        <v>16</v>
      </c>
      <c r="S22" s="3">
        <v>0</v>
      </c>
      <c r="T22" s="3">
        <v>3.32E-2</v>
      </c>
      <c r="U22" s="3">
        <v>5.4359999999999999E-2</v>
      </c>
      <c r="V22" s="3">
        <v>0</v>
      </c>
      <c r="W22" s="3">
        <v>0</v>
      </c>
      <c r="AA22" s="3" t="str">
        <f t="shared" si="1"/>
        <v>___</v>
      </c>
      <c r="AB22" s="3" t="str">
        <f t="shared" si="0"/>
        <v>____</v>
      </c>
    </row>
    <row r="23" spans="1:30" ht="15.75" customHeight="1">
      <c r="A23" s="3">
        <v>22</v>
      </c>
      <c r="B23" s="2">
        <v>45481</v>
      </c>
      <c r="C23" s="3" t="s">
        <v>41</v>
      </c>
      <c r="E23" s="3" t="s">
        <v>33</v>
      </c>
      <c r="F23" s="3" t="s">
        <v>42</v>
      </c>
      <c r="H23" s="3" t="s">
        <v>35</v>
      </c>
      <c r="I23" s="3">
        <v>2</v>
      </c>
      <c r="J23" s="3">
        <v>17</v>
      </c>
      <c r="K23" s="4">
        <v>45431</v>
      </c>
      <c r="L23" s="3">
        <v>6</v>
      </c>
      <c r="M23" s="3" t="s">
        <v>36</v>
      </c>
      <c r="N23" s="3">
        <v>31</v>
      </c>
      <c r="O23" s="3">
        <v>12</v>
      </c>
      <c r="P23" s="3">
        <v>16</v>
      </c>
      <c r="S23" s="3">
        <v>0</v>
      </c>
      <c r="T23" s="3">
        <v>7.0620000000000002E-2</v>
      </c>
      <c r="U23" s="3">
        <v>1.031E-2</v>
      </c>
      <c r="V23" s="3">
        <v>0</v>
      </c>
      <c r="W23" s="3">
        <v>0</v>
      </c>
      <c r="AA23" s="3" t="str">
        <f t="shared" si="1"/>
        <v>SE_F___vv</v>
      </c>
      <c r="AB23" s="3" t="str">
        <f t="shared" si="0"/>
        <v>SE_F___vv_2</v>
      </c>
      <c r="AD23" s="3" t="s">
        <v>37</v>
      </c>
    </row>
    <row r="24" spans="1:30" ht="15.75" customHeight="1">
      <c r="A24" s="3">
        <v>23</v>
      </c>
      <c r="F24" s="3"/>
      <c r="H24" s="3"/>
      <c r="M24" s="3" t="s">
        <v>38</v>
      </c>
      <c r="N24" s="3">
        <v>36</v>
      </c>
      <c r="O24" s="3">
        <v>17</v>
      </c>
      <c r="P24" s="3">
        <v>20</v>
      </c>
      <c r="S24" s="3">
        <v>0</v>
      </c>
      <c r="T24" s="5">
        <v>0.20543</v>
      </c>
      <c r="U24" s="3">
        <v>2.4400000000000002E-2</v>
      </c>
      <c r="V24" s="3">
        <v>0</v>
      </c>
      <c r="W24" s="3">
        <v>0</v>
      </c>
      <c r="AA24" s="3" t="str">
        <f t="shared" si="1"/>
        <v>___</v>
      </c>
      <c r="AB24" s="3" t="str">
        <f t="shared" si="0"/>
        <v>____</v>
      </c>
    </row>
    <row r="25" spans="1:30" ht="15.75" customHeight="1">
      <c r="A25" s="3">
        <v>24</v>
      </c>
      <c r="F25" s="3"/>
      <c r="H25" s="3"/>
      <c r="M25" s="3" t="s">
        <v>39</v>
      </c>
      <c r="N25" s="3">
        <v>30</v>
      </c>
      <c r="O25" s="3">
        <v>10</v>
      </c>
      <c r="P25" s="3">
        <v>13</v>
      </c>
      <c r="S25" s="3">
        <v>0</v>
      </c>
      <c r="T25" s="3">
        <v>0.16880999999999999</v>
      </c>
      <c r="U25" s="3">
        <v>2.886E-2</v>
      </c>
      <c r="V25" s="3">
        <v>0</v>
      </c>
      <c r="W25" s="3">
        <v>0</v>
      </c>
      <c r="AA25" s="3" t="str">
        <f t="shared" si="1"/>
        <v>___</v>
      </c>
      <c r="AB25" s="3" t="str">
        <f t="shared" si="0"/>
        <v>____</v>
      </c>
    </row>
    <row r="26" spans="1:30" ht="15.75" customHeight="1">
      <c r="A26" s="3">
        <v>25</v>
      </c>
      <c r="B26" s="2">
        <v>45481</v>
      </c>
      <c r="C26" s="3" t="s">
        <v>41</v>
      </c>
      <c r="E26" s="3" t="s">
        <v>33</v>
      </c>
      <c r="F26" s="3" t="s">
        <v>42</v>
      </c>
      <c r="H26" s="3" t="s">
        <v>35</v>
      </c>
      <c r="I26" s="3">
        <v>3</v>
      </c>
      <c r="J26" s="4">
        <v>45340</v>
      </c>
      <c r="K26" s="4">
        <v>45399</v>
      </c>
      <c r="L26" s="3">
        <v>4</v>
      </c>
      <c r="M26" s="3" t="s">
        <v>36</v>
      </c>
      <c r="N26" s="3">
        <v>47</v>
      </c>
      <c r="O26" s="3">
        <v>17</v>
      </c>
      <c r="P26" s="3">
        <v>17</v>
      </c>
      <c r="S26" s="3">
        <v>0</v>
      </c>
      <c r="T26" s="3">
        <v>0.1482</v>
      </c>
      <c r="U26" s="3">
        <v>2.462E-2</v>
      </c>
      <c r="V26" s="3">
        <v>0</v>
      </c>
      <c r="W26" s="3">
        <v>0</v>
      </c>
      <c r="AA26" s="3" t="str">
        <f t="shared" si="1"/>
        <v>SE_F___vv</v>
      </c>
      <c r="AB26" s="3" t="str">
        <f t="shared" si="0"/>
        <v>SE_F___vv_3</v>
      </c>
      <c r="AD26" s="3" t="s">
        <v>37</v>
      </c>
    </row>
    <row r="27" spans="1:30" ht="15.75" customHeight="1">
      <c r="A27" s="3">
        <v>26</v>
      </c>
      <c r="F27" s="3"/>
      <c r="H27" s="3"/>
      <c r="M27" s="3" t="s">
        <v>38</v>
      </c>
      <c r="N27" s="3">
        <v>57</v>
      </c>
      <c r="O27" s="3">
        <v>8</v>
      </c>
      <c r="P27" s="3">
        <v>13</v>
      </c>
      <c r="S27" s="3">
        <v>0</v>
      </c>
      <c r="T27" s="3">
        <v>0.16916999999999999</v>
      </c>
      <c r="U27" s="3">
        <v>4.7050000000000002E-2</v>
      </c>
      <c r="V27" s="3">
        <v>0</v>
      </c>
      <c r="W27" s="3">
        <v>0</v>
      </c>
      <c r="AA27" s="3" t="str">
        <f t="shared" si="1"/>
        <v>___</v>
      </c>
      <c r="AB27" s="3" t="str">
        <f t="shared" si="0"/>
        <v>____</v>
      </c>
    </row>
    <row r="28" spans="1:30" ht="15.75" customHeight="1">
      <c r="A28" s="3">
        <v>27</v>
      </c>
      <c r="F28" s="3"/>
      <c r="H28" s="3"/>
      <c r="M28" s="3" t="s">
        <v>39</v>
      </c>
      <c r="N28" s="3">
        <v>34</v>
      </c>
      <c r="O28" s="3">
        <v>5</v>
      </c>
      <c r="P28" s="3">
        <v>7</v>
      </c>
      <c r="S28" s="3">
        <v>0</v>
      </c>
      <c r="T28" s="3">
        <v>3.4819999999999997E-2</v>
      </c>
      <c r="U28" s="3">
        <v>2.7859999999999999E-2</v>
      </c>
      <c r="V28" s="3">
        <v>0</v>
      </c>
      <c r="W28" s="3">
        <v>0</v>
      </c>
      <c r="AA28" s="3" t="str">
        <f t="shared" si="1"/>
        <v>___</v>
      </c>
      <c r="AB28" s="3" t="str">
        <f t="shared" si="0"/>
        <v>____</v>
      </c>
    </row>
    <row r="29" spans="1:30" ht="15.75" customHeight="1">
      <c r="A29" s="3">
        <v>28</v>
      </c>
      <c r="B29" s="2">
        <v>45481</v>
      </c>
      <c r="C29" s="3" t="s">
        <v>41</v>
      </c>
      <c r="E29" s="3" t="s">
        <v>33</v>
      </c>
      <c r="F29" s="3" t="s">
        <v>42</v>
      </c>
      <c r="H29" s="3" t="s">
        <v>40</v>
      </c>
      <c r="I29" s="3">
        <v>1</v>
      </c>
      <c r="J29" s="4">
        <v>45496</v>
      </c>
      <c r="K29" s="4">
        <v>45523</v>
      </c>
      <c r="L29" s="3">
        <v>4</v>
      </c>
      <c r="M29" s="3" t="s">
        <v>36</v>
      </c>
      <c r="N29" s="3">
        <v>46</v>
      </c>
      <c r="O29" s="3">
        <v>7</v>
      </c>
      <c r="P29" s="3">
        <v>7</v>
      </c>
      <c r="S29" s="3">
        <v>0</v>
      </c>
      <c r="T29" s="3">
        <v>3.7699999999999997E-2</v>
      </c>
      <c r="U29" s="3">
        <v>1.6570000000000001E-2</v>
      </c>
      <c r="V29" s="3">
        <v>0</v>
      </c>
      <c r="W29" s="3">
        <v>0</v>
      </c>
      <c r="AA29" s="3" t="str">
        <f t="shared" si="1"/>
        <v>SE_F___vm</v>
      </c>
      <c r="AB29" s="3" t="str">
        <f t="shared" si="0"/>
        <v>SE_F___vm_1</v>
      </c>
      <c r="AD29" s="3" t="s">
        <v>37</v>
      </c>
    </row>
    <row r="30" spans="1:30" ht="15.75" customHeight="1">
      <c r="A30" s="3">
        <v>29</v>
      </c>
      <c r="F30" s="3"/>
      <c r="H30" s="3"/>
      <c r="M30" s="3" t="s">
        <v>38</v>
      </c>
      <c r="N30" s="3">
        <v>71</v>
      </c>
      <c r="O30" s="3">
        <v>0</v>
      </c>
      <c r="P30" s="3">
        <v>5</v>
      </c>
      <c r="Q30" s="3">
        <v>2</v>
      </c>
      <c r="R30" s="3">
        <v>2</v>
      </c>
      <c r="S30" s="3">
        <v>0</v>
      </c>
      <c r="T30" s="3">
        <v>0</v>
      </c>
      <c r="U30" s="3">
        <v>5.1830000000000001E-2</v>
      </c>
      <c r="V30" s="3">
        <v>5.7149999999999999E-2</v>
      </c>
      <c r="W30" s="3">
        <v>0</v>
      </c>
      <c r="AA30" s="3" t="str">
        <f t="shared" si="1"/>
        <v>___</v>
      </c>
      <c r="AB30" s="3" t="str">
        <f t="shared" si="0"/>
        <v>____</v>
      </c>
    </row>
    <row r="31" spans="1:30" ht="15.75" customHeight="1">
      <c r="A31" s="3">
        <v>30</v>
      </c>
      <c r="F31" s="3"/>
      <c r="H31" s="3"/>
      <c r="M31" s="3" t="s">
        <v>39</v>
      </c>
      <c r="N31" s="3">
        <v>78</v>
      </c>
      <c r="O31" s="3">
        <v>0</v>
      </c>
      <c r="P31" s="3">
        <v>2</v>
      </c>
      <c r="Q31" s="3">
        <v>5</v>
      </c>
      <c r="R31" s="3">
        <v>5</v>
      </c>
      <c r="S31" s="3">
        <v>0</v>
      </c>
      <c r="T31" s="3">
        <v>0</v>
      </c>
      <c r="U31" s="3">
        <v>0.12518000000000001</v>
      </c>
      <c r="V31" s="3">
        <v>0.22245999999999999</v>
      </c>
      <c r="W31" s="3">
        <v>0</v>
      </c>
      <c r="AA31" s="3" t="str">
        <f t="shared" si="1"/>
        <v>___</v>
      </c>
      <c r="AB31" s="3" t="str">
        <f t="shared" si="0"/>
        <v>____</v>
      </c>
    </row>
    <row r="32" spans="1:30" ht="15.75" customHeight="1">
      <c r="A32" s="3">
        <v>31</v>
      </c>
      <c r="B32" s="2">
        <v>45481</v>
      </c>
      <c r="C32" s="3" t="s">
        <v>41</v>
      </c>
      <c r="E32" s="3" t="s">
        <v>33</v>
      </c>
      <c r="F32" s="3" t="s">
        <v>42</v>
      </c>
      <c r="H32" s="3" t="s">
        <v>40</v>
      </c>
      <c r="I32" s="3">
        <v>2</v>
      </c>
      <c r="J32" s="3">
        <v>22</v>
      </c>
      <c r="K32" s="4">
        <v>45472</v>
      </c>
      <c r="L32" s="3">
        <v>6</v>
      </c>
      <c r="M32" s="3" t="s">
        <v>36</v>
      </c>
      <c r="N32" s="3">
        <v>72</v>
      </c>
      <c r="O32" s="3">
        <v>9</v>
      </c>
      <c r="P32" s="3">
        <v>9</v>
      </c>
      <c r="S32" s="3">
        <v>1</v>
      </c>
      <c r="T32" s="3">
        <v>9.2420000000000002E-2</v>
      </c>
      <c r="U32" s="3">
        <v>4.7789999999999999E-2</v>
      </c>
      <c r="V32" s="3">
        <v>0</v>
      </c>
      <c r="W32" s="3">
        <v>3.1980000000000001E-2</v>
      </c>
      <c r="AA32" s="3" t="str">
        <f t="shared" si="1"/>
        <v>SE_F___vm</v>
      </c>
      <c r="AB32" s="3" t="str">
        <f t="shared" si="0"/>
        <v>SE_F___vm_2</v>
      </c>
      <c r="AD32" s="3" t="s">
        <v>37</v>
      </c>
    </row>
    <row r="33" spans="1:30" ht="15.75" customHeight="1">
      <c r="A33" s="3">
        <v>32</v>
      </c>
      <c r="F33" s="3"/>
      <c r="H33" s="3"/>
      <c r="M33" s="3" t="s">
        <v>38</v>
      </c>
      <c r="N33" s="3">
        <v>83</v>
      </c>
      <c r="O33" s="3">
        <v>0</v>
      </c>
      <c r="P33" s="3">
        <v>4</v>
      </c>
      <c r="Q33" s="3">
        <v>2</v>
      </c>
      <c r="R33" s="3">
        <v>2</v>
      </c>
      <c r="S33" s="3">
        <v>0</v>
      </c>
      <c r="T33" s="3">
        <v>0</v>
      </c>
      <c r="U33" s="3">
        <v>9.078E-2</v>
      </c>
      <c r="V33" s="3">
        <v>8.1720000000000001E-2</v>
      </c>
      <c r="W33" s="3">
        <v>0</v>
      </c>
      <c r="AA33" s="3" t="str">
        <f t="shared" si="1"/>
        <v>___</v>
      </c>
      <c r="AB33" s="3" t="str">
        <f t="shared" si="0"/>
        <v>____</v>
      </c>
    </row>
    <row r="34" spans="1:30" ht="15.75" customHeight="1">
      <c r="A34" s="3">
        <v>33</v>
      </c>
      <c r="F34" s="3"/>
      <c r="H34" s="3"/>
      <c r="M34" s="3" t="s">
        <v>39</v>
      </c>
      <c r="N34" s="3">
        <v>93</v>
      </c>
      <c r="O34" s="3">
        <v>0</v>
      </c>
      <c r="P34" s="3">
        <v>4</v>
      </c>
      <c r="Q34" s="3">
        <v>3</v>
      </c>
      <c r="R34" s="3">
        <v>3</v>
      </c>
      <c r="S34" s="3">
        <v>0</v>
      </c>
      <c r="T34" s="3">
        <v>0</v>
      </c>
      <c r="U34" s="3">
        <v>0.22983000000000001</v>
      </c>
      <c r="V34" s="3">
        <v>0.55742000000000003</v>
      </c>
      <c r="W34" s="3">
        <v>0</v>
      </c>
      <c r="AA34" s="3" t="str">
        <f t="shared" si="1"/>
        <v>___</v>
      </c>
      <c r="AB34" s="3" t="str">
        <f t="shared" si="0"/>
        <v>____</v>
      </c>
    </row>
    <row r="35" spans="1:30" ht="15.75" customHeight="1">
      <c r="A35" s="3">
        <v>34</v>
      </c>
      <c r="B35" s="2">
        <v>45481</v>
      </c>
      <c r="C35" s="3" t="s">
        <v>41</v>
      </c>
      <c r="E35" s="3" t="s">
        <v>33</v>
      </c>
      <c r="F35" s="3" t="s">
        <v>42</v>
      </c>
      <c r="H35" s="3" t="s">
        <v>40</v>
      </c>
      <c r="I35" s="3">
        <v>3</v>
      </c>
      <c r="J35" s="4">
        <v>45463</v>
      </c>
      <c r="K35" s="4">
        <v>45554</v>
      </c>
      <c r="L35" s="3">
        <v>6</v>
      </c>
      <c r="M35" s="3" t="s">
        <v>36</v>
      </c>
      <c r="N35" s="3">
        <v>22</v>
      </c>
      <c r="O35" s="3">
        <v>5</v>
      </c>
      <c r="P35" s="3">
        <v>5</v>
      </c>
      <c r="S35" s="3">
        <v>1</v>
      </c>
      <c r="T35" s="3">
        <v>3.2719999999999999E-2</v>
      </c>
      <c r="U35" s="3">
        <v>8.77E-3</v>
      </c>
      <c r="V35" s="3">
        <v>0</v>
      </c>
      <c r="W35" s="3">
        <v>2.4819999999999998E-2</v>
      </c>
      <c r="AA35" s="3" t="str">
        <f t="shared" si="1"/>
        <v>SE_F___vm</v>
      </c>
      <c r="AB35" s="3" t="str">
        <f t="shared" si="0"/>
        <v>SE_F___vm_3</v>
      </c>
      <c r="AD35" s="3" t="s">
        <v>37</v>
      </c>
    </row>
    <row r="36" spans="1:30" ht="12.5">
      <c r="A36" s="3">
        <v>35</v>
      </c>
      <c r="F36" s="3"/>
      <c r="H36" s="3"/>
      <c r="M36" s="3" t="s">
        <v>38</v>
      </c>
      <c r="N36" s="3">
        <v>38</v>
      </c>
      <c r="O36" s="3">
        <v>0</v>
      </c>
      <c r="P36" s="3">
        <v>2</v>
      </c>
      <c r="Q36" s="3">
        <v>3</v>
      </c>
      <c r="R36" s="3">
        <v>3</v>
      </c>
      <c r="S36" s="3">
        <v>0</v>
      </c>
      <c r="T36" s="3">
        <v>0</v>
      </c>
      <c r="U36" s="3">
        <v>3.2349999999999997E-2</v>
      </c>
      <c r="V36" s="3">
        <v>7.1650000000000005E-2</v>
      </c>
      <c r="W36" s="3">
        <v>0</v>
      </c>
      <c r="AA36" s="3" t="str">
        <f t="shared" si="1"/>
        <v>___</v>
      </c>
      <c r="AB36" s="3" t="str">
        <f t="shared" si="0"/>
        <v>____</v>
      </c>
    </row>
    <row r="37" spans="1:30" ht="12.5">
      <c r="A37" s="3">
        <v>36</v>
      </c>
      <c r="F37" s="3"/>
      <c r="H37" s="3"/>
      <c r="M37" s="3" t="s">
        <v>39</v>
      </c>
      <c r="N37" s="3">
        <v>57</v>
      </c>
      <c r="O37" s="3">
        <v>0</v>
      </c>
      <c r="P37" s="3">
        <v>3</v>
      </c>
      <c r="Q37" s="3">
        <v>4</v>
      </c>
      <c r="R37" s="3">
        <v>4</v>
      </c>
      <c r="S37" s="3">
        <v>0</v>
      </c>
      <c r="T37" s="3">
        <v>0</v>
      </c>
      <c r="U37" s="3">
        <v>9.4630000000000006E-2</v>
      </c>
      <c r="V37" s="3">
        <v>0.41012999999999999</v>
      </c>
      <c r="W37" s="3">
        <v>0</v>
      </c>
      <c r="AA37" s="3" t="str">
        <f t="shared" si="1"/>
        <v>___</v>
      </c>
      <c r="AB37" s="3" t="str">
        <f t="shared" si="0"/>
        <v>____</v>
      </c>
    </row>
    <row r="38" spans="1:30" ht="12.5">
      <c r="A38" s="3">
        <v>37</v>
      </c>
      <c r="B38" s="2">
        <v>45481</v>
      </c>
      <c r="C38" s="6">
        <v>239</v>
      </c>
      <c r="D38" s="6">
        <v>26</v>
      </c>
      <c r="E38" s="3" t="s">
        <v>33</v>
      </c>
      <c r="F38" s="3"/>
      <c r="G38" s="3" t="s">
        <v>43</v>
      </c>
      <c r="H38" s="3" t="s">
        <v>40</v>
      </c>
      <c r="I38" s="3">
        <v>1</v>
      </c>
      <c r="J38" s="4">
        <v>45336</v>
      </c>
      <c r="K38" s="4">
        <v>45335</v>
      </c>
      <c r="L38" s="3">
        <v>4</v>
      </c>
      <c r="M38" s="3" t="s">
        <v>36</v>
      </c>
      <c r="N38" s="3">
        <v>16</v>
      </c>
      <c r="O38" s="3">
        <v>5</v>
      </c>
      <c r="P38" s="3">
        <v>5</v>
      </c>
      <c r="S38" s="3">
        <v>0</v>
      </c>
      <c r="T38" s="3">
        <v>0</v>
      </c>
      <c r="U38" s="3">
        <v>1.379E-2</v>
      </c>
      <c r="V38" s="3">
        <v>2.3900000000000002E-3</v>
      </c>
      <c r="W38" s="3">
        <v>0</v>
      </c>
      <c r="AA38" s="3" t="str">
        <f t="shared" si="1"/>
        <v>239_26_T4-C-5_vm</v>
      </c>
      <c r="AB38" s="3" t="str">
        <f t="shared" si="0"/>
        <v>239_26_T4-C-5_vm_1</v>
      </c>
      <c r="AD38" s="3" t="s">
        <v>37</v>
      </c>
    </row>
    <row r="39" spans="1:30" ht="12.5">
      <c r="A39" s="3">
        <v>38</v>
      </c>
      <c r="F39" s="3"/>
      <c r="H39" s="3"/>
      <c r="M39" s="3" t="s">
        <v>38</v>
      </c>
      <c r="N39" s="3">
        <v>52</v>
      </c>
      <c r="O39" s="3">
        <v>0</v>
      </c>
      <c r="P39" s="3">
        <v>2</v>
      </c>
      <c r="Q39" s="3">
        <v>4</v>
      </c>
      <c r="R39" s="3">
        <v>4</v>
      </c>
      <c r="S39" s="3">
        <v>0</v>
      </c>
      <c r="T39" s="3">
        <v>0</v>
      </c>
      <c r="U39" s="3">
        <v>3.6150000000000002E-2</v>
      </c>
      <c r="V39" s="3">
        <v>7.9560000000000006E-2</v>
      </c>
      <c r="W39" s="3">
        <v>0</v>
      </c>
      <c r="AA39" s="3" t="str">
        <f t="shared" si="1"/>
        <v>___</v>
      </c>
      <c r="AB39" s="3" t="str">
        <f t="shared" si="0"/>
        <v>____</v>
      </c>
    </row>
    <row r="40" spans="1:30" ht="12.5">
      <c r="A40" s="3">
        <v>39</v>
      </c>
      <c r="F40" s="3"/>
      <c r="H40" s="3"/>
      <c r="M40" s="3" t="s">
        <v>39</v>
      </c>
      <c r="N40" s="3">
        <v>34</v>
      </c>
      <c r="O40" s="3">
        <v>0</v>
      </c>
      <c r="P40" s="3">
        <v>2</v>
      </c>
      <c r="Q40" s="3">
        <v>3</v>
      </c>
      <c r="R40" s="3">
        <v>3</v>
      </c>
      <c r="S40" s="3">
        <v>0</v>
      </c>
      <c r="T40" s="3">
        <v>0</v>
      </c>
      <c r="U40" s="3">
        <v>1.72E-2</v>
      </c>
      <c r="V40" s="3">
        <v>3.8339999999999999E-2</v>
      </c>
      <c r="W40" s="3">
        <v>0</v>
      </c>
      <c r="AA40" s="3" t="str">
        <f t="shared" si="1"/>
        <v>___</v>
      </c>
      <c r="AB40" s="3" t="str">
        <f t="shared" si="0"/>
        <v>____</v>
      </c>
    </row>
    <row r="41" spans="1:30" ht="12.5">
      <c r="A41" s="3">
        <v>40</v>
      </c>
      <c r="B41" s="2">
        <v>45481</v>
      </c>
      <c r="C41" s="3">
        <v>239</v>
      </c>
      <c r="D41" s="3">
        <v>26</v>
      </c>
      <c r="E41" s="3" t="s">
        <v>33</v>
      </c>
      <c r="F41" s="3"/>
      <c r="G41" s="3" t="s">
        <v>43</v>
      </c>
      <c r="H41" s="3" t="s">
        <v>40</v>
      </c>
      <c r="I41" s="3">
        <v>2</v>
      </c>
      <c r="J41" s="4">
        <v>45367</v>
      </c>
      <c r="K41" s="4">
        <v>45488</v>
      </c>
      <c r="L41" s="3">
        <v>5</v>
      </c>
      <c r="M41" s="3" t="s">
        <v>36</v>
      </c>
      <c r="N41" s="3">
        <v>34</v>
      </c>
      <c r="O41" s="3">
        <v>7</v>
      </c>
      <c r="P41" s="3">
        <v>7</v>
      </c>
      <c r="S41" s="3">
        <v>0</v>
      </c>
      <c r="T41" s="3">
        <v>1.504E-2</v>
      </c>
      <c r="U41" s="3">
        <v>7.4099999999999999E-3</v>
      </c>
      <c r="V41" s="3">
        <v>0</v>
      </c>
      <c r="W41" s="3">
        <v>0</v>
      </c>
      <c r="AA41" s="3" t="str">
        <f t="shared" si="1"/>
        <v>239_26_T4-C-5_vm</v>
      </c>
      <c r="AB41" s="3" t="str">
        <f t="shared" si="0"/>
        <v>239_26_T4-C-5_vm_2</v>
      </c>
      <c r="AD41" s="3" t="s">
        <v>37</v>
      </c>
    </row>
    <row r="42" spans="1:30" ht="12.5">
      <c r="A42" s="3">
        <v>41</v>
      </c>
      <c r="F42" s="3"/>
      <c r="H42" s="3"/>
      <c r="M42" s="3" t="s">
        <v>38</v>
      </c>
      <c r="N42" s="3">
        <v>64</v>
      </c>
      <c r="O42" s="3">
        <v>0</v>
      </c>
      <c r="P42" s="3">
        <v>9</v>
      </c>
      <c r="Q42" s="3">
        <v>2</v>
      </c>
      <c r="R42" s="3">
        <v>2</v>
      </c>
      <c r="S42" s="3">
        <v>0</v>
      </c>
      <c r="T42" s="3">
        <v>0</v>
      </c>
      <c r="U42" s="3">
        <v>1.072E-2</v>
      </c>
      <c r="V42" s="3">
        <v>2.8830000000000001E-2</v>
      </c>
      <c r="W42" s="3">
        <v>0</v>
      </c>
      <c r="AA42" s="3" t="str">
        <f t="shared" si="1"/>
        <v>___</v>
      </c>
      <c r="AB42" s="3" t="str">
        <f t="shared" si="0"/>
        <v>____</v>
      </c>
    </row>
    <row r="43" spans="1:30" ht="12.5">
      <c r="A43" s="3">
        <v>42</v>
      </c>
      <c r="F43" s="3"/>
      <c r="H43" s="3"/>
      <c r="M43" s="3" t="s">
        <v>39</v>
      </c>
      <c r="N43" s="3">
        <v>26</v>
      </c>
      <c r="O43" s="3">
        <v>0</v>
      </c>
      <c r="P43" s="3">
        <v>4</v>
      </c>
      <c r="Q43" s="3">
        <v>2</v>
      </c>
      <c r="R43" s="3">
        <v>2</v>
      </c>
      <c r="S43" s="3">
        <v>0</v>
      </c>
      <c r="T43" s="3">
        <v>0</v>
      </c>
      <c r="U43" s="3">
        <v>4.3209999999999998E-2</v>
      </c>
      <c r="V43" s="3">
        <v>6.3030000000000003E-2</v>
      </c>
      <c r="W43" s="3">
        <v>0</v>
      </c>
      <c r="AA43" s="3" t="str">
        <f t="shared" si="1"/>
        <v>___</v>
      </c>
      <c r="AB43" s="3" t="str">
        <f t="shared" si="0"/>
        <v>____</v>
      </c>
    </row>
    <row r="44" spans="1:30" ht="12.5">
      <c r="A44" s="3">
        <v>43</v>
      </c>
      <c r="B44" s="2">
        <v>45481</v>
      </c>
      <c r="C44" s="3">
        <v>239</v>
      </c>
      <c r="D44" s="3">
        <v>26</v>
      </c>
      <c r="E44" s="3" t="s">
        <v>33</v>
      </c>
      <c r="F44" s="3"/>
      <c r="G44" s="3" t="s">
        <v>43</v>
      </c>
      <c r="H44" s="3" t="s">
        <v>40</v>
      </c>
      <c r="I44" s="3">
        <v>3</v>
      </c>
      <c r="J44" s="4">
        <v>45396</v>
      </c>
      <c r="K44" s="4">
        <v>45490</v>
      </c>
      <c r="L44" s="3">
        <v>7</v>
      </c>
      <c r="M44" s="3" t="s">
        <v>36</v>
      </c>
      <c r="N44" s="3">
        <v>17</v>
      </c>
      <c r="O44" s="3">
        <v>5</v>
      </c>
      <c r="P44" s="3">
        <v>5</v>
      </c>
      <c r="S44" s="3">
        <v>0</v>
      </c>
      <c r="T44" s="3">
        <v>1.4619999999999999E-2</v>
      </c>
      <c r="U44" s="3">
        <v>3.3600000000000001E-3</v>
      </c>
      <c r="V44" s="3">
        <v>0</v>
      </c>
      <c r="W44" s="3">
        <v>0</v>
      </c>
      <c r="AA44" s="3" t="str">
        <f t="shared" si="1"/>
        <v>239_26_T4-C-5_vm</v>
      </c>
      <c r="AB44" s="3" t="str">
        <f t="shared" si="0"/>
        <v>239_26_T4-C-5_vm_3</v>
      </c>
      <c r="AD44" s="3" t="s">
        <v>37</v>
      </c>
    </row>
    <row r="45" spans="1:30" ht="12.5">
      <c r="A45" s="3">
        <v>44</v>
      </c>
      <c r="F45" s="3"/>
      <c r="H45" s="3"/>
      <c r="M45" s="3" t="s">
        <v>38</v>
      </c>
      <c r="N45" s="3">
        <v>23</v>
      </c>
      <c r="O45" s="3">
        <v>0</v>
      </c>
      <c r="P45" s="3">
        <v>3</v>
      </c>
      <c r="Q45" s="3">
        <v>1</v>
      </c>
      <c r="R45" s="3">
        <v>1</v>
      </c>
      <c r="S45" s="3">
        <v>0</v>
      </c>
      <c r="T45" s="3">
        <v>0</v>
      </c>
      <c r="U45" s="3">
        <v>6.77E-3</v>
      </c>
      <c r="V45" s="3">
        <v>7.7000000000000002E-3</v>
      </c>
      <c r="W45" s="3">
        <v>0</v>
      </c>
      <c r="AA45" s="3" t="str">
        <f t="shared" si="1"/>
        <v>___</v>
      </c>
      <c r="AB45" s="3" t="str">
        <f t="shared" si="0"/>
        <v>____</v>
      </c>
    </row>
    <row r="46" spans="1:30" ht="12.5">
      <c r="A46" s="3">
        <v>45</v>
      </c>
      <c r="F46" s="3"/>
      <c r="H46" s="3"/>
      <c r="M46" s="3" t="s">
        <v>39</v>
      </c>
      <c r="N46" s="3">
        <v>21</v>
      </c>
      <c r="O46" s="3">
        <v>0</v>
      </c>
      <c r="P46" s="3">
        <v>4</v>
      </c>
      <c r="Q46" s="3">
        <v>1</v>
      </c>
      <c r="R46" s="3">
        <v>1</v>
      </c>
      <c r="S46" s="3">
        <v>0</v>
      </c>
      <c r="T46" s="3">
        <v>0</v>
      </c>
      <c r="U46" s="3">
        <v>8.1300000000000001E-3</v>
      </c>
      <c r="V46" s="3">
        <v>1.857E-2</v>
      </c>
      <c r="W46" s="3">
        <v>0</v>
      </c>
      <c r="AA46" s="3" t="str">
        <f t="shared" si="1"/>
        <v>___</v>
      </c>
      <c r="AB46" s="3" t="str">
        <f t="shared" si="0"/>
        <v>____</v>
      </c>
    </row>
    <row r="47" spans="1:30" ht="12.5">
      <c r="A47" s="3">
        <v>46</v>
      </c>
      <c r="B47" s="2">
        <v>45481</v>
      </c>
      <c r="C47" s="6">
        <v>239</v>
      </c>
      <c r="D47" s="6">
        <v>46</v>
      </c>
      <c r="E47" s="3" t="s">
        <v>33</v>
      </c>
      <c r="F47" s="3"/>
      <c r="G47" s="3" t="s">
        <v>44</v>
      </c>
      <c r="H47" s="3" t="s">
        <v>40</v>
      </c>
      <c r="I47" s="3">
        <v>1</v>
      </c>
      <c r="J47" s="4">
        <v>45408</v>
      </c>
      <c r="K47" s="4">
        <v>45495</v>
      </c>
      <c r="L47" s="3">
        <v>5</v>
      </c>
      <c r="M47" s="3" t="s">
        <v>36</v>
      </c>
      <c r="N47" s="3">
        <v>42</v>
      </c>
      <c r="O47" s="3">
        <v>7</v>
      </c>
      <c r="P47" s="3">
        <v>7</v>
      </c>
      <c r="S47" s="3">
        <v>0</v>
      </c>
      <c r="T47" s="3">
        <v>3.6119999999999999E-2</v>
      </c>
      <c r="U47" s="3">
        <v>1.5599999999999999E-2</v>
      </c>
      <c r="V47" s="3">
        <v>0</v>
      </c>
      <c r="W47" s="3">
        <v>0</v>
      </c>
      <c r="AA47" s="3" t="str">
        <f t="shared" si="1"/>
        <v>239_46_T4-C-1_vm</v>
      </c>
      <c r="AB47" s="3" t="str">
        <f t="shared" si="0"/>
        <v>239_46_T4-C-1_vm_1</v>
      </c>
      <c r="AD47" s="3" t="s">
        <v>37</v>
      </c>
    </row>
    <row r="48" spans="1:30" ht="12.5">
      <c r="A48" s="3">
        <v>47</v>
      </c>
      <c r="F48" s="3"/>
      <c r="H48" s="3"/>
      <c r="M48" s="3" t="s">
        <v>38</v>
      </c>
      <c r="N48" s="3">
        <v>101</v>
      </c>
      <c r="O48" s="3">
        <v>0</v>
      </c>
      <c r="P48" s="3">
        <v>3</v>
      </c>
      <c r="Q48" s="3">
        <v>4</v>
      </c>
      <c r="R48" s="3">
        <v>4</v>
      </c>
      <c r="S48" s="3">
        <v>0</v>
      </c>
      <c r="T48" s="3">
        <v>0</v>
      </c>
      <c r="U48" s="3">
        <v>0.11255999999999999</v>
      </c>
      <c r="V48" s="3">
        <v>0.17782999999999999</v>
      </c>
      <c r="W48" s="3">
        <v>0</v>
      </c>
      <c r="AA48" s="3" t="str">
        <f t="shared" si="1"/>
        <v>___</v>
      </c>
      <c r="AB48" s="3" t="str">
        <f t="shared" si="0"/>
        <v>____</v>
      </c>
    </row>
    <row r="49" spans="1:30" ht="12.5">
      <c r="A49" s="3">
        <v>48</v>
      </c>
      <c r="F49" s="3"/>
      <c r="H49" s="3"/>
      <c r="M49" s="3" t="s">
        <v>39</v>
      </c>
      <c r="N49" s="3">
        <v>29</v>
      </c>
      <c r="O49" s="3">
        <v>0</v>
      </c>
      <c r="P49" s="3">
        <v>1</v>
      </c>
      <c r="S49" s="3">
        <v>0</v>
      </c>
      <c r="T49" s="3">
        <v>0</v>
      </c>
      <c r="U49" s="3">
        <v>4.5490000000000003E-2</v>
      </c>
      <c r="V49" s="3">
        <v>0</v>
      </c>
      <c r="W49" s="3">
        <v>0</v>
      </c>
      <c r="AA49" s="3" t="str">
        <f t="shared" si="1"/>
        <v>___</v>
      </c>
      <c r="AB49" s="3" t="str">
        <f t="shared" si="0"/>
        <v>____</v>
      </c>
    </row>
    <row r="50" spans="1:30" ht="12.5">
      <c r="A50" s="3">
        <v>49</v>
      </c>
      <c r="B50" s="2">
        <v>45481</v>
      </c>
      <c r="C50" s="3">
        <v>239</v>
      </c>
      <c r="D50" s="3">
        <v>46</v>
      </c>
      <c r="E50" s="3" t="s">
        <v>33</v>
      </c>
      <c r="F50" s="3"/>
      <c r="G50" s="3" t="s">
        <v>44</v>
      </c>
      <c r="H50" s="3" t="s">
        <v>40</v>
      </c>
      <c r="I50" s="3">
        <v>2</v>
      </c>
      <c r="J50" s="4">
        <v>45372</v>
      </c>
      <c r="K50" s="4">
        <v>45370</v>
      </c>
      <c r="L50" s="3">
        <v>4</v>
      </c>
      <c r="M50" s="3" t="s">
        <v>36</v>
      </c>
      <c r="N50" s="3">
        <v>51</v>
      </c>
      <c r="O50" s="3">
        <v>7</v>
      </c>
      <c r="P50" s="3">
        <v>7</v>
      </c>
      <c r="S50" s="3">
        <v>0</v>
      </c>
      <c r="T50" s="3">
        <v>7.0489999999999997E-2</v>
      </c>
      <c r="U50" s="3">
        <v>2.7310000000000001E-2</v>
      </c>
      <c r="V50" s="3">
        <v>0</v>
      </c>
      <c r="W50" s="3">
        <v>0</v>
      </c>
      <c r="AA50" s="3" t="str">
        <f t="shared" si="1"/>
        <v>239_46_T4-C-1_vm</v>
      </c>
      <c r="AB50" s="3" t="str">
        <f t="shared" si="0"/>
        <v>239_46_T4-C-1_vm_2</v>
      </c>
      <c r="AD50" s="3" t="s">
        <v>37</v>
      </c>
    </row>
    <row r="51" spans="1:30" ht="12.5">
      <c r="A51" s="3">
        <v>50</v>
      </c>
      <c r="F51" s="3"/>
      <c r="H51" s="3"/>
      <c r="M51" s="3" t="s">
        <v>38</v>
      </c>
      <c r="N51" s="3">
        <v>65</v>
      </c>
      <c r="O51" s="3">
        <v>0</v>
      </c>
      <c r="P51" s="3">
        <v>8</v>
      </c>
      <c r="Q51" s="3">
        <v>3</v>
      </c>
      <c r="R51" s="3">
        <v>3</v>
      </c>
      <c r="S51" s="3">
        <v>0</v>
      </c>
      <c r="T51" s="3">
        <v>0</v>
      </c>
      <c r="U51" s="3">
        <v>8.1850000000000006E-2</v>
      </c>
      <c r="V51" s="3">
        <v>0.20185</v>
      </c>
      <c r="W51" s="3">
        <v>0</v>
      </c>
      <c r="AA51" s="3" t="str">
        <f t="shared" si="1"/>
        <v>___</v>
      </c>
      <c r="AB51" s="3" t="str">
        <f t="shared" si="0"/>
        <v>____</v>
      </c>
    </row>
    <row r="52" spans="1:30" ht="12.5">
      <c r="A52" s="3">
        <v>51</v>
      </c>
      <c r="F52" s="3"/>
      <c r="H52" s="3"/>
      <c r="M52" s="3" t="s">
        <v>39</v>
      </c>
      <c r="N52" s="3">
        <v>49</v>
      </c>
      <c r="O52" s="3">
        <v>0</v>
      </c>
      <c r="P52" s="3">
        <v>5</v>
      </c>
      <c r="S52" s="3">
        <v>0</v>
      </c>
      <c r="T52" s="3">
        <v>0</v>
      </c>
      <c r="U52" s="3">
        <v>0.14079</v>
      </c>
      <c r="V52" s="3">
        <v>0</v>
      </c>
      <c r="W52" s="3">
        <v>0</v>
      </c>
      <c r="AA52" s="3" t="str">
        <f t="shared" si="1"/>
        <v>___</v>
      </c>
      <c r="AB52" s="3" t="str">
        <f t="shared" si="0"/>
        <v>____</v>
      </c>
    </row>
    <row r="53" spans="1:30" ht="12.5">
      <c r="A53" s="3">
        <v>52</v>
      </c>
      <c r="B53" s="2">
        <v>45481</v>
      </c>
      <c r="C53" s="3">
        <v>239</v>
      </c>
      <c r="D53" s="3">
        <v>46</v>
      </c>
      <c r="E53" s="3" t="s">
        <v>33</v>
      </c>
      <c r="F53" s="3"/>
      <c r="G53" s="3" t="s">
        <v>44</v>
      </c>
      <c r="H53" s="3" t="s">
        <v>40</v>
      </c>
      <c r="I53" s="3">
        <v>3</v>
      </c>
      <c r="J53" s="4">
        <v>45315</v>
      </c>
      <c r="K53" s="4">
        <v>45345</v>
      </c>
      <c r="L53" s="3">
        <v>4</v>
      </c>
      <c r="M53" s="3" t="s">
        <v>36</v>
      </c>
      <c r="N53" s="3">
        <v>51</v>
      </c>
      <c r="O53" s="3">
        <v>7</v>
      </c>
      <c r="P53" s="3">
        <v>7</v>
      </c>
      <c r="S53" s="3">
        <v>0</v>
      </c>
      <c r="T53" s="3">
        <v>4.4409999999999998E-2</v>
      </c>
      <c r="U53" s="3">
        <v>1.8919999999999999E-2</v>
      </c>
      <c r="V53" s="3">
        <v>0</v>
      </c>
      <c r="W53" s="3">
        <v>0</v>
      </c>
      <c r="AA53" s="3" t="str">
        <f t="shared" si="1"/>
        <v>239_46_T4-C-1_vm</v>
      </c>
      <c r="AB53" s="3" t="str">
        <f t="shared" si="0"/>
        <v>239_46_T4-C-1_vm_3</v>
      </c>
      <c r="AD53" s="3" t="s">
        <v>37</v>
      </c>
    </row>
    <row r="54" spans="1:30" ht="12.5">
      <c r="A54" s="3">
        <v>53</v>
      </c>
      <c r="F54" s="3"/>
      <c r="H54" s="3"/>
      <c r="M54" s="3" t="s">
        <v>38</v>
      </c>
      <c r="N54" s="3">
        <v>85</v>
      </c>
      <c r="O54" s="3">
        <v>0</v>
      </c>
      <c r="P54" s="3">
        <v>4</v>
      </c>
      <c r="Q54" s="3">
        <v>4</v>
      </c>
      <c r="R54" s="3">
        <v>4</v>
      </c>
      <c r="S54" s="3">
        <v>0</v>
      </c>
      <c r="T54" s="3">
        <v>0</v>
      </c>
      <c r="U54" s="3">
        <v>8.0619999999999997E-2</v>
      </c>
      <c r="V54" s="3">
        <v>0.12554000000000001</v>
      </c>
      <c r="W54" s="3">
        <v>0</v>
      </c>
      <c r="AA54" s="3" t="str">
        <f t="shared" si="1"/>
        <v>___</v>
      </c>
      <c r="AB54" s="3" t="str">
        <f t="shared" si="0"/>
        <v>____</v>
      </c>
    </row>
    <row r="55" spans="1:30" ht="12.5">
      <c r="A55" s="3">
        <v>54</v>
      </c>
      <c r="F55" s="3"/>
      <c r="H55" s="3"/>
      <c r="M55" s="3" t="s">
        <v>39</v>
      </c>
      <c r="N55" s="3">
        <v>67</v>
      </c>
      <c r="O55" s="3">
        <v>0</v>
      </c>
      <c r="P55" s="3">
        <v>5</v>
      </c>
      <c r="S55" s="3">
        <v>0</v>
      </c>
      <c r="T55" s="3">
        <v>0</v>
      </c>
      <c r="U55" s="3">
        <v>0.11536</v>
      </c>
      <c r="V55" s="3">
        <v>0</v>
      </c>
      <c r="W55" s="3">
        <v>0</v>
      </c>
      <c r="AA55" s="3" t="str">
        <f t="shared" si="1"/>
        <v>___</v>
      </c>
      <c r="AB55" s="3" t="str">
        <f t="shared" si="0"/>
        <v>____</v>
      </c>
    </row>
    <row r="56" spans="1:30" ht="12.5">
      <c r="A56" s="3">
        <v>55</v>
      </c>
      <c r="B56" s="2">
        <v>45481</v>
      </c>
      <c r="C56" s="6">
        <v>284</v>
      </c>
      <c r="D56" s="6">
        <v>13</v>
      </c>
      <c r="E56" s="3" t="s">
        <v>33</v>
      </c>
      <c r="F56" s="3"/>
      <c r="G56" s="3" t="s">
        <v>45</v>
      </c>
      <c r="H56" s="3" t="s">
        <v>35</v>
      </c>
      <c r="I56" s="3">
        <v>1</v>
      </c>
      <c r="J56" s="4">
        <v>45518</v>
      </c>
      <c r="K56" s="4">
        <v>45548</v>
      </c>
      <c r="L56" s="3">
        <v>3</v>
      </c>
      <c r="M56" s="3" t="s">
        <v>36</v>
      </c>
      <c r="N56" s="3">
        <v>31</v>
      </c>
      <c r="O56" s="3">
        <v>12</v>
      </c>
      <c r="P56" s="3">
        <v>13</v>
      </c>
      <c r="S56" s="3">
        <v>0</v>
      </c>
      <c r="T56" s="3">
        <v>7.1919999999999998E-2</v>
      </c>
      <c r="U56" s="3">
        <v>8.3199999999999993E-3</v>
      </c>
      <c r="V56" s="3">
        <v>0</v>
      </c>
      <c r="W56" s="3">
        <v>0</v>
      </c>
      <c r="AA56" s="3" t="str">
        <f t="shared" si="1"/>
        <v>284_13_T31-C-1_vv</v>
      </c>
      <c r="AB56" s="3" t="str">
        <f t="shared" si="0"/>
        <v>284_13_T31-C-1_vv_1</v>
      </c>
      <c r="AD56" s="3" t="s">
        <v>37</v>
      </c>
    </row>
    <row r="57" spans="1:30" ht="12.5">
      <c r="A57" s="3">
        <v>56</v>
      </c>
      <c r="F57" s="3"/>
      <c r="H57" s="3"/>
      <c r="M57" s="3" t="s">
        <v>38</v>
      </c>
      <c r="N57" s="3">
        <v>41</v>
      </c>
      <c r="O57" s="3">
        <v>10</v>
      </c>
      <c r="P57" s="3">
        <v>14</v>
      </c>
      <c r="S57" s="3">
        <v>0</v>
      </c>
      <c r="T57" s="3">
        <v>0.10556</v>
      </c>
      <c r="U57" s="3">
        <v>2.317E-2</v>
      </c>
      <c r="V57" s="3">
        <v>0</v>
      </c>
      <c r="W57" s="3">
        <v>0</v>
      </c>
      <c r="AA57" s="3" t="str">
        <f t="shared" si="1"/>
        <v>___</v>
      </c>
      <c r="AB57" s="3" t="str">
        <f t="shared" si="0"/>
        <v>____</v>
      </c>
    </row>
    <row r="58" spans="1:30" ht="12.5">
      <c r="A58" s="3">
        <v>57</v>
      </c>
      <c r="F58" s="3"/>
      <c r="H58" s="3"/>
      <c r="M58" s="3" t="s">
        <v>39</v>
      </c>
      <c r="N58" s="3">
        <v>30</v>
      </c>
      <c r="O58" s="3">
        <v>0</v>
      </c>
      <c r="P58" s="3">
        <v>5</v>
      </c>
      <c r="S58" s="3">
        <v>0</v>
      </c>
      <c r="T58" s="3">
        <v>0</v>
      </c>
      <c r="U58" s="3">
        <v>2.0330000000000001E-2</v>
      </c>
      <c r="V58" s="3">
        <v>0</v>
      </c>
      <c r="W58" s="3">
        <v>0</v>
      </c>
      <c r="AA58" s="3" t="str">
        <f t="shared" si="1"/>
        <v>___</v>
      </c>
      <c r="AB58" s="3" t="str">
        <f t="shared" si="0"/>
        <v>____</v>
      </c>
    </row>
    <row r="59" spans="1:30" ht="12.5">
      <c r="A59" s="3">
        <v>58</v>
      </c>
      <c r="B59" s="2">
        <v>45481</v>
      </c>
      <c r="C59" s="3">
        <v>284</v>
      </c>
      <c r="D59" s="3">
        <v>13</v>
      </c>
      <c r="E59" s="3" t="s">
        <v>33</v>
      </c>
      <c r="F59" s="3"/>
      <c r="G59" s="3" t="s">
        <v>45</v>
      </c>
      <c r="H59" s="3" t="s">
        <v>35</v>
      </c>
      <c r="I59" s="3">
        <v>2</v>
      </c>
      <c r="J59" s="4">
        <v>45462</v>
      </c>
      <c r="K59" s="4">
        <v>45307</v>
      </c>
      <c r="L59" s="3">
        <v>3</v>
      </c>
      <c r="M59" s="3" t="s">
        <v>36</v>
      </c>
      <c r="N59" s="3">
        <v>60</v>
      </c>
      <c r="O59" s="3">
        <v>13</v>
      </c>
      <c r="P59" s="3">
        <v>14</v>
      </c>
      <c r="S59" s="3">
        <v>0</v>
      </c>
      <c r="T59" s="3">
        <v>0.16644999999999999</v>
      </c>
      <c r="U59" s="3">
        <v>2.4060000000000002E-2</v>
      </c>
      <c r="V59" s="3">
        <v>0</v>
      </c>
      <c r="W59" s="3">
        <v>0</v>
      </c>
      <c r="AA59" s="3" t="str">
        <f t="shared" si="1"/>
        <v>284_13_T31-C-1_vv</v>
      </c>
      <c r="AB59" s="3" t="str">
        <f t="shared" si="0"/>
        <v>284_13_T31-C-1_vv_2</v>
      </c>
      <c r="AD59" s="3" t="s">
        <v>37</v>
      </c>
    </row>
    <row r="60" spans="1:30" ht="12.5">
      <c r="A60" s="3">
        <v>59</v>
      </c>
      <c r="F60" s="3"/>
      <c r="H60" s="3"/>
      <c r="M60" s="3" t="s">
        <v>38</v>
      </c>
      <c r="N60" s="3">
        <v>50</v>
      </c>
      <c r="O60" s="3">
        <v>8</v>
      </c>
      <c r="P60" s="3">
        <v>13</v>
      </c>
      <c r="S60" s="3">
        <v>0</v>
      </c>
      <c r="T60" s="3">
        <v>0.11198</v>
      </c>
      <c r="U60" s="3">
        <v>4.2419999999999999E-2</v>
      </c>
      <c r="V60" s="3">
        <v>0</v>
      </c>
      <c r="W60" s="3">
        <v>0</v>
      </c>
      <c r="AA60" s="3" t="str">
        <f t="shared" si="1"/>
        <v>___</v>
      </c>
      <c r="AB60" s="3" t="str">
        <f t="shared" si="0"/>
        <v>____</v>
      </c>
    </row>
    <row r="61" spans="1:30" ht="12.5">
      <c r="A61" s="3">
        <v>60</v>
      </c>
      <c r="F61" s="3"/>
      <c r="H61" s="3"/>
      <c r="M61" s="3" t="s">
        <v>39</v>
      </c>
      <c r="N61" s="3">
        <v>53</v>
      </c>
      <c r="O61" s="3">
        <v>0</v>
      </c>
      <c r="P61" s="3">
        <v>10</v>
      </c>
      <c r="S61" s="3">
        <v>0</v>
      </c>
      <c r="T61" s="3">
        <v>0</v>
      </c>
      <c r="U61" s="3">
        <v>5.8500000000000003E-2</v>
      </c>
      <c r="V61" s="3">
        <v>0</v>
      </c>
      <c r="W61" s="3">
        <v>0</v>
      </c>
      <c r="AA61" s="3" t="str">
        <f t="shared" si="1"/>
        <v>___</v>
      </c>
      <c r="AB61" s="3" t="str">
        <f t="shared" si="0"/>
        <v>____</v>
      </c>
    </row>
    <row r="62" spans="1:30" ht="12.5">
      <c r="A62" s="3">
        <v>61</v>
      </c>
      <c r="B62" s="2">
        <v>45481</v>
      </c>
      <c r="C62" s="3">
        <v>284</v>
      </c>
      <c r="D62" s="3">
        <v>13</v>
      </c>
      <c r="E62" s="3" t="s">
        <v>33</v>
      </c>
      <c r="F62" s="3"/>
      <c r="G62" s="3" t="s">
        <v>45</v>
      </c>
      <c r="H62" s="3" t="s">
        <v>35</v>
      </c>
      <c r="I62" s="3">
        <v>3</v>
      </c>
      <c r="J62" s="4">
        <v>45463</v>
      </c>
      <c r="K62" s="4">
        <v>45307</v>
      </c>
      <c r="L62" s="3">
        <v>5</v>
      </c>
      <c r="M62" s="3" t="s">
        <v>36</v>
      </c>
      <c r="N62" s="3">
        <v>39</v>
      </c>
      <c r="O62" s="3">
        <v>11</v>
      </c>
      <c r="P62" s="3">
        <v>12</v>
      </c>
      <c r="S62" s="3">
        <v>0</v>
      </c>
      <c r="T62" s="3">
        <v>8.4500000000000006E-2</v>
      </c>
      <c r="U62" s="3">
        <v>1.183E-2</v>
      </c>
      <c r="V62" s="3">
        <v>0</v>
      </c>
      <c r="W62" s="3">
        <v>0</v>
      </c>
      <c r="AA62" s="3" t="str">
        <f t="shared" si="1"/>
        <v>284_13_T31-C-1_vv</v>
      </c>
      <c r="AB62" s="3" t="str">
        <f t="shared" si="0"/>
        <v>284_13_T31-C-1_vv_3</v>
      </c>
      <c r="AD62" s="3" t="s">
        <v>37</v>
      </c>
    </row>
    <row r="63" spans="1:30" ht="12.5">
      <c r="A63" s="3">
        <v>62</v>
      </c>
      <c r="F63" s="3"/>
      <c r="H63" s="3"/>
      <c r="M63" s="3" t="s">
        <v>38</v>
      </c>
      <c r="N63" s="3">
        <v>38</v>
      </c>
      <c r="O63" s="3">
        <v>9</v>
      </c>
      <c r="P63" s="3">
        <v>11</v>
      </c>
      <c r="S63" s="3">
        <v>0</v>
      </c>
      <c r="T63" s="3">
        <v>9.4350000000000003E-2</v>
      </c>
      <c r="U63" s="3">
        <v>1.8769999999999998E-2</v>
      </c>
      <c r="V63" s="3">
        <v>0</v>
      </c>
      <c r="W63" s="3">
        <v>0</v>
      </c>
      <c r="AA63" s="3" t="str">
        <f t="shared" si="1"/>
        <v>___</v>
      </c>
      <c r="AB63" s="3" t="str">
        <f t="shared" si="0"/>
        <v>____</v>
      </c>
    </row>
    <row r="64" spans="1:30" ht="12.5">
      <c r="A64" s="3">
        <v>63</v>
      </c>
      <c r="F64" s="3"/>
      <c r="H64" s="3"/>
      <c r="M64" s="3" t="s">
        <v>39</v>
      </c>
      <c r="N64" s="3">
        <v>21</v>
      </c>
      <c r="O64" s="3">
        <v>8</v>
      </c>
      <c r="P64" s="3">
        <v>8</v>
      </c>
      <c r="S64" s="3">
        <v>0</v>
      </c>
      <c r="T64" s="3">
        <v>5.2440000000000001E-2</v>
      </c>
      <c r="U64" s="3">
        <v>1.132E-2</v>
      </c>
      <c r="V64" s="3">
        <v>0</v>
      </c>
      <c r="W64" s="3">
        <v>0</v>
      </c>
      <c r="AA64" s="3" t="str">
        <f t="shared" si="1"/>
        <v>___</v>
      </c>
      <c r="AB64" s="3" t="str">
        <f t="shared" si="0"/>
        <v>____</v>
      </c>
    </row>
    <row r="65" spans="1:30" ht="12.5">
      <c r="A65" s="3">
        <v>64</v>
      </c>
      <c r="B65" s="2">
        <v>45481</v>
      </c>
      <c r="C65" s="3">
        <v>284</v>
      </c>
      <c r="D65" s="3">
        <v>13</v>
      </c>
      <c r="E65" s="3" t="s">
        <v>33</v>
      </c>
      <c r="F65" s="3"/>
      <c r="G65" s="3" t="s">
        <v>45</v>
      </c>
      <c r="H65" s="3" t="s">
        <v>40</v>
      </c>
      <c r="I65" s="3">
        <v>1</v>
      </c>
      <c r="J65" s="3">
        <v>16</v>
      </c>
      <c r="K65" s="4">
        <v>45550</v>
      </c>
      <c r="L65" s="3">
        <v>4</v>
      </c>
      <c r="M65" s="3" t="s">
        <v>36</v>
      </c>
      <c r="N65" s="3">
        <v>66</v>
      </c>
      <c r="O65" s="3">
        <v>9</v>
      </c>
      <c r="P65" s="3">
        <v>9</v>
      </c>
      <c r="S65" s="3">
        <v>0</v>
      </c>
      <c r="T65" s="3">
        <v>4.9869999999999998E-2</v>
      </c>
      <c r="U65" s="3">
        <v>4.616E-2</v>
      </c>
      <c r="V65" s="3">
        <v>0</v>
      </c>
      <c r="W65" s="3">
        <v>0</v>
      </c>
      <c r="AA65" s="3" t="str">
        <f t="shared" si="1"/>
        <v>284_13_T31-C-1_vm</v>
      </c>
      <c r="AB65" s="3" t="str">
        <f t="shared" si="0"/>
        <v>284_13_T31-C-1_vm_1</v>
      </c>
      <c r="AD65" s="3" t="s">
        <v>37</v>
      </c>
    </row>
    <row r="66" spans="1:30" ht="12.5">
      <c r="A66" s="3">
        <v>65</v>
      </c>
      <c r="F66" s="3"/>
      <c r="H66" s="3"/>
      <c r="M66" s="3" t="s">
        <v>38</v>
      </c>
      <c r="N66" s="3">
        <v>58</v>
      </c>
      <c r="O66" s="3">
        <v>0</v>
      </c>
      <c r="P66" s="3">
        <v>2</v>
      </c>
      <c r="Q66" s="3">
        <v>4</v>
      </c>
      <c r="R66" s="3">
        <v>4</v>
      </c>
      <c r="S66" s="3">
        <v>0</v>
      </c>
      <c r="T66" s="3">
        <v>0</v>
      </c>
      <c r="U66" s="3">
        <v>0.12459000000000001</v>
      </c>
      <c r="V66" s="3">
        <v>0.58694999999999997</v>
      </c>
      <c r="W66" s="3">
        <v>0</v>
      </c>
      <c r="AA66" s="3" t="str">
        <f t="shared" si="1"/>
        <v>___</v>
      </c>
      <c r="AB66" s="3" t="str">
        <f t="shared" si="0"/>
        <v>____</v>
      </c>
    </row>
    <row r="67" spans="1:30" ht="12.5">
      <c r="A67" s="3">
        <v>66</v>
      </c>
      <c r="F67" s="3"/>
      <c r="H67" s="3"/>
      <c r="M67" s="3" t="s">
        <v>39</v>
      </c>
      <c r="N67" s="3">
        <v>63</v>
      </c>
      <c r="O67" s="3">
        <v>0</v>
      </c>
      <c r="P67" s="3">
        <v>3</v>
      </c>
      <c r="Q67" s="3">
        <v>3</v>
      </c>
      <c r="R67" s="3">
        <v>3</v>
      </c>
      <c r="S67" s="3">
        <v>0</v>
      </c>
      <c r="T67" s="3">
        <v>0</v>
      </c>
      <c r="U67" s="3">
        <v>0.10759000000000001</v>
      </c>
      <c r="V67" s="3">
        <v>0.21304000000000001</v>
      </c>
      <c r="W67" s="3">
        <v>0</v>
      </c>
      <c r="AA67" s="3" t="str">
        <f t="shared" si="1"/>
        <v>___</v>
      </c>
      <c r="AB67" s="3" t="str">
        <f t="shared" si="0"/>
        <v>____</v>
      </c>
    </row>
    <row r="68" spans="1:30" ht="12.5">
      <c r="A68" s="3">
        <v>67</v>
      </c>
      <c r="B68" s="2">
        <v>45481</v>
      </c>
      <c r="C68" s="3">
        <v>284</v>
      </c>
      <c r="D68" s="3">
        <v>13</v>
      </c>
      <c r="E68" s="3" t="s">
        <v>33</v>
      </c>
      <c r="F68" s="3"/>
      <c r="G68" s="3" t="s">
        <v>45</v>
      </c>
      <c r="H68" s="3" t="s">
        <v>40</v>
      </c>
      <c r="I68" s="3">
        <v>2</v>
      </c>
      <c r="J68" s="3">
        <v>19</v>
      </c>
      <c r="K68" s="4">
        <v>45523</v>
      </c>
      <c r="L68" s="3">
        <v>5</v>
      </c>
      <c r="M68" s="3" t="s">
        <v>36</v>
      </c>
      <c r="N68" s="3">
        <v>28</v>
      </c>
      <c r="O68" s="3">
        <v>5</v>
      </c>
      <c r="P68" s="3">
        <v>5</v>
      </c>
      <c r="S68" s="3">
        <v>1</v>
      </c>
      <c r="T68" s="3">
        <v>3.3790000000000001E-2</v>
      </c>
      <c r="U68" s="3">
        <v>1.112E-2</v>
      </c>
      <c r="V68" s="3">
        <v>0</v>
      </c>
      <c r="W68" s="3">
        <v>1.5389999999999999E-2</v>
      </c>
      <c r="AA68" s="3" t="str">
        <f t="shared" si="1"/>
        <v>284_13_T31-C-1_vm</v>
      </c>
      <c r="AB68" s="3" t="str">
        <f t="shared" si="0"/>
        <v>284_13_T31-C-1_vm_2</v>
      </c>
      <c r="AD68" s="3" t="s">
        <v>37</v>
      </c>
    </row>
    <row r="69" spans="1:30" ht="12.5">
      <c r="A69" s="3">
        <v>68</v>
      </c>
      <c r="F69" s="3"/>
      <c r="H69" s="3"/>
      <c r="M69" s="3" t="s">
        <v>38</v>
      </c>
      <c r="N69" s="3">
        <v>63</v>
      </c>
      <c r="O69" s="3">
        <v>0</v>
      </c>
      <c r="P69" s="3">
        <v>7</v>
      </c>
      <c r="Q69" s="3">
        <v>4</v>
      </c>
      <c r="R69" s="3">
        <v>4</v>
      </c>
      <c r="S69" s="3">
        <v>0</v>
      </c>
      <c r="T69" s="3">
        <v>0</v>
      </c>
      <c r="U69" s="3">
        <v>6.1800000000000001E-2</v>
      </c>
      <c r="V69" s="3">
        <v>0.18029999999999999</v>
      </c>
      <c r="W69" s="3">
        <v>0</v>
      </c>
      <c r="AA69" s="3" t="str">
        <f t="shared" si="1"/>
        <v>___</v>
      </c>
      <c r="AB69" s="3" t="str">
        <f t="shared" si="0"/>
        <v>____</v>
      </c>
    </row>
    <row r="70" spans="1:30" ht="12.5">
      <c r="A70" s="3">
        <v>69</v>
      </c>
      <c r="F70" s="3"/>
      <c r="H70" s="3"/>
      <c r="M70" s="3" t="s">
        <v>39</v>
      </c>
      <c r="N70" s="3">
        <v>70</v>
      </c>
      <c r="O70" s="3">
        <v>0</v>
      </c>
      <c r="P70" s="3">
        <v>4</v>
      </c>
      <c r="Q70" s="3">
        <v>3</v>
      </c>
      <c r="R70" s="3">
        <v>3</v>
      </c>
      <c r="S70" s="3">
        <v>0</v>
      </c>
      <c r="T70" s="3">
        <v>0</v>
      </c>
      <c r="U70" s="3">
        <v>0.16697000000000001</v>
      </c>
      <c r="V70" s="3">
        <v>0.37533</v>
      </c>
      <c r="W70" s="3">
        <v>0</v>
      </c>
      <c r="AA70" s="3" t="str">
        <f t="shared" si="1"/>
        <v>___</v>
      </c>
      <c r="AB70" s="3" t="str">
        <f t="shared" si="0"/>
        <v>____</v>
      </c>
    </row>
    <row r="71" spans="1:30" ht="12.5">
      <c r="A71" s="3">
        <v>70</v>
      </c>
      <c r="B71" s="2">
        <v>45481</v>
      </c>
      <c r="C71" s="3">
        <v>284</v>
      </c>
      <c r="D71" s="3">
        <v>13</v>
      </c>
      <c r="E71" s="3" t="s">
        <v>33</v>
      </c>
      <c r="F71" s="3"/>
      <c r="G71" s="3" t="s">
        <v>45</v>
      </c>
      <c r="H71" s="3" t="s">
        <v>40</v>
      </c>
      <c r="I71" s="3">
        <v>3</v>
      </c>
      <c r="J71" s="3">
        <v>24</v>
      </c>
      <c r="K71" s="3">
        <v>26</v>
      </c>
      <c r="L71" s="3">
        <v>4</v>
      </c>
      <c r="M71" s="3" t="s">
        <v>36</v>
      </c>
      <c r="N71" s="3">
        <v>93</v>
      </c>
      <c r="O71" s="3">
        <v>20</v>
      </c>
      <c r="P71" s="3">
        <v>10</v>
      </c>
      <c r="S71" s="3">
        <v>0</v>
      </c>
      <c r="T71" s="3">
        <v>8.813E-2</v>
      </c>
      <c r="U71" s="3">
        <v>8.7150000000000005E-2</v>
      </c>
      <c r="V71" s="3">
        <v>0</v>
      </c>
      <c r="W71" s="3">
        <v>0</v>
      </c>
      <c r="AA71" s="3" t="str">
        <f t="shared" si="1"/>
        <v>284_13_T31-C-1_vm</v>
      </c>
      <c r="AB71" s="3" t="str">
        <f t="shared" si="0"/>
        <v>284_13_T31-C-1_vm_3</v>
      </c>
      <c r="AD71" s="3" t="s">
        <v>37</v>
      </c>
    </row>
    <row r="72" spans="1:30" ht="12.5">
      <c r="A72" s="3">
        <v>71</v>
      </c>
      <c r="F72" s="3"/>
      <c r="H72" s="3"/>
      <c r="M72" s="3" t="s">
        <v>38</v>
      </c>
      <c r="N72" s="3">
        <v>35</v>
      </c>
      <c r="O72" s="3">
        <v>0</v>
      </c>
      <c r="P72" s="3">
        <v>4</v>
      </c>
      <c r="Q72" s="3">
        <v>1</v>
      </c>
      <c r="R72" s="3">
        <v>1</v>
      </c>
      <c r="S72" s="3">
        <v>0</v>
      </c>
      <c r="T72" s="3">
        <v>0</v>
      </c>
      <c r="U72" s="3">
        <v>5.2310000000000002E-2</v>
      </c>
      <c r="V72" s="3">
        <v>0.13766</v>
      </c>
      <c r="W72" s="3">
        <v>0</v>
      </c>
      <c r="AA72" s="3" t="str">
        <f t="shared" si="1"/>
        <v>___</v>
      </c>
      <c r="AB72" s="3" t="str">
        <f t="shared" si="0"/>
        <v>____</v>
      </c>
    </row>
    <row r="73" spans="1:30" ht="12.5">
      <c r="A73" s="3">
        <v>72</v>
      </c>
      <c r="F73" s="3"/>
      <c r="H73" s="3"/>
      <c r="M73" s="3" t="s">
        <v>39</v>
      </c>
      <c r="N73" s="3">
        <v>51</v>
      </c>
      <c r="O73" s="3">
        <v>0</v>
      </c>
      <c r="P73" s="3">
        <v>5</v>
      </c>
      <c r="Q73" s="3">
        <v>1</v>
      </c>
      <c r="R73" s="3">
        <v>1</v>
      </c>
      <c r="S73" s="3">
        <v>0</v>
      </c>
      <c r="T73" s="3">
        <v>0</v>
      </c>
      <c r="U73" s="3">
        <v>0.17316000000000001</v>
      </c>
      <c r="V73" s="3">
        <v>0.41359000000000001</v>
      </c>
      <c r="W73" s="3">
        <v>0</v>
      </c>
      <c r="AA73" s="3" t="str">
        <f t="shared" si="1"/>
        <v>___</v>
      </c>
      <c r="AB73" s="3" t="str">
        <f t="shared" si="0"/>
        <v>____</v>
      </c>
    </row>
    <row r="74" spans="1:30" ht="12.5">
      <c r="A74" s="3">
        <v>73</v>
      </c>
      <c r="B74" s="2">
        <v>45481</v>
      </c>
      <c r="C74" s="6">
        <v>284</v>
      </c>
      <c r="D74" s="6">
        <v>51</v>
      </c>
      <c r="E74" s="3" t="s">
        <v>33</v>
      </c>
      <c r="F74" s="3"/>
      <c r="G74" s="3" t="s">
        <v>46</v>
      </c>
      <c r="H74" s="3" t="s">
        <v>35</v>
      </c>
      <c r="I74" s="3">
        <v>1</v>
      </c>
      <c r="J74" s="4">
        <v>45542</v>
      </c>
      <c r="K74" s="4">
        <v>45390</v>
      </c>
      <c r="L74" s="3">
        <v>3</v>
      </c>
      <c r="M74" s="3" t="s">
        <v>36</v>
      </c>
      <c r="N74" s="3">
        <v>8</v>
      </c>
      <c r="O74" s="3">
        <v>10</v>
      </c>
      <c r="P74" s="3">
        <v>11</v>
      </c>
      <c r="S74" s="3">
        <v>0</v>
      </c>
      <c r="T74" s="3">
        <v>6.8610000000000004E-2</v>
      </c>
      <c r="U74" s="3">
        <v>4.8700000000000002E-3</v>
      </c>
      <c r="V74" s="3">
        <v>0</v>
      </c>
      <c r="W74" s="3">
        <v>0</v>
      </c>
      <c r="AA74" s="3" t="str">
        <f t="shared" si="1"/>
        <v>284_51_T31-C-5_vv</v>
      </c>
      <c r="AB74" s="3" t="str">
        <f t="shared" si="0"/>
        <v>284_51_T31-C-5_vv_1</v>
      </c>
      <c r="AD74" s="3" t="s">
        <v>37</v>
      </c>
    </row>
    <row r="75" spans="1:30" ht="12.5">
      <c r="A75" s="3">
        <v>74</v>
      </c>
      <c r="F75" s="3"/>
      <c r="H75" s="3"/>
      <c r="M75" s="3" t="s">
        <v>38</v>
      </c>
      <c r="N75" s="3">
        <v>24</v>
      </c>
      <c r="O75" s="3">
        <v>11</v>
      </c>
      <c r="P75" s="3">
        <v>13</v>
      </c>
      <c r="S75" s="3">
        <v>0</v>
      </c>
      <c r="T75" s="3">
        <v>0.1464</v>
      </c>
      <c r="U75" s="3">
        <v>1.2460000000000001E-2</v>
      </c>
      <c r="V75" s="3">
        <v>0</v>
      </c>
      <c r="W75" s="3">
        <v>0</v>
      </c>
      <c r="AA75" s="3" t="str">
        <f t="shared" si="1"/>
        <v>___</v>
      </c>
      <c r="AB75" s="3" t="str">
        <f t="shared" si="0"/>
        <v>____</v>
      </c>
    </row>
    <row r="76" spans="1:30" ht="12.5">
      <c r="A76" s="3">
        <v>75</v>
      </c>
      <c r="F76" s="3"/>
      <c r="H76" s="3"/>
      <c r="M76" s="3" t="s">
        <v>39</v>
      </c>
      <c r="N76" s="3">
        <v>23</v>
      </c>
      <c r="O76" s="3">
        <v>10</v>
      </c>
      <c r="P76" s="3">
        <v>10</v>
      </c>
      <c r="S76" s="3">
        <v>0</v>
      </c>
      <c r="T76" s="3">
        <v>0.13083</v>
      </c>
      <c r="U76" s="3">
        <v>1.8610000000000002E-2</v>
      </c>
      <c r="V76" s="3">
        <v>0</v>
      </c>
      <c r="W76" s="3">
        <v>0</v>
      </c>
      <c r="AA76" s="3" t="str">
        <f t="shared" si="1"/>
        <v>___</v>
      </c>
      <c r="AB76" s="3" t="str">
        <f t="shared" si="0"/>
        <v>____</v>
      </c>
    </row>
    <row r="77" spans="1:30" ht="12.5">
      <c r="A77" s="3">
        <v>76</v>
      </c>
      <c r="B77" s="2">
        <v>45481</v>
      </c>
      <c r="C77" s="3">
        <v>284</v>
      </c>
      <c r="D77" s="3">
        <v>51</v>
      </c>
      <c r="E77" s="3" t="s">
        <v>33</v>
      </c>
      <c r="F77" s="3"/>
      <c r="G77" s="3" t="s">
        <v>46</v>
      </c>
      <c r="H77" s="3" t="s">
        <v>35</v>
      </c>
      <c r="I77" s="3">
        <v>2</v>
      </c>
      <c r="J77" s="4">
        <v>45482</v>
      </c>
      <c r="K77" s="4">
        <v>45299</v>
      </c>
      <c r="L77" s="3">
        <v>3</v>
      </c>
      <c r="M77" s="3" t="s">
        <v>36</v>
      </c>
      <c r="N77" s="3">
        <v>17</v>
      </c>
      <c r="O77" s="3">
        <v>12</v>
      </c>
      <c r="P77" s="3">
        <v>12</v>
      </c>
      <c r="S77" s="3">
        <v>0</v>
      </c>
      <c r="T77" s="3">
        <v>7.4759999999999993E-2</v>
      </c>
      <c r="U77" s="3">
        <v>5.3499999999999997E-3</v>
      </c>
      <c r="V77" s="3">
        <v>0</v>
      </c>
      <c r="W77" s="3">
        <v>0</v>
      </c>
      <c r="AA77" s="3" t="str">
        <f t="shared" si="1"/>
        <v>284_51_T31-C-5_vv</v>
      </c>
      <c r="AB77" s="3" t="str">
        <f t="shared" si="0"/>
        <v>284_51_T31-C-5_vv_2</v>
      </c>
      <c r="AD77" s="3" t="s">
        <v>37</v>
      </c>
    </row>
    <row r="78" spans="1:30" ht="12.5">
      <c r="A78" s="3">
        <v>77</v>
      </c>
      <c r="F78" s="3"/>
      <c r="H78" s="3"/>
      <c r="M78" s="3" t="s">
        <v>38</v>
      </c>
      <c r="N78" s="3">
        <v>41</v>
      </c>
      <c r="O78" s="3">
        <v>10</v>
      </c>
      <c r="P78" s="3">
        <v>13</v>
      </c>
      <c r="S78" s="3">
        <v>0</v>
      </c>
      <c r="T78" s="3">
        <v>7.1360000000000007E-2</v>
      </c>
      <c r="U78" s="3">
        <v>2.683E-2</v>
      </c>
      <c r="V78" s="3">
        <v>0</v>
      </c>
      <c r="AA78" s="3" t="str">
        <f t="shared" si="1"/>
        <v>___</v>
      </c>
      <c r="AB78" s="3" t="str">
        <f t="shared" si="0"/>
        <v>____</v>
      </c>
    </row>
    <row r="79" spans="1:30" ht="12.5">
      <c r="A79" s="3">
        <v>78</v>
      </c>
      <c r="F79" s="3"/>
      <c r="H79" s="3"/>
      <c r="M79" s="3" t="s">
        <v>39</v>
      </c>
      <c r="N79" s="3">
        <v>21</v>
      </c>
      <c r="O79" s="3">
        <v>0</v>
      </c>
      <c r="P79" s="3">
        <v>5</v>
      </c>
      <c r="S79" s="3">
        <v>0</v>
      </c>
      <c r="T79" s="3">
        <v>0</v>
      </c>
      <c r="U79" s="3">
        <v>1.231E-2</v>
      </c>
      <c r="V79" s="3">
        <v>0</v>
      </c>
      <c r="W79" s="3">
        <v>0</v>
      </c>
      <c r="AA79" s="3" t="str">
        <f t="shared" si="1"/>
        <v>___</v>
      </c>
      <c r="AB79" s="3" t="str">
        <f t="shared" si="0"/>
        <v>____</v>
      </c>
    </row>
    <row r="80" spans="1:30" ht="12.5">
      <c r="A80" s="3">
        <v>79</v>
      </c>
      <c r="B80" s="2">
        <v>45481</v>
      </c>
      <c r="C80" s="3">
        <v>284</v>
      </c>
      <c r="D80" s="3">
        <v>51</v>
      </c>
      <c r="E80" s="3" t="s">
        <v>33</v>
      </c>
      <c r="F80" s="3"/>
      <c r="G80" s="3" t="s">
        <v>46</v>
      </c>
      <c r="H80" s="3" t="s">
        <v>35</v>
      </c>
      <c r="I80" s="3">
        <v>3</v>
      </c>
      <c r="J80" s="3" t="s">
        <v>47</v>
      </c>
      <c r="K80" s="3" t="s">
        <v>47</v>
      </c>
      <c r="L80" s="3" t="s">
        <v>47</v>
      </c>
      <c r="M80" s="3" t="s">
        <v>36</v>
      </c>
      <c r="N80" s="3" t="s">
        <v>47</v>
      </c>
      <c r="O80" s="3" t="s">
        <v>47</v>
      </c>
      <c r="P80" s="3" t="s">
        <v>47</v>
      </c>
      <c r="Q80" s="3" t="s">
        <v>47</v>
      </c>
      <c r="R80" s="7" t="s">
        <v>47</v>
      </c>
      <c r="S80" s="3" t="s">
        <v>47</v>
      </c>
      <c r="T80" s="7" t="s">
        <v>47</v>
      </c>
      <c r="U80" s="7" t="s">
        <v>47</v>
      </c>
      <c r="V80" s="7" t="s">
        <v>47</v>
      </c>
      <c r="W80" s="7" t="s">
        <v>47</v>
      </c>
      <c r="X80" s="3"/>
      <c r="Y80" s="3" t="s">
        <v>48</v>
      </c>
      <c r="AA80" s="3" t="str">
        <f t="shared" si="1"/>
        <v>284_51_T31-C-5_vv</v>
      </c>
      <c r="AB80" s="3" t="str">
        <f t="shared" si="0"/>
        <v>284_51_T31-C-5_vv_3</v>
      </c>
      <c r="AD80" s="3" t="s">
        <v>37</v>
      </c>
    </row>
    <row r="81" spans="1:30" ht="12.5">
      <c r="A81" s="3">
        <v>80</v>
      </c>
      <c r="F81" s="3"/>
      <c r="H81" s="3"/>
      <c r="M81" s="3" t="s">
        <v>38</v>
      </c>
      <c r="N81" s="3" t="s">
        <v>47</v>
      </c>
      <c r="O81" s="3" t="s">
        <v>47</v>
      </c>
      <c r="P81" s="3" t="s">
        <v>47</v>
      </c>
      <c r="Q81" s="7" t="s">
        <v>47</v>
      </c>
      <c r="R81" s="7" t="s">
        <v>47</v>
      </c>
      <c r="S81" s="7" t="s">
        <v>47</v>
      </c>
      <c r="T81" s="7" t="s">
        <v>47</v>
      </c>
      <c r="U81" s="7" t="s">
        <v>47</v>
      </c>
      <c r="V81" s="3" t="s">
        <v>47</v>
      </c>
      <c r="W81" s="7" t="s">
        <v>47</v>
      </c>
      <c r="AA81" s="3" t="str">
        <f t="shared" si="1"/>
        <v>___</v>
      </c>
      <c r="AB81" s="3" t="str">
        <f t="shared" si="0"/>
        <v>____</v>
      </c>
    </row>
    <row r="82" spans="1:30" ht="12.5">
      <c r="A82" s="3">
        <v>81</v>
      </c>
      <c r="F82" s="3"/>
      <c r="H82" s="3"/>
      <c r="M82" s="3" t="s">
        <v>39</v>
      </c>
      <c r="N82" s="3" t="s">
        <v>47</v>
      </c>
      <c r="O82" s="3" t="s">
        <v>47</v>
      </c>
      <c r="P82" s="3" t="s">
        <v>47</v>
      </c>
      <c r="Q82" s="7" t="s">
        <v>47</v>
      </c>
      <c r="R82" s="7" t="s">
        <v>47</v>
      </c>
      <c r="S82" s="7" t="s">
        <v>47</v>
      </c>
      <c r="T82" s="7" t="s">
        <v>47</v>
      </c>
      <c r="U82" s="7" t="s">
        <v>47</v>
      </c>
      <c r="V82" s="7" t="s">
        <v>47</v>
      </c>
      <c r="W82" s="7" t="s">
        <v>47</v>
      </c>
      <c r="AA82" s="3" t="str">
        <f t="shared" si="1"/>
        <v>___</v>
      </c>
      <c r="AB82" s="3" t="str">
        <f t="shared" si="0"/>
        <v>____</v>
      </c>
    </row>
    <row r="83" spans="1:30" ht="12.5">
      <c r="A83" s="3">
        <v>82</v>
      </c>
      <c r="B83" s="2">
        <v>45481</v>
      </c>
      <c r="C83" s="3">
        <v>284</v>
      </c>
      <c r="D83" s="3">
        <v>51</v>
      </c>
      <c r="E83" s="3" t="s">
        <v>33</v>
      </c>
      <c r="F83" s="3"/>
      <c r="G83" s="3" t="s">
        <v>46</v>
      </c>
      <c r="H83" s="3" t="s">
        <v>40</v>
      </c>
      <c r="I83" s="3">
        <v>1</v>
      </c>
      <c r="J83" s="4">
        <v>45548</v>
      </c>
      <c r="K83" s="4">
        <v>45376</v>
      </c>
      <c r="L83" s="3">
        <v>4</v>
      </c>
      <c r="M83" s="3" t="s">
        <v>36</v>
      </c>
      <c r="N83" s="3">
        <v>136</v>
      </c>
      <c r="O83" s="3">
        <v>7</v>
      </c>
      <c r="P83" s="3">
        <v>7</v>
      </c>
      <c r="S83" s="3">
        <v>0</v>
      </c>
      <c r="T83" s="3">
        <v>2.3859999999999999E-2</v>
      </c>
      <c r="U83" s="3">
        <v>1.5970000000000002E-2</v>
      </c>
      <c r="V83" s="3">
        <v>0</v>
      </c>
      <c r="W83" s="3">
        <v>0</v>
      </c>
      <c r="AA83" s="3" t="str">
        <f t="shared" si="1"/>
        <v>284_51_T31-C-5_vm</v>
      </c>
      <c r="AB83" s="3" t="str">
        <f t="shared" si="0"/>
        <v>284_51_T31-C-5_vm_1</v>
      </c>
      <c r="AD83" s="3" t="s">
        <v>37</v>
      </c>
    </row>
    <row r="84" spans="1:30" ht="12.5">
      <c r="A84" s="3">
        <v>83</v>
      </c>
      <c r="F84" s="3"/>
      <c r="H84" s="3"/>
      <c r="M84" s="3" t="s">
        <v>38</v>
      </c>
      <c r="N84" s="3">
        <v>55</v>
      </c>
      <c r="O84" s="3">
        <v>0</v>
      </c>
      <c r="P84" s="3">
        <v>5</v>
      </c>
      <c r="Q84" s="3">
        <v>3</v>
      </c>
      <c r="R84" s="3">
        <v>3</v>
      </c>
      <c r="S84" s="3">
        <v>0</v>
      </c>
      <c r="T84" s="3">
        <v>0</v>
      </c>
      <c r="U84" s="3">
        <v>6.071E-2</v>
      </c>
      <c r="V84" s="3">
        <v>0.10655000000000001</v>
      </c>
      <c r="W84" s="3">
        <v>0</v>
      </c>
      <c r="AA84" s="3" t="str">
        <f t="shared" si="1"/>
        <v>___</v>
      </c>
      <c r="AB84" s="3" t="str">
        <f t="shared" si="0"/>
        <v>____</v>
      </c>
    </row>
    <row r="85" spans="1:30" ht="12.5">
      <c r="A85" s="3">
        <v>84</v>
      </c>
      <c r="F85" s="3"/>
      <c r="H85" s="3"/>
      <c r="M85" s="3" t="s">
        <v>39</v>
      </c>
      <c r="N85" s="3">
        <v>41</v>
      </c>
      <c r="O85" s="3">
        <v>0</v>
      </c>
      <c r="P85" s="3">
        <v>5</v>
      </c>
      <c r="S85" s="3">
        <v>0</v>
      </c>
      <c r="T85" s="3">
        <v>0</v>
      </c>
      <c r="U85" s="3">
        <v>4.8050000000000002E-2</v>
      </c>
      <c r="V85" s="3">
        <v>0</v>
      </c>
      <c r="W85" s="3">
        <v>0</v>
      </c>
      <c r="AA85" s="3" t="str">
        <f t="shared" si="1"/>
        <v>___</v>
      </c>
      <c r="AB85" s="3" t="str">
        <f t="shared" si="0"/>
        <v>____</v>
      </c>
    </row>
    <row r="86" spans="1:30" ht="12.5">
      <c r="A86" s="3">
        <v>85</v>
      </c>
      <c r="B86" s="2">
        <v>45481</v>
      </c>
      <c r="C86" s="3">
        <v>284</v>
      </c>
      <c r="D86" s="3">
        <v>51</v>
      </c>
      <c r="E86" s="3" t="s">
        <v>33</v>
      </c>
      <c r="F86" s="3"/>
      <c r="G86" s="3" t="s">
        <v>46</v>
      </c>
      <c r="H86" s="3" t="s">
        <v>40</v>
      </c>
      <c r="I86" s="3">
        <v>2</v>
      </c>
      <c r="J86" s="4">
        <v>45400</v>
      </c>
      <c r="K86" s="3">
        <v>28</v>
      </c>
      <c r="L86" s="3">
        <v>4</v>
      </c>
      <c r="M86" s="3" t="s">
        <v>36</v>
      </c>
      <c r="N86" s="3">
        <v>165</v>
      </c>
      <c r="O86" s="3">
        <v>7</v>
      </c>
      <c r="P86" s="3">
        <v>7</v>
      </c>
      <c r="S86" s="3">
        <v>0</v>
      </c>
      <c r="T86" s="3">
        <v>6.5079999999999999E-2</v>
      </c>
      <c r="U86" s="3">
        <v>3.3390000000000003E-2</v>
      </c>
      <c r="V86" s="3">
        <v>0</v>
      </c>
      <c r="W86" s="3">
        <v>0</v>
      </c>
      <c r="X86" s="3"/>
      <c r="Y86" s="3" t="s">
        <v>50</v>
      </c>
      <c r="AA86" s="3" t="str">
        <f t="shared" si="1"/>
        <v>284_51_T31-C-5_vm</v>
      </c>
      <c r="AB86" s="3" t="str">
        <f t="shared" si="0"/>
        <v>284_51_T31-C-5_vm_2</v>
      </c>
      <c r="AD86" s="3" t="s">
        <v>37</v>
      </c>
    </row>
    <row r="87" spans="1:30" ht="12.5">
      <c r="A87" s="3">
        <v>86</v>
      </c>
      <c r="F87" s="3"/>
      <c r="H87" s="3"/>
      <c r="M87" s="3" t="s">
        <v>38</v>
      </c>
      <c r="N87" s="3">
        <v>62</v>
      </c>
      <c r="O87" s="3">
        <v>0</v>
      </c>
      <c r="P87" s="3">
        <v>5</v>
      </c>
      <c r="Q87" s="3">
        <v>2</v>
      </c>
      <c r="R87" s="3">
        <v>2</v>
      </c>
      <c r="S87" s="3">
        <v>0</v>
      </c>
      <c r="T87" s="3">
        <v>0</v>
      </c>
      <c r="U87" s="3">
        <v>8.0449999999999994E-2</v>
      </c>
      <c r="V87" s="3">
        <v>0.24115</v>
      </c>
      <c r="W87" s="3">
        <v>0</v>
      </c>
      <c r="AA87" s="3" t="str">
        <f t="shared" si="1"/>
        <v>___</v>
      </c>
      <c r="AB87" s="3" t="str">
        <f t="shared" si="0"/>
        <v>____</v>
      </c>
    </row>
    <row r="88" spans="1:30" ht="12.5">
      <c r="A88" s="3">
        <v>87</v>
      </c>
      <c r="F88" s="3"/>
      <c r="H88" s="3"/>
      <c r="M88" s="3" t="s">
        <v>39</v>
      </c>
      <c r="N88" s="3">
        <v>46</v>
      </c>
      <c r="O88" s="3">
        <v>0</v>
      </c>
      <c r="P88" s="3">
        <v>4</v>
      </c>
      <c r="S88" s="3">
        <v>0</v>
      </c>
      <c r="T88" s="3">
        <v>0</v>
      </c>
      <c r="U88" s="3">
        <v>8.7720000000000006E-2</v>
      </c>
      <c r="V88" s="3">
        <v>0</v>
      </c>
      <c r="W88" s="3">
        <v>0</v>
      </c>
      <c r="AA88" s="3" t="str">
        <f t="shared" si="1"/>
        <v>___</v>
      </c>
      <c r="AB88" s="3" t="str">
        <f t="shared" si="0"/>
        <v>____</v>
      </c>
    </row>
    <row r="89" spans="1:30" ht="12.5">
      <c r="A89" s="3">
        <v>88</v>
      </c>
      <c r="B89" s="2">
        <v>45481</v>
      </c>
      <c r="C89" s="3">
        <v>284</v>
      </c>
      <c r="D89" s="3">
        <v>51</v>
      </c>
      <c r="E89" s="3" t="s">
        <v>33</v>
      </c>
      <c r="F89" s="3"/>
      <c r="G89" s="3" t="s">
        <v>46</v>
      </c>
      <c r="H89" s="3" t="s">
        <v>40</v>
      </c>
      <c r="I89" s="3">
        <v>3</v>
      </c>
      <c r="J89" s="4">
        <v>45548</v>
      </c>
      <c r="K89" s="4">
        <v>45489</v>
      </c>
      <c r="L89" s="3">
        <v>6</v>
      </c>
      <c r="M89" s="3" t="s">
        <v>36</v>
      </c>
      <c r="N89" s="3">
        <v>20</v>
      </c>
      <c r="O89" s="3">
        <v>5</v>
      </c>
      <c r="P89" s="3">
        <v>5</v>
      </c>
      <c r="S89" s="3">
        <v>0</v>
      </c>
      <c r="T89" s="3">
        <v>1.9019999999999999E-2</v>
      </c>
      <c r="U89" s="3">
        <v>5.0099999999999997E-3</v>
      </c>
      <c r="V89" s="3">
        <v>0</v>
      </c>
      <c r="W89" s="3">
        <v>0</v>
      </c>
      <c r="AA89" s="3" t="str">
        <f t="shared" si="1"/>
        <v>284_51_T31-C-5_vm</v>
      </c>
      <c r="AB89" s="3" t="str">
        <f t="shared" si="0"/>
        <v>284_51_T31-C-5_vm_3</v>
      </c>
      <c r="AD89" s="3" t="s">
        <v>37</v>
      </c>
    </row>
    <row r="90" spans="1:30" ht="12.5">
      <c r="A90" s="3">
        <v>89</v>
      </c>
      <c r="F90" s="3"/>
      <c r="H90" s="3"/>
      <c r="M90" s="3" t="s">
        <v>38</v>
      </c>
      <c r="N90" s="3">
        <v>9</v>
      </c>
      <c r="O90" s="3">
        <v>0</v>
      </c>
      <c r="P90" s="3">
        <v>2</v>
      </c>
      <c r="Q90" s="3">
        <v>1</v>
      </c>
      <c r="R90" s="3">
        <v>1</v>
      </c>
      <c r="S90" s="3">
        <v>0</v>
      </c>
      <c r="T90" s="3">
        <v>0</v>
      </c>
      <c r="U90" s="3">
        <v>3.7299999999999998E-3</v>
      </c>
      <c r="V90" s="3">
        <v>9.9600000000000001E-3</v>
      </c>
      <c r="W90" s="3">
        <v>0</v>
      </c>
      <c r="AA90" s="3" t="str">
        <f t="shared" si="1"/>
        <v>___</v>
      </c>
      <c r="AB90" s="3" t="str">
        <f t="shared" si="0"/>
        <v>____</v>
      </c>
    </row>
    <row r="91" spans="1:30" ht="12.5">
      <c r="A91" s="3">
        <v>90</v>
      </c>
      <c r="F91" s="3"/>
      <c r="H91" s="3"/>
      <c r="M91" s="3" t="s">
        <v>39</v>
      </c>
      <c r="N91" s="3">
        <v>16</v>
      </c>
      <c r="O91" s="3">
        <v>0</v>
      </c>
      <c r="P91" s="3">
        <v>1</v>
      </c>
      <c r="Q91" s="3">
        <v>2</v>
      </c>
      <c r="R91" s="3">
        <v>2</v>
      </c>
      <c r="S91" s="3">
        <v>0</v>
      </c>
      <c r="T91" s="3">
        <v>0</v>
      </c>
      <c r="U91" s="3">
        <v>7.1799999999999998E-3</v>
      </c>
      <c r="V91" s="3">
        <v>1.427E-2</v>
      </c>
      <c r="W91" s="3">
        <v>0</v>
      </c>
      <c r="AA91" s="3" t="str">
        <f t="shared" si="1"/>
        <v>___</v>
      </c>
      <c r="AB91" s="3" t="str">
        <f t="shared" si="0"/>
        <v>____</v>
      </c>
    </row>
    <row r="92" spans="1:30" ht="12.5">
      <c r="A92" s="3">
        <v>91</v>
      </c>
      <c r="B92" s="2">
        <v>45483</v>
      </c>
      <c r="C92" s="6">
        <v>696</v>
      </c>
      <c r="D92" s="6">
        <v>55</v>
      </c>
      <c r="E92" s="3" t="s">
        <v>33</v>
      </c>
      <c r="F92" s="3"/>
      <c r="G92" s="3" t="s">
        <v>51</v>
      </c>
      <c r="H92" s="3" t="s">
        <v>40</v>
      </c>
      <c r="I92" s="3">
        <v>1</v>
      </c>
      <c r="J92" s="3">
        <v>36</v>
      </c>
      <c r="K92" s="4">
        <v>45557</v>
      </c>
      <c r="L92" s="3">
        <v>7</v>
      </c>
      <c r="M92" s="3" t="s">
        <v>36</v>
      </c>
      <c r="N92" s="3">
        <v>50</v>
      </c>
      <c r="O92" s="3">
        <v>9</v>
      </c>
      <c r="P92" s="3">
        <v>9</v>
      </c>
      <c r="S92" s="3">
        <v>0</v>
      </c>
      <c r="T92" s="3">
        <v>4.6269999999999999E-2</v>
      </c>
      <c r="U92" s="3">
        <v>2.555E-2</v>
      </c>
      <c r="V92" s="8">
        <v>0</v>
      </c>
      <c r="W92" s="9">
        <v>0</v>
      </c>
      <c r="AA92" s="3" t="str">
        <f t="shared" si="1"/>
        <v>696_55_T31-C-4_vm</v>
      </c>
      <c r="AB92" s="3" t="str">
        <f t="shared" si="0"/>
        <v>696_55_T31-C-4_vm_1</v>
      </c>
      <c r="AD92" s="3" t="s">
        <v>37</v>
      </c>
    </row>
    <row r="93" spans="1:30" ht="12.5">
      <c r="A93" s="3">
        <v>92</v>
      </c>
      <c r="F93" s="3"/>
      <c r="H93" s="3"/>
      <c r="M93" s="3" t="s">
        <v>38</v>
      </c>
      <c r="N93" s="3">
        <v>45</v>
      </c>
      <c r="O93" s="3">
        <v>0</v>
      </c>
      <c r="P93" s="3">
        <v>2</v>
      </c>
      <c r="Q93" s="3">
        <v>2</v>
      </c>
      <c r="R93" s="3">
        <v>2</v>
      </c>
      <c r="S93" s="3">
        <v>0</v>
      </c>
      <c r="T93" s="9">
        <v>0</v>
      </c>
      <c r="U93" s="3">
        <v>3.8940000000000002E-2</v>
      </c>
      <c r="V93" s="8">
        <v>0.11219999999999999</v>
      </c>
      <c r="W93" s="9">
        <v>0</v>
      </c>
      <c r="AA93" s="3" t="str">
        <f t="shared" si="1"/>
        <v>___</v>
      </c>
      <c r="AB93" s="3" t="str">
        <f t="shared" si="0"/>
        <v>____</v>
      </c>
    </row>
    <row r="94" spans="1:30" ht="12.5">
      <c r="A94" s="3">
        <v>93</v>
      </c>
      <c r="F94" s="3"/>
      <c r="H94" s="3"/>
      <c r="M94" s="3" t="s">
        <v>39</v>
      </c>
      <c r="N94" s="3">
        <v>30</v>
      </c>
      <c r="O94" s="3">
        <v>0</v>
      </c>
      <c r="P94" s="3">
        <v>1</v>
      </c>
      <c r="Q94" s="3">
        <v>2</v>
      </c>
      <c r="R94" s="3">
        <v>1</v>
      </c>
      <c r="S94" s="3">
        <v>0</v>
      </c>
      <c r="T94" s="9">
        <v>0</v>
      </c>
      <c r="U94" s="3">
        <v>3.3029999999999997E-2</v>
      </c>
      <c r="V94" s="3">
        <v>0.21987000000000001</v>
      </c>
      <c r="W94" s="9">
        <v>0</v>
      </c>
      <c r="X94" s="3"/>
      <c r="Y94" s="3" t="s">
        <v>52</v>
      </c>
      <c r="AA94" s="3" t="str">
        <f t="shared" si="1"/>
        <v>___</v>
      </c>
      <c r="AB94" s="3" t="str">
        <f t="shared" si="0"/>
        <v>____</v>
      </c>
    </row>
    <row r="95" spans="1:30" ht="12.5">
      <c r="A95" s="3">
        <v>94</v>
      </c>
      <c r="B95" s="2">
        <v>45483</v>
      </c>
      <c r="C95" s="3">
        <v>696</v>
      </c>
      <c r="D95" s="3">
        <v>55</v>
      </c>
      <c r="E95" s="3" t="s">
        <v>33</v>
      </c>
      <c r="F95" s="3"/>
      <c r="G95" s="3" t="s">
        <v>51</v>
      </c>
      <c r="H95" s="3" t="s">
        <v>40</v>
      </c>
      <c r="I95" s="3">
        <v>2</v>
      </c>
      <c r="J95" s="4">
        <v>45433</v>
      </c>
      <c r="K95" s="3">
        <v>18</v>
      </c>
      <c r="L95" s="3">
        <v>10</v>
      </c>
      <c r="M95" s="3" t="s">
        <v>36</v>
      </c>
      <c r="N95" s="3">
        <v>15</v>
      </c>
      <c r="O95" s="3">
        <v>6</v>
      </c>
      <c r="P95" s="3">
        <v>6</v>
      </c>
      <c r="S95" s="3">
        <v>0</v>
      </c>
      <c r="T95" s="3">
        <v>1.0449999999999999E-2</v>
      </c>
      <c r="U95" s="3">
        <v>2.5699999999999998E-3</v>
      </c>
      <c r="V95" s="8">
        <v>0</v>
      </c>
      <c r="W95" s="9">
        <v>0</v>
      </c>
      <c r="AA95" s="3" t="str">
        <f t="shared" si="1"/>
        <v>696_55_T31-C-4_vm</v>
      </c>
      <c r="AB95" s="3" t="str">
        <f t="shared" si="0"/>
        <v>696_55_T31-C-4_vm_2</v>
      </c>
      <c r="AD95" s="3" t="s">
        <v>37</v>
      </c>
    </row>
    <row r="96" spans="1:30" ht="12.5">
      <c r="A96" s="3">
        <v>95</v>
      </c>
      <c r="F96" s="3"/>
      <c r="H96" s="3"/>
      <c r="M96" s="3" t="s">
        <v>38</v>
      </c>
      <c r="N96" s="3">
        <v>24</v>
      </c>
      <c r="O96" s="3">
        <v>0</v>
      </c>
      <c r="P96" s="3">
        <v>3</v>
      </c>
      <c r="Q96" s="3">
        <v>2</v>
      </c>
      <c r="R96" s="3">
        <v>2</v>
      </c>
      <c r="S96" s="3">
        <v>0</v>
      </c>
      <c r="T96" s="8">
        <v>0</v>
      </c>
      <c r="U96" s="3">
        <v>8.6700000000000006E-3</v>
      </c>
      <c r="V96" s="3">
        <v>1.333E-2</v>
      </c>
      <c r="W96" s="9">
        <v>0</v>
      </c>
      <c r="AA96" s="3" t="str">
        <f t="shared" si="1"/>
        <v>___</v>
      </c>
      <c r="AB96" s="3" t="str">
        <f t="shared" si="0"/>
        <v>____</v>
      </c>
    </row>
    <row r="97" spans="1:30" ht="12.5">
      <c r="A97" s="3">
        <v>96</v>
      </c>
      <c r="F97" s="3"/>
      <c r="H97" s="3"/>
      <c r="M97" s="3" t="s">
        <v>39</v>
      </c>
      <c r="N97" s="3">
        <v>21</v>
      </c>
      <c r="O97" s="3">
        <v>0</v>
      </c>
      <c r="P97" s="3">
        <v>2</v>
      </c>
      <c r="Q97" s="3">
        <v>3</v>
      </c>
      <c r="R97" s="3">
        <v>3</v>
      </c>
      <c r="S97" s="3">
        <v>0</v>
      </c>
      <c r="T97" s="8">
        <v>0</v>
      </c>
      <c r="U97" s="3">
        <v>8.1700000000000002E-3</v>
      </c>
      <c r="V97" s="3">
        <v>3.6639999999999999E-2</v>
      </c>
      <c r="W97" s="9">
        <v>0</v>
      </c>
      <c r="AA97" s="3" t="str">
        <f t="shared" si="1"/>
        <v>___</v>
      </c>
      <c r="AB97" s="3" t="str">
        <f t="shared" si="0"/>
        <v>____</v>
      </c>
    </row>
    <row r="98" spans="1:30" ht="12.5">
      <c r="A98" s="3">
        <v>97</v>
      </c>
      <c r="B98" s="2">
        <v>45483</v>
      </c>
      <c r="C98" s="3">
        <v>696</v>
      </c>
      <c r="D98" s="3">
        <v>55</v>
      </c>
      <c r="E98" s="3" t="s">
        <v>33</v>
      </c>
      <c r="F98" s="3"/>
      <c r="G98" s="3" t="s">
        <v>51</v>
      </c>
      <c r="H98" s="3" t="s">
        <v>40</v>
      </c>
      <c r="I98" s="3">
        <v>3</v>
      </c>
      <c r="J98" s="3" t="s">
        <v>53</v>
      </c>
      <c r="K98" s="4">
        <v>45370</v>
      </c>
      <c r="L98" s="3">
        <v>8</v>
      </c>
      <c r="M98" s="3" t="s">
        <v>36</v>
      </c>
      <c r="N98" s="3">
        <v>32</v>
      </c>
      <c r="O98" s="3">
        <v>7</v>
      </c>
      <c r="P98" s="3">
        <v>7</v>
      </c>
      <c r="S98" s="3">
        <v>0</v>
      </c>
      <c r="T98" s="8">
        <v>2.7199999999999998E-2</v>
      </c>
      <c r="U98" s="3">
        <v>1.273E-2</v>
      </c>
      <c r="V98" s="8">
        <v>0</v>
      </c>
      <c r="W98" s="9">
        <v>0</v>
      </c>
      <c r="AA98" s="3" t="str">
        <f t="shared" si="1"/>
        <v>696_55_T31-C-4_vm</v>
      </c>
      <c r="AB98" s="3" t="str">
        <f t="shared" si="0"/>
        <v>696_55_T31-C-4_vm_3</v>
      </c>
      <c r="AD98" s="3" t="s">
        <v>37</v>
      </c>
    </row>
    <row r="99" spans="1:30" ht="12.5">
      <c r="A99" s="3">
        <v>98</v>
      </c>
      <c r="F99" s="3"/>
      <c r="H99" s="3"/>
      <c r="M99" s="3" t="s">
        <v>38</v>
      </c>
      <c r="N99" s="3">
        <v>51</v>
      </c>
      <c r="O99" s="3">
        <v>0</v>
      </c>
      <c r="P99" s="3">
        <v>3</v>
      </c>
      <c r="Q99" s="3">
        <v>4</v>
      </c>
      <c r="R99" s="3">
        <v>3</v>
      </c>
      <c r="S99" s="3">
        <v>0</v>
      </c>
      <c r="T99" s="8">
        <v>0</v>
      </c>
      <c r="U99" s="3">
        <v>3.4909999999999997E-2</v>
      </c>
      <c r="V99" s="3">
        <v>7.8909999999999994E-2</v>
      </c>
      <c r="W99" s="9">
        <v>0</v>
      </c>
      <c r="X99" s="3"/>
      <c r="Y99" s="3" t="s">
        <v>54</v>
      </c>
      <c r="AA99" s="3" t="str">
        <f t="shared" si="1"/>
        <v>___</v>
      </c>
      <c r="AB99" s="3" t="str">
        <f t="shared" si="0"/>
        <v>____</v>
      </c>
    </row>
    <row r="100" spans="1:30" ht="12.5">
      <c r="A100" s="3">
        <v>99</v>
      </c>
      <c r="F100" s="3"/>
      <c r="H100" s="3"/>
      <c r="M100" s="3" t="s">
        <v>39</v>
      </c>
      <c r="N100" s="3">
        <v>50</v>
      </c>
      <c r="O100" s="3">
        <v>0</v>
      </c>
      <c r="P100" s="3">
        <v>6</v>
      </c>
      <c r="Q100" s="3">
        <v>2</v>
      </c>
      <c r="R100" s="3">
        <v>2</v>
      </c>
      <c r="S100" s="3">
        <v>0</v>
      </c>
      <c r="T100" s="8">
        <v>0</v>
      </c>
      <c r="U100" s="3">
        <v>4.4659999999999998E-2</v>
      </c>
      <c r="V100" s="3">
        <v>7.0980000000000001E-2</v>
      </c>
      <c r="W100" s="9">
        <v>0</v>
      </c>
      <c r="AA100" s="3" t="str">
        <f t="shared" si="1"/>
        <v>___</v>
      </c>
      <c r="AB100" s="3" t="str">
        <f t="shared" si="0"/>
        <v>____</v>
      </c>
    </row>
    <row r="101" spans="1:30" ht="12.5">
      <c r="A101" s="3">
        <v>100</v>
      </c>
      <c r="B101" s="2">
        <v>45483</v>
      </c>
      <c r="C101" s="3">
        <v>696</v>
      </c>
      <c r="D101" s="3">
        <v>55</v>
      </c>
      <c r="E101" s="3" t="s">
        <v>33</v>
      </c>
      <c r="F101" s="3"/>
      <c r="G101" s="3" t="s">
        <v>51</v>
      </c>
      <c r="H101" s="3" t="s">
        <v>35</v>
      </c>
      <c r="I101" s="3">
        <v>1</v>
      </c>
      <c r="J101" s="4">
        <v>45428</v>
      </c>
      <c r="K101" s="4">
        <v>45515</v>
      </c>
      <c r="L101" s="3">
        <v>6</v>
      </c>
      <c r="M101" s="3" t="s">
        <v>36</v>
      </c>
      <c r="N101" s="3">
        <v>22</v>
      </c>
      <c r="O101" s="3">
        <v>12</v>
      </c>
      <c r="P101" s="3">
        <v>12</v>
      </c>
      <c r="S101" s="3">
        <v>0</v>
      </c>
      <c r="T101" s="3">
        <v>4.8590000000000001E-2</v>
      </c>
      <c r="U101" s="3">
        <v>6.6499999999999997E-3</v>
      </c>
      <c r="V101" s="8">
        <v>0</v>
      </c>
      <c r="W101" s="9">
        <v>0</v>
      </c>
      <c r="AA101" s="3" t="str">
        <f t="shared" si="1"/>
        <v>696_55_T31-C-4_vv</v>
      </c>
      <c r="AB101" s="3" t="str">
        <f t="shared" si="0"/>
        <v>696_55_T31-C-4_vv_1</v>
      </c>
      <c r="AD101" s="3" t="s">
        <v>37</v>
      </c>
    </row>
    <row r="102" spans="1:30" ht="12.5">
      <c r="A102" s="3">
        <v>101</v>
      </c>
      <c r="F102" s="3"/>
      <c r="H102" s="3"/>
      <c r="M102" s="3" t="s">
        <v>38</v>
      </c>
      <c r="N102" s="3">
        <v>54</v>
      </c>
      <c r="O102" s="3">
        <v>9</v>
      </c>
      <c r="P102" s="3">
        <v>14</v>
      </c>
      <c r="Q102" s="3">
        <v>1</v>
      </c>
      <c r="R102" s="3">
        <v>1</v>
      </c>
      <c r="S102" s="3">
        <v>0</v>
      </c>
      <c r="T102" s="3">
        <v>0.10763</v>
      </c>
      <c r="U102" s="3">
        <v>3.313E-2</v>
      </c>
      <c r="V102" s="3">
        <v>3.4479999999999997E-2</v>
      </c>
      <c r="W102" s="9">
        <v>0</v>
      </c>
      <c r="AA102" s="3" t="str">
        <f t="shared" si="1"/>
        <v>___</v>
      </c>
      <c r="AB102" s="3" t="str">
        <f t="shared" si="0"/>
        <v>____</v>
      </c>
    </row>
    <row r="103" spans="1:30" ht="12.5">
      <c r="A103" s="3">
        <v>102</v>
      </c>
      <c r="F103" s="3"/>
      <c r="H103" s="3"/>
      <c r="M103" s="3" t="s">
        <v>39</v>
      </c>
      <c r="N103" s="3">
        <v>28</v>
      </c>
      <c r="O103" s="3">
        <v>0</v>
      </c>
      <c r="P103" s="3">
        <v>7</v>
      </c>
      <c r="Q103" s="3">
        <v>2</v>
      </c>
      <c r="R103" s="3">
        <v>1</v>
      </c>
      <c r="S103" s="3">
        <v>0</v>
      </c>
      <c r="T103" s="8">
        <v>0</v>
      </c>
      <c r="U103" s="3">
        <v>2.3810000000000001E-2</v>
      </c>
      <c r="V103" s="3">
        <v>0.14186000000000001</v>
      </c>
      <c r="W103" s="9">
        <v>0</v>
      </c>
      <c r="X103" s="3"/>
      <c r="Y103" s="3" t="s">
        <v>52</v>
      </c>
      <c r="AA103" s="3" t="str">
        <f t="shared" si="1"/>
        <v>___</v>
      </c>
      <c r="AB103" s="3" t="str">
        <f t="shared" si="0"/>
        <v>____</v>
      </c>
    </row>
    <row r="104" spans="1:30" ht="12.5">
      <c r="A104" s="3">
        <v>103</v>
      </c>
      <c r="B104" s="2">
        <v>45483</v>
      </c>
      <c r="C104" s="3">
        <v>696</v>
      </c>
      <c r="D104" s="3">
        <v>55</v>
      </c>
      <c r="E104" s="3" t="s">
        <v>33</v>
      </c>
      <c r="F104" s="3"/>
      <c r="G104" s="3" t="s">
        <v>51</v>
      </c>
      <c r="H104" s="3" t="s">
        <v>35</v>
      </c>
      <c r="I104" s="3">
        <v>2</v>
      </c>
      <c r="J104" s="4">
        <v>45435</v>
      </c>
      <c r="K104" s="4">
        <v>45548</v>
      </c>
      <c r="L104" s="3">
        <v>4</v>
      </c>
      <c r="M104" s="3" t="s">
        <v>36</v>
      </c>
      <c r="N104" s="3">
        <v>36</v>
      </c>
      <c r="O104" s="3">
        <v>12</v>
      </c>
      <c r="P104" s="3">
        <v>13</v>
      </c>
      <c r="S104" s="3">
        <v>0</v>
      </c>
      <c r="T104" s="3">
        <v>4.709E-2</v>
      </c>
      <c r="U104" s="3">
        <v>8.1200000000000005E-3</v>
      </c>
      <c r="V104" s="8">
        <v>0</v>
      </c>
      <c r="W104" s="9">
        <v>0</v>
      </c>
      <c r="AA104" s="3" t="str">
        <f t="shared" si="1"/>
        <v>696_55_T31-C-4_vv</v>
      </c>
      <c r="AB104" s="3" t="str">
        <f t="shared" si="0"/>
        <v>696_55_T31-C-4_vv_2</v>
      </c>
      <c r="AD104" s="3" t="s">
        <v>37</v>
      </c>
    </row>
    <row r="105" spans="1:30" ht="12.5">
      <c r="A105" s="3">
        <v>104</v>
      </c>
      <c r="F105" s="3"/>
      <c r="H105" s="3"/>
      <c r="M105" s="3" t="s">
        <v>38</v>
      </c>
      <c r="N105" s="3">
        <v>45</v>
      </c>
      <c r="O105" s="3">
        <v>7</v>
      </c>
      <c r="P105" s="3">
        <v>12</v>
      </c>
      <c r="S105" s="3">
        <v>0</v>
      </c>
      <c r="T105" s="3">
        <v>4.6890000000000001E-2</v>
      </c>
      <c r="U105" s="3">
        <v>1.7950000000000001E-2</v>
      </c>
      <c r="V105" s="8">
        <v>0</v>
      </c>
      <c r="W105" s="9">
        <v>0</v>
      </c>
      <c r="AA105" s="3" t="str">
        <f t="shared" si="1"/>
        <v>___</v>
      </c>
      <c r="AB105" s="3" t="str">
        <f t="shared" si="0"/>
        <v>____</v>
      </c>
    </row>
    <row r="106" spans="1:30" ht="12.5">
      <c r="A106" s="3">
        <v>105</v>
      </c>
      <c r="F106" s="3"/>
      <c r="H106" s="3"/>
      <c r="M106" s="3" t="s">
        <v>39</v>
      </c>
      <c r="N106" s="3">
        <v>14</v>
      </c>
      <c r="O106" s="3">
        <v>0</v>
      </c>
      <c r="P106" s="3">
        <v>4</v>
      </c>
      <c r="S106" s="3">
        <v>0</v>
      </c>
      <c r="T106" s="8">
        <v>0</v>
      </c>
      <c r="U106" s="3">
        <v>6.3899999999999998E-3</v>
      </c>
      <c r="V106" s="8">
        <v>0</v>
      </c>
      <c r="W106" s="9">
        <v>0</v>
      </c>
      <c r="AA106" s="3" t="str">
        <f t="shared" si="1"/>
        <v>___</v>
      </c>
      <c r="AB106" s="3" t="str">
        <f t="shared" si="0"/>
        <v>____</v>
      </c>
    </row>
    <row r="107" spans="1:30" ht="12.5">
      <c r="A107" s="3">
        <v>106</v>
      </c>
      <c r="B107" s="2">
        <v>45483</v>
      </c>
      <c r="C107" s="3">
        <v>696</v>
      </c>
      <c r="D107" s="3">
        <v>55</v>
      </c>
      <c r="E107" s="3" t="s">
        <v>33</v>
      </c>
      <c r="F107" s="3"/>
      <c r="G107" s="3" t="s">
        <v>51</v>
      </c>
      <c r="H107" s="3" t="s">
        <v>35</v>
      </c>
      <c r="I107" s="3">
        <v>3</v>
      </c>
      <c r="J107" s="4">
        <v>45429</v>
      </c>
      <c r="K107" s="3">
        <v>14</v>
      </c>
      <c r="L107" s="3">
        <v>5</v>
      </c>
      <c r="M107" s="3" t="s">
        <v>36</v>
      </c>
      <c r="N107" s="3">
        <v>19</v>
      </c>
      <c r="O107" s="3">
        <v>10</v>
      </c>
      <c r="P107" s="3">
        <v>10</v>
      </c>
      <c r="S107" s="3">
        <v>0</v>
      </c>
      <c r="T107" s="3">
        <v>3.1669999999999997E-2</v>
      </c>
      <c r="U107" s="3">
        <v>3.5899999999999999E-3</v>
      </c>
      <c r="V107" s="8">
        <v>0</v>
      </c>
      <c r="W107" s="9">
        <v>0</v>
      </c>
      <c r="AA107" s="3" t="str">
        <f t="shared" si="1"/>
        <v>696_55_T31-C-4_vv</v>
      </c>
      <c r="AB107" s="3" t="str">
        <f t="shared" si="0"/>
        <v>696_55_T31-C-4_vv_3</v>
      </c>
      <c r="AD107" s="3" t="s">
        <v>37</v>
      </c>
    </row>
    <row r="108" spans="1:30" ht="12.5">
      <c r="A108" s="3">
        <v>107</v>
      </c>
      <c r="F108" s="3"/>
      <c r="H108" s="3"/>
      <c r="M108" s="3" t="s">
        <v>38</v>
      </c>
      <c r="N108" s="3">
        <v>35</v>
      </c>
      <c r="O108" s="3">
        <v>10</v>
      </c>
      <c r="P108" s="3">
        <v>12</v>
      </c>
      <c r="S108" s="3">
        <v>0</v>
      </c>
      <c r="T108" s="3">
        <v>8.4180000000000005E-2</v>
      </c>
      <c r="U108" s="3">
        <v>1.242E-2</v>
      </c>
      <c r="V108" s="8">
        <v>0</v>
      </c>
      <c r="W108" s="9">
        <v>0</v>
      </c>
      <c r="AA108" s="3" t="str">
        <f t="shared" si="1"/>
        <v>___</v>
      </c>
      <c r="AB108" s="3" t="str">
        <f t="shared" si="0"/>
        <v>____</v>
      </c>
    </row>
    <row r="109" spans="1:30" ht="12.5">
      <c r="A109" s="3">
        <v>108</v>
      </c>
      <c r="F109" s="3"/>
      <c r="H109" s="3"/>
      <c r="M109" s="3" t="s">
        <v>39</v>
      </c>
      <c r="N109" s="3">
        <v>28</v>
      </c>
      <c r="O109" s="3">
        <v>5</v>
      </c>
      <c r="P109" s="3">
        <v>11</v>
      </c>
      <c r="S109" s="3">
        <v>0</v>
      </c>
      <c r="T109" s="3">
        <v>4.8430000000000001E-2</v>
      </c>
      <c r="U109" s="3">
        <v>1.8519999999999998E-2</v>
      </c>
      <c r="V109" s="8">
        <v>0</v>
      </c>
      <c r="W109" s="9">
        <v>0</v>
      </c>
      <c r="AA109" s="3" t="str">
        <f t="shared" si="1"/>
        <v>___</v>
      </c>
      <c r="AB109" s="3" t="str">
        <f t="shared" si="0"/>
        <v>____</v>
      </c>
    </row>
    <row r="110" spans="1:30" ht="12.5">
      <c r="A110" s="3">
        <v>109</v>
      </c>
      <c r="B110" s="2">
        <v>45483</v>
      </c>
      <c r="C110" s="10">
        <v>696</v>
      </c>
      <c r="D110" s="10">
        <v>66</v>
      </c>
      <c r="E110" s="3" t="s">
        <v>33</v>
      </c>
      <c r="F110" s="3"/>
      <c r="H110" s="3" t="s">
        <v>35</v>
      </c>
      <c r="I110" s="3">
        <v>1</v>
      </c>
      <c r="J110" s="4">
        <v>45434</v>
      </c>
      <c r="K110" s="4">
        <v>45554</v>
      </c>
      <c r="L110" s="3">
        <v>5</v>
      </c>
      <c r="M110" s="3" t="s">
        <v>36</v>
      </c>
      <c r="N110" s="3">
        <v>39</v>
      </c>
      <c r="O110" s="3">
        <v>10</v>
      </c>
      <c r="P110" s="3">
        <v>17</v>
      </c>
      <c r="S110" s="3">
        <v>0</v>
      </c>
      <c r="T110" s="8">
        <v>0.13200000000000001</v>
      </c>
      <c r="U110" s="3">
        <v>1.401E-2</v>
      </c>
      <c r="V110" s="8">
        <v>0</v>
      </c>
      <c r="W110" s="9">
        <v>0</v>
      </c>
      <c r="AA110" s="3" t="str">
        <f t="shared" si="1"/>
        <v>696_66__vv</v>
      </c>
      <c r="AB110" s="3" t="str">
        <f t="shared" si="0"/>
        <v>696_66__vv_1</v>
      </c>
      <c r="AD110" s="3" t="s">
        <v>37</v>
      </c>
    </row>
    <row r="111" spans="1:30" ht="12.5">
      <c r="A111" s="3">
        <v>110</v>
      </c>
      <c r="F111" s="3"/>
      <c r="H111" s="3"/>
      <c r="M111" s="3" t="s">
        <v>38</v>
      </c>
      <c r="N111" s="3">
        <v>37</v>
      </c>
      <c r="O111" s="3">
        <v>9</v>
      </c>
      <c r="P111" s="3">
        <v>13</v>
      </c>
      <c r="Q111" s="3">
        <v>1</v>
      </c>
      <c r="R111" s="3">
        <v>1</v>
      </c>
      <c r="S111" s="3">
        <v>0</v>
      </c>
      <c r="T111" s="3">
        <v>0.21534</v>
      </c>
      <c r="U111" s="3">
        <v>3.0679999999999999E-2</v>
      </c>
      <c r="V111" s="11">
        <v>0.13159000000000001</v>
      </c>
      <c r="W111" s="9">
        <v>0</v>
      </c>
      <c r="X111" s="3"/>
      <c r="Y111" s="3" t="s">
        <v>55</v>
      </c>
      <c r="AA111" s="3" t="str">
        <f t="shared" si="1"/>
        <v>___</v>
      </c>
      <c r="AB111" s="3" t="str">
        <f t="shared" si="0"/>
        <v>____</v>
      </c>
    </row>
    <row r="112" spans="1:30" ht="12.5">
      <c r="A112" s="3">
        <v>111</v>
      </c>
      <c r="F112" s="3"/>
      <c r="H112" s="3"/>
      <c r="M112" s="3" t="s">
        <v>39</v>
      </c>
      <c r="N112" s="3">
        <v>41</v>
      </c>
      <c r="O112" s="3">
        <v>7</v>
      </c>
      <c r="P112" s="3">
        <v>13</v>
      </c>
      <c r="S112" s="3">
        <v>0</v>
      </c>
      <c r="T112" s="3">
        <v>0.10851</v>
      </c>
      <c r="U112" s="3">
        <v>4.2320000000000003E-2</v>
      </c>
      <c r="V112" s="8">
        <v>0</v>
      </c>
      <c r="W112" s="9">
        <v>0</v>
      </c>
      <c r="AA112" s="3" t="str">
        <f t="shared" si="1"/>
        <v>___</v>
      </c>
      <c r="AB112" s="3" t="str">
        <f t="shared" si="0"/>
        <v>____</v>
      </c>
    </row>
    <row r="113" spans="1:30" ht="12.5">
      <c r="A113" s="3">
        <v>112</v>
      </c>
      <c r="B113" s="2">
        <v>45483</v>
      </c>
      <c r="C113" s="3">
        <v>696</v>
      </c>
      <c r="D113" s="3">
        <v>66</v>
      </c>
      <c r="E113" s="3" t="s">
        <v>33</v>
      </c>
      <c r="F113" s="3"/>
      <c r="H113" s="3" t="s">
        <v>35</v>
      </c>
      <c r="I113" s="3">
        <v>2</v>
      </c>
      <c r="J113" s="3">
        <v>13</v>
      </c>
      <c r="K113" s="4">
        <v>45481</v>
      </c>
      <c r="L113" s="3">
        <v>2</v>
      </c>
      <c r="M113" s="3" t="s">
        <v>36</v>
      </c>
      <c r="N113" s="3">
        <v>26</v>
      </c>
      <c r="O113" s="3">
        <v>12</v>
      </c>
      <c r="P113" s="3">
        <v>12</v>
      </c>
      <c r="S113" s="3">
        <v>0</v>
      </c>
      <c r="T113" s="3">
        <v>5.7759999999999999E-2</v>
      </c>
      <c r="U113" s="3">
        <v>6.77E-3</v>
      </c>
      <c r="V113" s="8">
        <v>0</v>
      </c>
      <c r="W113" s="9">
        <v>0</v>
      </c>
      <c r="X113" s="3"/>
      <c r="Y113" s="3" t="s">
        <v>56</v>
      </c>
      <c r="AA113" s="3" t="str">
        <f t="shared" si="1"/>
        <v>696_66__vv</v>
      </c>
      <c r="AB113" s="3" t="str">
        <f t="shared" si="0"/>
        <v>696_66__vv_2</v>
      </c>
      <c r="AD113" s="3" t="s">
        <v>37</v>
      </c>
    </row>
    <row r="114" spans="1:30" ht="12.5">
      <c r="A114" s="3">
        <v>113</v>
      </c>
      <c r="F114" s="3"/>
      <c r="H114" s="3"/>
      <c r="M114" s="3" t="s">
        <v>38</v>
      </c>
      <c r="N114" s="3">
        <v>57</v>
      </c>
      <c r="O114" s="3">
        <v>5</v>
      </c>
      <c r="P114" s="3">
        <v>11</v>
      </c>
      <c r="S114" s="3">
        <v>0</v>
      </c>
      <c r="T114" s="3">
        <v>4.0090000000000001E-2</v>
      </c>
      <c r="U114" s="3">
        <v>2.6179999999999998E-2</v>
      </c>
      <c r="V114" s="8">
        <v>0</v>
      </c>
      <c r="W114" s="9">
        <v>0</v>
      </c>
      <c r="AA114" s="3" t="str">
        <f t="shared" si="1"/>
        <v>___</v>
      </c>
      <c r="AB114" s="3" t="str">
        <f t="shared" si="0"/>
        <v>____</v>
      </c>
    </row>
    <row r="115" spans="1:30" ht="12.5">
      <c r="A115" s="3">
        <v>114</v>
      </c>
      <c r="F115" s="3"/>
      <c r="H115" s="3"/>
      <c r="M115" s="3" t="s">
        <v>39</v>
      </c>
      <c r="N115" s="3" t="s">
        <v>47</v>
      </c>
      <c r="O115" s="3" t="s">
        <v>47</v>
      </c>
      <c r="P115" s="3" t="s">
        <v>47</v>
      </c>
      <c r="S115" s="3" t="s">
        <v>47</v>
      </c>
      <c r="T115" s="5" t="s">
        <v>47</v>
      </c>
      <c r="U115" s="5" t="s">
        <v>47</v>
      </c>
      <c r="V115" s="5" t="s">
        <v>47</v>
      </c>
      <c r="W115" s="5" t="s">
        <v>47</v>
      </c>
      <c r="AA115" s="3" t="str">
        <f t="shared" si="1"/>
        <v>___</v>
      </c>
      <c r="AB115" s="3" t="str">
        <f t="shared" si="0"/>
        <v>____</v>
      </c>
    </row>
    <row r="116" spans="1:30" ht="12.5">
      <c r="A116" s="3">
        <v>115</v>
      </c>
      <c r="B116" s="2">
        <v>45483</v>
      </c>
      <c r="C116" s="3">
        <v>696</v>
      </c>
      <c r="D116" s="3">
        <v>66</v>
      </c>
      <c r="E116" s="3" t="s">
        <v>33</v>
      </c>
      <c r="F116" s="3"/>
      <c r="H116" s="3" t="s">
        <v>35</v>
      </c>
      <c r="I116" s="3">
        <v>3</v>
      </c>
      <c r="J116" s="4">
        <v>45407</v>
      </c>
      <c r="K116" s="4">
        <v>45428</v>
      </c>
      <c r="L116" s="3">
        <v>4</v>
      </c>
      <c r="M116" s="3" t="s">
        <v>36</v>
      </c>
      <c r="N116" s="3">
        <v>29</v>
      </c>
      <c r="O116" s="3">
        <v>11</v>
      </c>
      <c r="P116" s="3">
        <v>14</v>
      </c>
      <c r="S116" s="3">
        <v>0</v>
      </c>
      <c r="T116" s="3">
        <v>9.4060000000000005E-2</v>
      </c>
      <c r="U116" s="3">
        <v>8.3999999999999995E-3</v>
      </c>
      <c r="V116" s="8">
        <v>0</v>
      </c>
      <c r="W116" s="8">
        <v>0</v>
      </c>
      <c r="AA116" s="3" t="str">
        <f t="shared" si="1"/>
        <v>696_66__vv</v>
      </c>
      <c r="AB116" s="3" t="str">
        <f t="shared" si="0"/>
        <v>696_66__vv_3</v>
      </c>
      <c r="AD116" s="3" t="s">
        <v>37</v>
      </c>
    </row>
    <row r="117" spans="1:30" ht="12.5">
      <c r="A117" s="3">
        <v>116</v>
      </c>
      <c r="F117" s="3"/>
      <c r="H117" s="3"/>
      <c r="M117" s="3" t="s">
        <v>38</v>
      </c>
      <c r="N117" s="3">
        <v>40</v>
      </c>
      <c r="O117" s="3">
        <v>10</v>
      </c>
      <c r="P117" s="3">
        <v>15</v>
      </c>
      <c r="S117" s="3">
        <v>0</v>
      </c>
      <c r="T117" s="3">
        <v>0.12361999999999999</v>
      </c>
      <c r="U117" s="3">
        <v>2.5690000000000001E-2</v>
      </c>
      <c r="V117" s="8">
        <v>0</v>
      </c>
      <c r="W117" s="8">
        <v>0</v>
      </c>
      <c r="AA117" s="3" t="str">
        <f t="shared" si="1"/>
        <v>___</v>
      </c>
      <c r="AB117" s="3" t="str">
        <f t="shared" si="0"/>
        <v>____</v>
      </c>
    </row>
    <row r="118" spans="1:30" ht="12.5">
      <c r="A118" s="3">
        <v>117</v>
      </c>
      <c r="F118" s="3"/>
      <c r="H118" s="3"/>
      <c r="M118" s="3" t="s">
        <v>39</v>
      </c>
      <c r="N118" s="3">
        <v>48</v>
      </c>
      <c r="O118" s="3">
        <v>5</v>
      </c>
      <c r="P118" s="3">
        <v>13</v>
      </c>
      <c r="S118" s="3">
        <v>0</v>
      </c>
      <c r="T118" s="3">
        <v>7.9339999999999994E-2</v>
      </c>
      <c r="U118" s="3">
        <v>4.7260000000000003E-2</v>
      </c>
      <c r="V118" s="8">
        <v>0</v>
      </c>
      <c r="W118" s="8">
        <v>0</v>
      </c>
      <c r="AA118" s="3" t="str">
        <f t="shared" si="1"/>
        <v>___</v>
      </c>
      <c r="AB118" s="3" t="str">
        <f t="shared" si="0"/>
        <v>____</v>
      </c>
    </row>
    <row r="119" spans="1:30" ht="12.5">
      <c r="A119" s="3">
        <v>118</v>
      </c>
      <c r="B119" s="2">
        <v>45483</v>
      </c>
      <c r="C119" s="6">
        <v>718</v>
      </c>
      <c r="D119" s="6">
        <v>55</v>
      </c>
      <c r="E119" s="3" t="s">
        <v>33</v>
      </c>
      <c r="F119" s="3"/>
      <c r="G119" s="3" t="s">
        <v>57</v>
      </c>
      <c r="H119" s="3" t="s">
        <v>40</v>
      </c>
      <c r="I119" s="3">
        <v>1</v>
      </c>
      <c r="J119" s="4">
        <v>45564</v>
      </c>
      <c r="K119" s="4">
        <v>45407</v>
      </c>
      <c r="L119" s="3">
        <v>5</v>
      </c>
      <c r="M119" s="3" t="s">
        <v>36</v>
      </c>
      <c r="N119" s="3">
        <v>37</v>
      </c>
      <c r="O119" s="3">
        <v>6</v>
      </c>
      <c r="P119" s="3">
        <v>7</v>
      </c>
      <c r="S119" s="3">
        <v>0</v>
      </c>
      <c r="T119" s="3">
        <v>3.1359999999999999E-2</v>
      </c>
      <c r="U119" s="3">
        <v>1.848E-2</v>
      </c>
      <c r="V119" s="3">
        <v>0</v>
      </c>
      <c r="W119" s="3">
        <v>0</v>
      </c>
      <c r="AA119" s="3" t="str">
        <f t="shared" si="1"/>
        <v>718_55_T31-C-2_vm</v>
      </c>
      <c r="AB119" s="3" t="str">
        <f t="shared" si="0"/>
        <v>718_55_T31-C-2_vm_1</v>
      </c>
      <c r="AD119" s="3" t="s">
        <v>37</v>
      </c>
    </row>
    <row r="120" spans="1:30" ht="12.5">
      <c r="A120" s="3">
        <v>119</v>
      </c>
      <c r="F120" s="3"/>
      <c r="H120" s="3"/>
      <c r="M120" s="3" t="s">
        <v>38</v>
      </c>
      <c r="N120" s="3">
        <v>117</v>
      </c>
      <c r="O120" s="3">
        <v>0</v>
      </c>
      <c r="P120" s="3">
        <v>3</v>
      </c>
      <c r="Q120" s="3">
        <v>5</v>
      </c>
      <c r="R120" s="3">
        <v>5</v>
      </c>
      <c r="S120" s="3">
        <v>0</v>
      </c>
      <c r="T120" s="3">
        <v>0</v>
      </c>
      <c r="U120" s="3">
        <v>0.15648999999999999</v>
      </c>
      <c r="V120" s="3">
        <v>0.35604000000000002</v>
      </c>
      <c r="W120" s="3">
        <v>0</v>
      </c>
      <c r="AA120" s="3" t="str">
        <f t="shared" si="1"/>
        <v>___</v>
      </c>
      <c r="AB120" s="3" t="str">
        <f t="shared" si="0"/>
        <v>____</v>
      </c>
    </row>
    <row r="121" spans="1:30" ht="12.5">
      <c r="A121" s="3">
        <v>120</v>
      </c>
      <c r="F121" s="3"/>
      <c r="H121" s="3"/>
      <c r="M121" s="3" t="s">
        <v>39</v>
      </c>
      <c r="N121" s="3">
        <v>117</v>
      </c>
      <c r="O121" s="3">
        <v>0</v>
      </c>
      <c r="P121" s="3">
        <v>6</v>
      </c>
      <c r="Q121" s="3">
        <v>4</v>
      </c>
      <c r="R121" s="3">
        <v>4</v>
      </c>
      <c r="S121" s="3">
        <v>0</v>
      </c>
      <c r="T121" s="3">
        <v>0</v>
      </c>
      <c r="U121" s="3">
        <v>0.24376999999999999</v>
      </c>
      <c r="V121" s="3">
        <v>0.36293999999999998</v>
      </c>
      <c r="W121" s="3">
        <v>0</v>
      </c>
      <c r="AA121" s="3" t="str">
        <f t="shared" si="1"/>
        <v>___</v>
      </c>
      <c r="AB121" s="3" t="str">
        <f t="shared" si="0"/>
        <v>____</v>
      </c>
    </row>
    <row r="122" spans="1:30" ht="12.5">
      <c r="A122" s="3">
        <v>121</v>
      </c>
      <c r="B122" s="2">
        <v>45483</v>
      </c>
      <c r="C122" s="3">
        <v>718</v>
      </c>
      <c r="D122" s="3">
        <v>55</v>
      </c>
      <c r="E122" s="3" t="s">
        <v>33</v>
      </c>
      <c r="F122" s="3"/>
      <c r="G122" s="3" t="s">
        <v>57</v>
      </c>
      <c r="H122" s="3" t="s">
        <v>40</v>
      </c>
      <c r="I122" s="3">
        <v>2</v>
      </c>
      <c r="J122" s="4">
        <v>45467</v>
      </c>
      <c r="K122" s="4">
        <v>45308</v>
      </c>
      <c r="L122" s="3">
        <v>5</v>
      </c>
      <c r="M122" s="3" t="s">
        <v>36</v>
      </c>
      <c r="N122" s="3">
        <v>78</v>
      </c>
      <c r="O122" s="3">
        <v>9</v>
      </c>
      <c r="P122" s="3">
        <v>9</v>
      </c>
      <c r="S122" s="3">
        <v>0</v>
      </c>
      <c r="T122" s="3">
        <v>5.2979999999999999E-2</v>
      </c>
      <c r="U122" s="3">
        <v>3.9390000000000001E-2</v>
      </c>
      <c r="V122" s="3">
        <v>0</v>
      </c>
      <c r="W122" s="3">
        <v>0</v>
      </c>
      <c r="AA122" s="3" t="str">
        <f t="shared" si="1"/>
        <v>718_55_T31-C-2_vm</v>
      </c>
      <c r="AB122" s="3" t="str">
        <f t="shared" si="0"/>
        <v>718_55_T31-C-2_vm_2</v>
      </c>
      <c r="AD122" s="3" t="s">
        <v>37</v>
      </c>
    </row>
    <row r="123" spans="1:30" ht="12.5">
      <c r="A123" s="3">
        <v>122</v>
      </c>
      <c r="F123" s="3"/>
      <c r="H123" s="3"/>
      <c r="M123" s="3" t="s">
        <v>38</v>
      </c>
      <c r="N123" s="3">
        <v>40</v>
      </c>
      <c r="O123" s="3">
        <v>0</v>
      </c>
      <c r="P123" s="3">
        <v>2</v>
      </c>
      <c r="Q123" s="3">
        <v>2</v>
      </c>
      <c r="R123" s="3">
        <v>2</v>
      </c>
      <c r="S123" s="3">
        <v>0</v>
      </c>
      <c r="T123" s="3">
        <v>0</v>
      </c>
      <c r="U123" s="3">
        <v>4.5159999999999999E-2</v>
      </c>
      <c r="V123" s="3">
        <v>0.1202</v>
      </c>
      <c r="W123" s="3">
        <v>0</v>
      </c>
      <c r="AA123" s="3" t="str">
        <f t="shared" si="1"/>
        <v>___</v>
      </c>
      <c r="AB123" s="3" t="str">
        <f t="shared" si="0"/>
        <v>____</v>
      </c>
    </row>
    <row r="124" spans="1:30" ht="12.5">
      <c r="A124" s="3">
        <v>123</v>
      </c>
      <c r="F124" s="3"/>
      <c r="H124" s="3"/>
      <c r="M124" s="3" t="s">
        <v>39</v>
      </c>
      <c r="N124" s="3">
        <v>35</v>
      </c>
      <c r="O124" s="3">
        <v>0</v>
      </c>
      <c r="P124" s="3">
        <v>1</v>
      </c>
      <c r="Q124" s="3">
        <v>3</v>
      </c>
      <c r="R124" s="3">
        <v>3</v>
      </c>
      <c r="S124" s="3">
        <v>0</v>
      </c>
      <c r="T124" s="3">
        <v>0</v>
      </c>
      <c r="U124" s="3">
        <v>6.6699999999999995E-2</v>
      </c>
      <c r="V124" s="3">
        <v>0.36282999999999999</v>
      </c>
      <c r="W124" s="3">
        <v>0</v>
      </c>
      <c r="AA124" s="3" t="str">
        <f t="shared" si="1"/>
        <v>___</v>
      </c>
      <c r="AB124" s="3" t="str">
        <f t="shared" si="0"/>
        <v>____</v>
      </c>
    </row>
    <row r="125" spans="1:30" ht="12.5">
      <c r="A125" s="3">
        <v>124</v>
      </c>
      <c r="B125" s="2">
        <v>45483</v>
      </c>
      <c r="C125" s="3">
        <v>718</v>
      </c>
      <c r="D125" s="3">
        <v>55</v>
      </c>
      <c r="E125" s="3" t="s">
        <v>33</v>
      </c>
      <c r="F125" s="3"/>
      <c r="G125" s="3" t="s">
        <v>57</v>
      </c>
      <c r="H125" s="3" t="s">
        <v>40</v>
      </c>
      <c r="I125" s="3">
        <v>3</v>
      </c>
      <c r="J125" s="4">
        <v>45404</v>
      </c>
      <c r="K125" s="4">
        <v>45372</v>
      </c>
      <c r="L125" s="3">
        <v>8</v>
      </c>
      <c r="M125" s="3" t="s">
        <v>36</v>
      </c>
      <c r="N125" s="3">
        <v>32</v>
      </c>
      <c r="O125" s="3">
        <v>7</v>
      </c>
      <c r="P125" s="3">
        <v>8</v>
      </c>
      <c r="S125" s="3">
        <v>0</v>
      </c>
      <c r="T125" s="3">
        <v>3.108E-2</v>
      </c>
      <c r="U125" s="3">
        <v>1.315E-2</v>
      </c>
      <c r="V125" s="3">
        <v>0</v>
      </c>
      <c r="W125" s="3">
        <v>0</v>
      </c>
      <c r="AA125" s="3" t="str">
        <f t="shared" si="1"/>
        <v>718_55_T31-C-2_vm</v>
      </c>
      <c r="AB125" s="3" t="str">
        <f t="shared" si="0"/>
        <v>718_55_T31-C-2_vm_3</v>
      </c>
      <c r="AD125" s="3" t="s">
        <v>37</v>
      </c>
    </row>
    <row r="126" spans="1:30" ht="12.5">
      <c r="A126" s="3">
        <v>125</v>
      </c>
      <c r="F126" s="3"/>
      <c r="H126" s="3"/>
      <c r="M126" s="3" t="s">
        <v>38</v>
      </c>
      <c r="N126" s="3">
        <v>14</v>
      </c>
      <c r="O126" s="3">
        <v>0</v>
      </c>
      <c r="P126" s="3">
        <v>3</v>
      </c>
      <c r="S126" s="3">
        <v>0</v>
      </c>
      <c r="T126" s="3">
        <v>0</v>
      </c>
      <c r="U126" s="3">
        <v>5.6600000000000001E-3</v>
      </c>
      <c r="V126" s="3">
        <v>0</v>
      </c>
      <c r="W126" s="3">
        <v>0</v>
      </c>
      <c r="AA126" s="3" t="str">
        <f t="shared" si="1"/>
        <v>___</v>
      </c>
      <c r="AB126" s="3" t="str">
        <f t="shared" si="0"/>
        <v>____</v>
      </c>
    </row>
    <row r="127" spans="1:30" ht="12.5">
      <c r="A127" s="3">
        <v>126</v>
      </c>
      <c r="F127" s="3"/>
      <c r="H127" s="3"/>
      <c r="M127" s="3" t="s">
        <v>39</v>
      </c>
      <c r="N127" s="3">
        <v>29</v>
      </c>
      <c r="O127" s="3">
        <v>0</v>
      </c>
      <c r="P127" s="3">
        <v>2</v>
      </c>
      <c r="Q127" s="3">
        <v>3</v>
      </c>
      <c r="R127" s="3">
        <v>3</v>
      </c>
      <c r="S127" s="3">
        <v>0</v>
      </c>
      <c r="T127" s="3">
        <v>0</v>
      </c>
      <c r="U127" s="3">
        <v>2.1250000000000002E-2</v>
      </c>
      <c r="V127" s="3">
        <v>6.6409999999999997E-2</v>
      </c>
      <c r="W127" s="3">
        <v>0</v>
      </c>
      <c r="AA127" s="3" t="str">
        <f t="shared" si="1"/>
        <v>___</v>
      </c>
      <c r="AB127" s="3" t="str">
        <f t="shared" si="0"/>
        <v>____</v>
      </c>
    </row>
    <row r="128" spans="1:30" ht="12.5">
      <c r="A128" s="3">
        <v>127</v>
      </c>
      <c r="B128" s="2">
        <v>45483</v>
      </c>
      <c r="C128" s="3">
        <v>718</v>
      </c>
      <c r="D128" s="3">
        <v>55</v>
      </c>
      <c r="E128" s="3" t="s">
        <v>33</v>
      </c>
      <c r="F128" s="3"/>
      <c r="G128" s="3" t="s">
        <v>57</v>
      </c>
      <c r="H128" s="3" t="s">
        <v>35</v>
      </c>
      <c r="I128" s="3">
        <v>1</v>
      </c>
      <c r="J128" s="4">
        <v>45341</v>
      </c>
      <c r="K128" s="4">
        <v>45394</v>
      </c>
      <c r="L128" s="3">
        <v>4</v>
      </c>
      <c r="M128" s="3" t="s">
        <v>36</v>
      </c>
      <c r="N128" s="3">
        <v>36</v>
      </c>
      <c r="O128" s="3">
        <v>13</v>
      </c>
      <c r="P128" s="3">
        <v>16</v>
      </c>
      <c r="S128" s="3">
        <v>0</v>
      </c>
      <c r="T128" s="3">
        <v>8.7429999999999994E-2</v>
      </c>
      <c r="U128" s="3">
        <v>1.2319999999999999E-2</v>
      </c>
      <c r="V128" s="3">
        <v>0</v>
      </c>
      <c r="W128" s="3">
        <v>0</v>
      </c>
      <c r="AA128" s="3" t="str">
        <f t="shared" si="1"/>
        <v>718_55_T31-C-2_vv</v>
      </c>
      <c r="AB128" s="3" t="str">
        <f t="shared" si="0"/>
        <v>718_55_T31-C-2_vv_1</v>
      </c>
      <c r="AD128" s="3" t="s">
        <v>37</v>
      </c>
    </row>
    <row r="129" spans="1:30" ht="12.5">
      <c r="A129" s="3">
        <v>128</v>
      </c>
      <c r="F129" s="3"/>
      <c r="H129" s="3"/>
      <c r="M129" s="3" t="s">
        <v>38</v>
      </c>
      <c r="N129" s="3">
        <v>35</v>
      </c>
      <c r="O129" s="3">
        <v>6</v>
      </c>
      <c r="P129" s="3">
        <v>15</v>
      </c>
      <c r="S129" s="3">
        <v>0</v>
      </c>
      <c r="T129" s="3">
        <v>3.7179999999999998E-2</v>
      </c>
      <c r="U129" s="3">
        <v>1.8350000000000002E-2</v>
      </c>
      <c r="V129" s="3">
        <v>0</v>
      </c>
      <c r="W129" s="3">
        <v>0</v>
      </c>
      <c r="AA129" s="3" t="str">
        <f t="shared" si="1"/>
        <v>___</v>
      </c>
      <c r="AB129" s="3" t="str">
        <f t="shared" si="0"/>
        <v>____</v>
      </c>
    </row>
    <row r="130" spans="1:30" ht="12.5">
      <c r="A130" s="3">
        <v>129</v>
      </c>
      <c r="F130" s="3"/>
      <c r="H130" s="3"/>
      <c r="M130" s="3" t="s">
        <v>39</v>
      </c>
      <c r="N130" s="3">
        <v>35</v>
      </c>
      <c r="O130" s="3">
        <v>4</v>
      </c>
      <c r="P130" s="3">
        <v>9</v>
      </c>
      <c r="S130" s="3">
        <v>0</v>
      </c>
      <c r="T130" s="3">
        <v>3.884E-2</v>
      </c>
      <c r="U130" s="3">
        <v>3.1710000000000002E-2</v>
      </c>
      <c r="V130" s="3">
        <v>0</v>
      </c>
      <c r="W130" s="3">
        <v>0</v>
      </c>
      <c r="AA130" s="3" t="str">
        <f t="shared" si="1"/>
        <v>___</v>
      </c>
      <c r="AB130" s="3" t="str">
        <f t="shared" si="0"/>
        <v>____</v>
      </c>
    </row>
    <row r="131" spans="1:30" ht="12.5">
      <c r="A131" s="3">
        <v>130</v>
      </c>
      <c r="B131" s="2">
        <v>45483</v>
      </c>
      <c r="C131" s="3">
        <v>718</v>
      </c>
      <c r="D131" s="3">
        <v>55</v>
      </c>
      <c r="E131" s="3" t="s">
        <v>33</v>
      </c>
      <c r="F131" s="3"/>
      <c r="G131" s="3" t="s">
        <v>57</v>
      </c>
      <c r="H131" s="3" t="s">
        <v>35</v>
      </c>
      <c r="I131" s="3">
        <v>2</v>
      </c>
      <c r="J131" s="3">
        <v>9</v>
      </c>
      <c r="K131" s="3">
        <v>9</v>
      </c>
      <c r="L131" s="3">
        <v>4</v>
      </c>
      <c r="M131" s="3" t="s">
        <v>36</v>
      </c>
      <c r="N131" s="3">
        <v>24</v>
      </c>
      <c r="O131" s="3">
        <v>9</v>
      </c>
      <c r="P131" s="3">
        <v>11</v>
      </c>
      <c r="S131" s="3">
        <v>0</v>
      </c>
      <c r="T131" s="3">
        <v>4.6030000000000001E-2</v>
      </c>
      <c r="U131" s="3">
        <v>4.9500000000000004E-3</v>
      </c>
      <c r="V131" s="3">
        <v>0</v>
      </c>
      <c r="W131" s="3">
        <v>0</v>
      </c>
      <c r="AA131" s="3" t="str">
        <f t="shared" si="1"/>
        <v>718_55_T31-C-2_vv</v>
      </c>
      <c r="AB131" s="3" t="str">
        <f t="shared" si="0"/>
        <v>718_55_T31-C-2_vv_2</v>
      </c>
      <c r="AD131" s="3" t="s">
        <v>37</v>
      </c>
    </row>
    <row r="132" spans="1:30" ht="12.5">
      <c r="A132" s="3">
        <v>131</v>
      </c>
      <c r="F132" s="3"/>
      <c r="H132" s="3"/>
      <c r="M132" s="3" t="s">
        <v>38</v>
      </c>
      <c r="N132" s="3">
        <v>21</v>
      </c>
      <c r="O132" s="3">
        <v>7</v>
      </c>
      <c r="P132" s="3">
        <v>8</v>
      </c>
      <c r="S132" s="3">
        <v>0</v>
      </c>
      <c r="T132" s="3">
        <v>5.0630000000000001E-2</v>
      </c>
      <c r="U132" s="3">
        <v>7.3600000000000002E-3</v>
      </c>
      <c r="V132" s="3">
        <v>0</v>
      </c>
      <c r="W132" s="3">
        <v>0</v>
      </c>
      <c r="AA132" s="3" t="str">
        <f t="shared" si="1"/>
        <v>___</v>
      </c>
      <c r="AB132" s="3" t="str">
        <f t="shared" si="0"/>
        <v>____</v>
      </c>
    </row>
    <row r="133" spans="1:30" ht="12.5">
      <c r="A133" s="3">
        <v>132</v>
      </c>
      <c r="F133" s="3"/>
      <c r="H133" s="3"/>
      <c r="M133" s="3" t="s">
        <v>39</v>
      </c>
      <c r="N133" s="3">
        <v>21</v>
      </c>
      <c r="O133" s="3">
        <v>0</v>
      </c>
      <c r="P133" s="3">
        <v>12</v>
      </c>
      <c r="S133" s="3">
        <v>0</v>
      </c>
      <c r="T133" s="3">
        <v>0</v>
      </c>
      <c r="U133" s="3">
        <v>1.0330000000000001E-2</v>
      </c>
      <c r="V133" s="3">
        <v>0</v>
      </c>
      <c r="W133" s="3">
        <v>0</v>
      </c>
      <c r="AA133" s="3" t="str">
        <f t="shared" si="1"/>
        <v>___</v>
      </c>
      <c r="AB133" s="3" t="str">
        <f t="shared" si="0"/>
        <v>____</v>
      </c>
    </row>
    <row r="134" spans="1:30" ht="12.5">
      <c r="A134" s="3">
        <v>133</v>
      </c>
      <c r="B134" s="2">
        <v>45483</v>
      </c>
      <c r="C134" s="3">
        <v>718</v>
      </c>
      <c r="D134" s="3">
        <v>55</v>
      </c>
      <c r="E134" s="3" t="s">
        <v>33</v>
      </c>
      <c r="F134" s="3"/>
      <c r="G134" s="3" t="s">
        <v>57</v>
      </c>
      <c r="H134" s="3" t="s">
        <v>35</v>
      </c>
      <c r="I134" s="3">
        <v>3</v>
      </c>
      <c r="J134" s="4">
        <v>45302</v>
      </c>
      <c r="K134" s="4">
        <v>45512</v>
      </c>
      <c r="L134" s="3">
        <v>2</v>
      </c>
      <c r="M134" s="3" t="s">
        <v>36</v>
      </c>
      <c r="N134" s="3">
        <v>28</v>
      </c>
      <c r="O134" s="3">
        <v>11</v>
      </c>
      <c r="P134" s="3">
        <v>13</v>
      </c>
      <c r="S134" s="3">
        <v>0</v>
      </c>
      <c r="T134" s="3">
        <v>9.1289999999999996E-2</v>
      </c>
      <c r="U134" s="3">
        <v>8.6199999999999992E-3</v>
      </c>
      <c r="X134" s="3"/>
      <c r="Y134" s="3" t="s">
        <v>56</v>
      </c>
      <c r="AA134" s="3" t="str">
        <f t="shared" si="1"/>
        <v>718_55_T31-C-2_vv</v>
      </c>
      <c r="AB134" s="3" t="str">
        <f t="shared" si="0"/>
        <v>718_55_T31-C-2_vv_3</v>
      </c>
      <c r="AD134" s="3" t="s">
        <v>37</v>
      </c>
    </row>
    <row r="135" spans="1:30" ht="12.5">
      <c r="A135" s="3">
        <v>134</v>
      </c>
      <c r="F135" s="3"/>
      <c r="H135" s="3"/>
      <c r="M135" s="3" t="s">
        <v>38</v>
      </c>
      <c r="N135" s="3">
        <v>56</v>
      </c>
      <c r="O135" s="3">
        <v>8</v>
      </c>
      <c r="P135" s="3">
        <v>13</v>
      </c>
      <c r="Q135" s="3">
        <v>4</v>
      </c>
      <c r="R135" s="3">
        <v>4</v>
      </c>
      <c r="S135" s="3">
        <v>0</v>
      </c>
      <c r="T135" s="3">
        <v>6.8610000000000004E-2</v>
      </c>
      <c r="U135" s="3">
        <v>4.3430000000000003E-2</v>
      </c>
      <c r="V135" s="3">
        <v>0.14638000000000001</v>
      </c>
      <c r="W135" s="3">
        <v>0</v>
      </c>
      <c r="AA135" s="3" t="str">
        <f t="shared" si="1"/>
        <v>___</v>
      </c>
      <c r="AB135" s="3" t="str">
        <f t="shared" si="0"/>
        <v>____</v>
      </c>
    </row>
    <row r="136" spans="1:30" ht="12.5">
      <c r="A136" s="3">
        <v>135</v>
      </c>
      <c r="F136" s="3"/>
      <c r="H136" s="3"/>
      <c r="M136" s="3" t="s">
        <v>39</v>
      </c>
      <c r="N136" s="3" t="s">
        <v>47</v>
      </c>
      <c r="O136" s="3" t="s">
        <v>47</v>
      </c>
      <c r="P136" s="3" t="s">
        <v>47</v>
      </c>
      <c r="S136" s="3" t="s">
        <v>47</v>
      </c>
      <c r="T136" s="3" t="s">
        <v>47</v>
      </c>
      <c r="U136" s="3" t="s">
        <v>47</v>
      </c>
      <c r="V136" s="3" t="s">
        <v>47</v>
      </c>
      <c r="W136" s="3" t="s">
        <v>47</v>
      </c>
      <c r="AA136" s="3" t="str">
        <f t="shared" si="1"/>
        <v>___</v>
      </c>
      <c r="AB136" s="3" t="str">
        <f t="shared" si="0"/>
        <v>____</v>
      </c>
    </row>
    <row r="137" spans="1:30" ht="12.5">
      <c r="A137" s="3">
        <v>136</v>
      </c>
      <c r="B137" s="2">
        <v>45483</v>
      </c>
      <c r="C137" s="6">
        <v>718</v>
      </c>
      <c r="D137" s="6">
        <v>62</v>
      </c>
      <c r="E137" s="3" t="s">
        <v>33</v>
      </c>
      <c r="F137" s="3"/>
      <c r="G137" s="3" t="s">
        <v>58</v>
      </c>
      <c r="H137" s="3" t="s">
        <v>35</v>
      </c>
      <c r="I137" s="3">
        <v>1</v>
      </c>
      <c r="J137" s="4">
        <v>45518</v>
      </c>
      <c r="K137" s="4">
        <v>45454</v>
      </c>
      <c r="L137" s="3">
        <v>5</v>
      </c>
      <c r="M137" s="3" t="s">
        <v>36</v>
      </c>
      <c r="N137" s="3">
        <v>22</v>
      </c>
      <c r="O137" s="3">
        <v>10</v>
      </c>
      <c r="P137" s="3">
        <v>12</v>
      </c>
      <c r="S137" s="3">
        <v>0</v>
      </c>
      <c r="T137" s="3">
        <v>3.9780000000000003E-2</v>
      </c>
      <c r="U137" s="3">
        <v>5.47E-3</v>
      </c>
      <c r="V137" s="3">
        <v>0</v>
      </c>
      <c r="W137" s="3">
        <v>0</v>
      </c>
      <c r="AA137" s="3" t="str">
        <f t="shared" si="1"/>
        <v>718_62_V1-C-5_vv</v>
      </c>
      <c r="AB137" s="3" t="str">
        <f t="shared" si="0"/>
        <v>718_62_V1-C-5_vv_1</v>
      </c>
      <c r="AD137" s="3" t="s">
        <v>37</v>
      </c>
    </row>
    <row r="138" spans="1:30" ht="12.5">
      <c r="A138" s="3">
        <v>137</v>
      </c>
      <c r="F138" s="3"/>
      <c r="H138" s="3"/>
      <c r="M138" s="3" t="s">
        <v>38</v>
      </c>
      <c r="N138" s="3">
        <v>33</v>
      </c>
      <c r="O138" s="3">
        <v>10</v>
      </c>
      <c r="P138" s="3">
        <v>12</v>
      </c>
      <c r="Q138" s="3">
        <v>1</v>
      </c>
      <c r="R138" s="3">
        <v>1</v>
      </c>
      <c r="S138" s="3">
        <v>0</v>
      </c>
      <c r="T138" s="3">
        <v>9.0359999999999996E-2</v>
      </c>
      <c r="U138" s="3">
        <v>2.027E-2</v>
      </c>
      <c r="V138" s="3">
        <v>1.055E-2</v>
      </c>
      <c r="W138" s="3">
        <v>0</v>
      </c>
      <c r="AA138" s="3" t="str">
        <f t="shared" si="1"/>
        <v>___</v>
      </c>
      <c r="AB138" s="3" t="str">
        <f t="shared" si="0"/>
        <v>____</v>
      </c>
    </row>
    <row r="139" spans="1:30" ht="12.5">
      <c r="A139" s="3">
        <v>138</v>
      </c>
      <c r="F139" s="3"/>
      <c r="H139" s="3"/>
      <c r="M139" s="3" t="s">
        <v>39</v>
      </c>
      <c r="N139" s="3">
        <v>20</v>
      </c>
      <c r="O139" s="3">
        <v>1</v>
      </c>
      <c r="P139" s="3">
        <v>9</v>
      </c>
      <c r="S139" s="3">
        <v>0</v>
      </c>
      <c r="T139" s="3">
        <v>9.4599999999999997E-3</v>
      </c>
      <c r="U139" s="3">
        <v>1.379E-2</v>
      </c>
      <c r="V139" s="3">
        <v>0</v>
      </c>
      <c r="W139" s="3">
        <v>0</v>
      </c>
      <c r="AA139" s="3" t="str">
        <f t="shared" si="1"/>
        <v>___</v>
      </c>
      <c r="AB139" s="3" t="str">
        <f t="shared" si="0"/>
        <v>____</v>
      </c>
    </row>
    <row r="140" spans="1:30" ht="12.5">
      <c r="A140" s="3">
        <v>139</v>
      </c>
      <c r="B140" s="2">
        <v>45483</v>
      </c>
      <c r="C140" s="3">
        <v>718</v>
      </c>
      <c r="D140" s="3">
        <v>62</v>
      </c>
      <c r="E140" s="3" t="s">
        <v>33</v>
      </c>
      <c r="F140" s="3"/>
      <c r="G140" s="3" t="s">
        <v>58</v>
      </c>
      <c r="H140" s="3" t="s">
        <v>35</v>
      </c>
      <c r="I140" s="3">
        <v>2</v>
      </c>
      <c r="J140" s="4">
        <v>45335</v>
      </c>
      <c r="K140" s="3">
        <v>12</v>
      </c>
      <c r="L140" s="3">
        <v>3</v>
      </c>
      <c r="M140" s="3" t="s">
        <v>36</v>
      </c>
      <c r="N140" s="3">
        <v>20</v>
      </c>
      <c r="O140" s="3">
        <v>11</v>
      </c>
      <c r="P140" s="3">
        <v>11</v>
      </c>
      <c r="S140" s="3">
        <v>0</v>
      </c>
      <c r="T140" s="3">
        <v>4.3560000000000001E-2</v>
      </c>
      <c r="U140" s="3">
        <v>4.45E-3</v>
      </c>
      <c r="V140" s="3">
        <v>0</v>
      </c>
      <c r="W140" s="3">
        <v>0</v>
      </c>
      <c r="AA140" s="3" t="str">
        <f t="shared" si="1"/>
        <v>718_62_V1-C-5_vv</v>
      </c>
      <c r="AB140" s="3" t="str">
        <f t="shared" si="0"/>
        <v>718_62_V1-C-5_vv_2</v>
      </c>
      <c r="AD140" s="3" t="s">
        <v>37</v>
      </c>
    </row>
    <row r="141" spans="1:30" ht="12.5">
      <c r="A141" s="3">
        <v>140</v>
      </c>
      <c r="F141" s="3"/>
      <c r="H141" s="3"/>
      <c r="M141" s="3" t="s">
        <v>38</v>
      </c>
      <c r="N141" s="3">
        <v>45</v>
      </c>
      <c r="O141" s="3">
        <v>11</v>
      </c>
      <c r="P141" s="3">
        <v>15</v>
      </c>
      <c r="S141" s="3">
        <v>0</v>
      </c>
      <c r="T141" s="3">
        <v>0.17347000000000001</v>
      </c>
      <c r="U141" s="3">
        <v>2.4989999999999998E-2</v>
      </c>
      <c r="V141" s="3">
        <v>0</v>
      </c>
      <c r="W141" s="3">
        <v>0</v>
      </c>
      <c r="AA141" s="3" t="str">
        <f t="shared" si="1"/>
        <v>___</v>
      </c>
      <c r="AB141" s="3" t="str">
        <f t="shared" si="0"/>
        <v>____</v>
      </c>
    </row>
    <row r="142" spans="1:30" ht="12.5">
      <c r="A142" s="3">
        <v>141</v>
      </c>
      <c r="F142" s="3"/>
      <c r="H142" s="3"/>
      <c r="M142" s="3" t="s">
        <v>39</v>
      </c>
      <c r="N142" s="3">
        <v>55</v>
      </c>
      <c r="O142" s="3">
        <v>2</v>
      </c>
      <c r="P142" s="3">
        <v>7</v>
      </c>
      <c r="S142" s="3">
        <v>0</v>
      </c>
      <c r="T142" s="3">
        <v>1.375E-2</v>
      </c>
      <c r="U142" s="3">
        <v>3.4119999999999998E-2</v>
      </c>
      <c r="V142" s="3">
        <v>0</v>
      </c>
      <c r="W142" s="3">
        <v>0</v>
      </c>
      <c r="AA142" s="3" t="str">
        <f t="shared" si="1"/>
        <v>___</v>
      </c>
      <c r="AB142" s="3" t="str">
        <f t="shared" si="0"/>
        <v>____</v>
      </c>
    </row>
    <row r="143" spans="1:30" ht="12.5">
      <c r="A143" s="3">
        <v>142</v>
      </c>
      <c r="B143" s="2">
        <v>45483</v>
      </c>
      <c r="C143" s="3">
        <v>718</v>
      </c>
      <c r="D143" s="3">
        <v>62</v>
      </c>
      <c r="E143" s="3" t="s">
        <v>33</v>
      </c>
      <c r="F143" s="3"/>
      <c r="G143" s="3" t="s">
        <v>58</v>
      </c>
      <c r="H143" s="3" t="s">
        <v>35</v>
      </c>
      <c r="I143" s="3">
        <v>3</v>
      </c>
      <c r="J143" s="4">
        <v>45485</v>
      </c>
      <c r="K143" s="4">
        <v>45419</v>
      </c>
      <c r="L143" s="3">
        <v>2</v>
      </c>
      <c r="M143" s="3" t="s">
        <v>36</v>
      </c>
      <c r="N143" s="3">
        <v>35</v>
      </c>
      <c r="O143" s="3">
        <v>9</v>
      </c>
      <c r="P143" s="3">
        <v>12</v>
      </c>
      <c r="S143" s="3">
        <v>0</v>
      </c>
      <c r="T143" s="3">
        <v>8.6379999999999998E-2</v>
      </c>
      <c r="U143" s="3">
        <v>9.5300000000000003E-3</v>
      </c>
      <c r="V143" s="3">
        <v>0</v>
      </c>
      <c r="W143" s="3">
        <v>0</v>
      </c>
      <c r="AA143" s="3" t="str">
        <f t="shared" si="1"/>
        <v>718_62_V1-C-5_vv</v>
      </c>
      <c r="AB143" s="3" t="str">
        <f t="shared" si="0"/>
        <v>718_62_V1-C-5_vv_3</v>
      </c>
      <c r="AD143" s="3" t="s">
        <v>37</v>
      </c>
    </row>
    <row r="144" spans="1:30" ht="12.5">
      <c r="A144" s="3">
        <v>143</v>
      </c>
      <c r="F144" s="3"/>
      <c r="H144" s="3"/>
      <c r="M144" s="3" t="s">
        <v>38</v>
      </c>
      <c r="N144" s="3">
        <v>39</v>
      </c>
      <c r="O144" s="3">
        <v>6</v>
      </c>
      <c r="P144" s="3">
        <v>9</v>
      </c>
      <c r="S144" s="3">
        <v>0</v>
      </c>
      <c r="T144" s="3">
        <v>4.274E-2</v>
      </c>
      <c r="U144" s="3">
        <v>2.2970000000000001E-2</v>
      </c>
      <c r="V144" s="3">
        <v>0</v>
      </c>
      <c r="W144" s="3">
        <v>0</v>
      </c>
      <c r="AA144" s="3" t="str">
        <f t="shared" si="1"/>
        <v>___</v>
      </c>
      <c r="AB144" s="3" t="str">
        <f t="shared" si="0"/>
        <v>____</v>
      </c>
    </row>
    <row r="145" spans="1:30" ht="12.5">
      <c r="A145" s="3">
        <v>144</v>
      </c>
      <c r="F145" s="3"/>
      <c r="H145" s="3"/>
      <c r="M145" s="3" t="s">
        <v>39</v>
      </c>
      <c r="N145" s="3" t="s">
        <v>47</v>
      </c>
      <c r="O145" s="3" t="s">
        <v>47</v>
      </c>
      <c r="P145" s="3" t="s">
        <v>47</v>
      </c>
      <c r="S145" s="3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3"/>
      <c r="Y145" s="7" t="s">
        <v>56</v>
      </c>
      <c r="AA145" s="3" t="str">
        <f t="shared" si="1"/>
        <v>___</v>
      </c>
      <c r="AB145" s="3" t="str">
        <f t="shared" si="0"/>
        <v>____</v>
      </c>
    </row>
    <row r="146" spans="1:30" ht="12.5">
      <c r="A146" s="3">
        <v>145</v>
      </c>
      <c r="B146" s="2">
        <v>45483</v>
      </c>
      <c r="C146" s="3">
        <v>718</v>
      </c>
      <c r="D146" s="3">
        <v>62</v>
      </c>
      <c r="E146" s="3" t="s">
        <v>33</v>
      </c>
      <c r="F146" s="3"/>
      <c r="G146" s="3" t="s">
        <v>58</v>
      </c>
      <c r="H146" s="3" t="s">
        <v>40</v>
      </c>
      <c r="I146" s="3">
        <v>1</v>
      </c>
      <c r="J146" s="3">
        <v>15</v>
      </c>
      <c r="K146" s="4">
        <v>45331</v>
      </c>
      <c r="L146" s="3">
        <v>3</v>
      </c>
      <c r="M146" s="3" t="s">
        <v>36</v>
      </c>
      <c r="N146" s="3">
        <v>21</v>
      </c>
      <c r="O146" s="3">
        <v>6</v>
      </c>
      <c r="P146" s="3">
        <v>6</v>
      </c>
      <c r="S146" s="3">
        <v>0</v>
      </c>
      <c r="T146" s="3">
        <v>1.137E-2</v>
      </c>
      <c r="U146" s="3">
        <v>5.0899999999999999E-3</v>
      </c>
      <c r="V146" s="3">
        <v>0</v>
      </c>
      <c r="W146" s="3">
        <v>0</v>
      </c>
      <c r="AA146" s="3" t="str">
        <f t="shared" si="1"/>
        <v>718_62_V1-C-5_vm</v>
      </c>
      <c r="AB146" s="3" t="str">
        <f t="shared" si="0"/>
        <v>718_62_V1-C-5_vm_1</v>
      </c>
      <c r="AD146" s="3" t="s">
        <v>37</v>
      </c>
    </row>
    <row r="147" spans="1:30" ht="12.5">
      <c r="A147" s="3">
        <v>146</v>
      </c>
      <c r="F147" s="3"/>
      <c r="H147" s="3"/>
      <c r="M147" s="3" t="s">
        <v>38</v>
      </c>
      <c r="N147" s="3">
        <v>45</v>
      </c>
      <c r="O147" s="3">
        <v>0</v>
      </c>
      <c r="P147" s="3">
        <v>2</v>
      </c>
      <c r="Q147" s="3">
        <v>3</v>
      </c>
      <c r="R147" s="3">
        <v>3</v>
      </c>
      <c r="S147" s="3">
        <v>0</v>
      </c>
      <c r="T147" s="3">
        <v>0</v>
      </c>
      <c r="U147" s="3">
        <v>2.681E-2</v>
      </c>
      <c r="V147" s="3">
        <v>4.2680000000000003E-2</v>
      </c>
      <c r="W147" s="3">
        <v>0</v>
      </c>
      <c r="AA147" s="3" t="str">
        <f t="shared" si="1"/>
        <v>___</v>
      </c>
      <c r="AB147" s="3" t="str">
        <f t="shared" si="0"/>
        <v>____</v>
      </c>
    </row>
    <row r="148" spans="1:30" ht="12.5">
      <c r="A148" s="3">
        <v>147</v>
      </c>
      <c r="F148" s="3"/>
      <c r="H148" s="3"/>
      <c r="M148" s="3" t="s">
        <v>39</v>
      </c>
      <c r="N148" s="3">
        <v>30</v>
      </c>
      <c r="O148" s="3">
        <v>0</v>
      </c>
      <c r="P148" s="3">
        <v>4</v>
      </c>
      <c r="S148" s="3">
        <v>0</v>
      </c>
      <c r="T148" s="3">
        <v>0</v>
      </c>
      <c r="U148" s="3">
        <v>2.6370000000000001E-2</v>
      </c>
      <c r="V148" s="3">
        <v>0</v>
      </c>
      <c r="W148" s="3">
        <v>0</v>
      </c>
      <c r="AA148" s="3" t="str">
        <f t="shared" si="1"/>
        <v>___</v>
      </c>
      <c r="AB148" s="3" t="str">
        <f t="shared" si="0"/>
        <v>____</v>
      </c>
    </row>
    <row r="149" spans="1:30" ht="12.5">
      <c r="A149" s="3">
        <v>148</v>
      </c>
      <c r="B149" s="2">
        <v>45483</v>
      </c>
      <c r="C149" s="3">
        <v>718</v>
      </c>
      <c r="D149" s="3">
        <v>62</v>
      </c>
      <c r="E149" s="3" t="s">
        <v>33</v>
      </c>
      <c r="F149" s="3"/>
      <c r="G149" s="3" t="s">
        <v>58</v>
      </c>
      <c r="H149" s="3" t="s">
        <v>40</v>
      </c>
      <c r="I149" s="3">
        <v>2</v>
      </c>
      <c r="J149" s="3">
        <v>10</v>
      </c>
      <c r="K149" s="4">
        <v>45543</v>
      </c>
      <c r="L149" s="3">
        <v>2</v>
      </c>
      <c r="M149" s="3" t="s">
        <v>36</v>
      </c>
      <c r="N149" s="3">
        <v>42</v>
      </c>
      <c r="O149" s="3">
        <v>6</v>
      </c>
      <c r="P149" s="3">
        <v>6</v>
      </c>
      <c r="S149" s="3">
        <v>0</v>
      </c>
      <c r="T149" s="3">
        <v>2.401E-2</v>
      </c>
      <c r="U149" s="3">
        <v>1.712E-2</v>
      </c>
      <c r="V149" s="3">
        <v>0</v>
      </c>
      <c r="W149" s="3">
        <v>0</v>
      </c>
      <c r="AA149" s="3" t="str">
        <f t="shared" si="1"/>
        <v>718_62_V1-C-5_vm</v>
      </c>
      <c r="AB149" s="3" t="str">
        <f t="shared" si="0"/>
        <v>718_62_V1-C-5_vm_2</v>
      </c>
      <c r="AD149" s="3" t="s">
        <v>37</v>
      </c>
    </row>
    <row r="150" spans="1:30" ht="12.5">
      <c r="A150" s="3">
        <v>149</v>
      </c>
      <c r="F150" s="3"/>
      <c r="H150" s="3"/>
      <c r="M150" s="3" t="s">
        <v>38</v>
      </c>
      <c r="N150" s="3">
        <v>48</v>
      </c>
      <c r="O150" s="3">
        <v>0</v>
      </c>
      <c r="P150" s="3">
        <v>4</v>
      </c>
      <c r="Q150" s="3">
        <v>3</v>
      </c>
      <c r="R150" s="3">
        <v>1</v>
      </c>
      <c r="S150" s="3">
        <v>0</v>
      </c>
      <c r="T150" s="3">
        <v>0</v>
      </c>
      <c r="U150" s="3">
        <v>3.6880000000000003E-2</v>
      </c>
      <c r="V150" s="3">
        <v>1.2760000000000001E-2</v>
      </c>
      <c r="W150" s="3">
        <v>0</v>
      </c>
      <c r="X150" s="3"/>
      <c r="Y150" s="3" t="s">
        <v>59</v>
      </c>
      <c r="AA150" s="3" t="str">
        <f t="shared" si="1"/>
        <v>___</v>
      </c>
      <c r="AB150" s="3" t="str">
        <f t="shared" si="0"/>
        <v>____</v>
      </c>
    </row>
    <row r="151" spans="1:30" ht="12.5">
      <c r="A151" s="3">
        <v>150</v>
      </c>
      <c r="F151" s="3"/>
      <c r="H151" s="3"/>
      <c r="M151" s="3" t="s">
        <v>39</v>
      </c>
      <c r="N151" s="3" t="s">
        <v>47</v>
      </c>
      <c r="O151" s="3" t="s">
        <v>47</v>
      </c>
      <c r="P151" s="3" t="s">
        <v>47</v>
      </c>
      <c r="S151" s="3" t="s">
        <v>47</v>
      </c>
      <c r="T151" s="3" t="s">
        <v>47</v>
      </c>
      <c r="U151" s="3" t="s">
        <v>47</v>
      </c>
      <c r="V151" s="3" t="s">
        <v>47</v>
      </c>
      <c r="W151" s="3" t="s">
        <v>47</v>
      </c>
      <c r="X151" s="3"/>
      <c r="Y151" s="3" t="s">
        <v>56</v>
      </c>
      <c r="AA151" s="3" t="str">
        <f t="shared" si="1"/>
        <v>___</v>
      </c>
      <c r="AB151" s="3" t="str">
        <f t="shared" si="0"/>
        <v>____</v>
      </c>
    </row>
    <row r="152" spans="1:30" ht="12.5">
      <c r="A152" s="3">
        <v>151</v>
      </c>
      <c r="B152" s="2">
        <v>45483</v>
      </c>
      <c r="C152" s="3">
        <v>718</v>
      </c>
      <c r="D152" s="3">
        <v>62</v>
      </c>
      <c r="E152" s="3" t="s">
        <v>33</v>
      </c>
      <c r="F152" s="3"/>
      <c r="G152" s="3" t="s">
        <v>58</v>
      </c>
      <c r="H152" s="3" t="s">
        <v>40</v>
      </c>
      <c r="I152" s="3">
        <v>3</v>
      </c>
      <c r="J152" s="4">
        <v>45306</v>
      </c>
      <c r="K152" s="4">
        <v>45304</v>
      </c>
      <c r="L152" s="3">
        <v>5</v>
      </c>
      <c r="M152" s="3" t="s">
        <v>36</v>
      </c>
      <c r="N152" s="3">
        <v>31</v>
      </c>
      <c r="O152" s="3">
        <v>6</v>
      </c>
      <c r="P152" s="3">
        <v>6</v>
      </c>
      <c r="S152" s="3">
        <v>0</v>
      </c>
      <c r="T152" s="3">
        <v>2.887E-2</v>
      </c>
      <c r="U152" s="3">
        <v>1.4449999999999999E-2</v>
      </c>
      <c r="V152" s="3">
        <v>0</v>
      </c>
      <c r="W152" s="3">
        <v>0</v>
      </c>
      <c r="AA152" s="3" t="str">
        <f t="shared" si="1"/>
        <v>718_62_V1-C-5_vm</v>
      </c>
      <c r="AB152" s="3" t="str">
        <f t="shared" si="0"/>
        <v>718_62_V1-C-5_vm_3</v>
      </c>
      <c r="AD152" s="3" t="s">
        <v>37</v>
      </c>
    </row>
    <row r="153" spans="1:30" ht="12.5">
      <c r="A153" s="3">
        <v>152</v>
      </c>
      <c r="F153" s="3"/>
      <c r="H153" s="3"/>
      <c r="M153" s="3" t="s">
        <v>38</v>
      </c>
      <c r="N153" s="3">
        <v>54</v>
      </c>
      <c r="O153" s="3">
        <v>0</v>
      </c>
      <c r="P153" s="3">
        <v>3</v>
      </c>
      <c r="Q153" s="3">
        <v>2</v>
      </c>
      <c r="R153" s="3">
        <v>1</v>
      </c>
      <c r="S153" s="3">
        <v>0</v>
      </c>
      <c r="T153" s="3">
        <v>0</v>
      </c>
      <c r="U153" s="3">
        <v>4.3900000000000002E-2</v>
      </c>
      <c r="V153" s="3">
        <v>2.426E-2</v>
      </c>
      <c r="W153" s="3">
        <v>0</v>
      </c>
      <c r="X153" s="3"/>
      <c r="Y153" s="3" t="s">
        <v>60</v>
      </c>
      <c r="AA153" s="3" t="str">
        <f t="shared" si="1"/>
        <v>___</v>
      </c>
      <c r="AB153" s="3" t="str">
        <f t="shared" si="0"/>
        <v>____</v>
      </c>
    </row>
    <row r="154" spans="1:30" ht="12.5">
      <c r="A154" s="3">
        <v>153</v>
      </c>
      <c r="F154" s="3"/>
      <c r="H154" s="3"/>
      <c r="M154" s="3" t="s">
        <v>39</v>
      </c>
      <c r="N154" s="3">
        <v>32</v>
      </c>
      <c r="O154" s="3">
        <v>0</v>
      </c>
      <c r="P154" s="3">
        <v>2</v>
      </c>
      <c r="Q154" s="3">
        <v>2</v>
      </c>
      <c r="R154" s="3">
        <v>1</v>
      </c>
      <c r="S154" s="3">
        <v>0</v>
      </c>
      <c r="T154" s="3">
        <v>0</v>
      </c>
      <c r="U154" s="3">
        <v>3.4709999999999998E-2</v>
      </c>
      <c r="V154" s="3">
        <v>8.301E-2</v>
      </c>
      <c r="W154" s="3">
        <v>0</v>
      </c>
      <c r="X154" s="3"/>
      <c r="Y154" s="3" t="s">
        <v>60</v>
      </c>
      <c r="AA154" s="3" t="str">
        <f t="shared" si="1"/>
        <v>___</v>
      </c>
      <c r="AB154" s="3" t="str">
        <f t="shared" si="0"/>
        <v>____</v>
      </c>
    </row>
    <row r="155" spans="1:30" ht="12.5">
      <c r="A155" s="3">
        <v>154</v>
      </c>
      <c r="B155" s="2">
        <v>45483</v>
      </c>
      <c r="C155" s="6">
        <v>622</v>
      </c>
      <c r="D155" s="6">
        <v>35</v>
      </c>
      <c r="E155" s="3" t="s">
        <v>33</v>
      </c>
      <c r="F155" s="3"/>
      <c r="G155" s="3" t="s">
        <v>44</v>
      </c>
      <c r="H155" s="3" t="s">
        <v>40</v>
      </c>
      <c r="I155" s="3">
        <v>1</v>
      </c>
      <c r="J155" s="4">
        <v>45401</v>
      </c>
      <c r="K155" s="4">
        <v>45492</v>
      </c>
      <c r="L155" s="3">
        <v>5</v>
      </c>
      <c r="M155" s="3" t="s">
        <v>36</v>
      </c>
      <c r="N155" s="3">
        <v>31</v>
      </c>
      <c r="O155" s="3">
        <v>5</v>
      </c>
      <c r="P155" s="3">
        <v>5</v>
      </c>
      <c r="S155" s="3">
        <v>0</v>
      </c>
      <c r="T155" s="3">
        <v>0.97089999999999999</v>
      </c>
      <c r="U155" s="3">
        <v>1.068E-2</v>
      </c>
      <c r="V155" s="3">
        <v>0</v>
      </c>
      <c r="W155" s="3">
        <v>0</v>
      </c>
      <c r="AA155" s="3" t="str">
        <f t="shared" si="1"/>
        <v>622_35_T4-C-1_vm</v>
      </c>
      <c r="AB155" s="3" t="str">
        <f t="shared" si="0"/>
        <v>622_35_T4-C-1_vm_1</v>
      </c>
      <c r="AD155" s="3" t="s">
        <v>37</v>
      </c>
    </row>
    <row r="156" spans="1:30" ht="12.5">
      <c r="A156" s="3">
        <v>155</v>
      </c>
      <c r="F156" s="3"/>
      <c r="H156" s="3"/>
      <c r="M156" s="3" t="s">
        <v>38</v>
      </c>
      <c r="N156" s="3">
        <v>74</v>
      </c>
      <c r="O156" s="3">
        <v>0</v>
      </c>
      <c r="P156" s="3">
        <v>7</v>
      </c>
      <c r="Q156" s="3">
        <v>4</v>
      </c>
      <c r="R156" s="3">
        <v>4</v>
      </c>
      <c r="S156" s="3">
        <v>0</v>
      </c>
      <c r="T156" s="3">
        <v>7.1029999999999996E-2</v>
      </c>
      <c r="U156" s="3">
        <v>3.5610000000000003E-2</v>
      </c>
      <c r="V156" s="3">
        <v>0</v>
      </c>
      <c r="W156" s="3">
        <v>0</v>
      </c>
      <c r="AA156" s="3" t="str">
        <f t="shared" si="1"/>
        <v>___</v>
      </c>
      <c r="AB156" s="3" t="str">
        <f t="shared" si="0"/>
        <v>____</v>
      </c>
    </row>
    <row r="157" spans="1:30" ht="12.5">
      <c r="A157" s="3">
        <v>156</v>
      </c>
      <c r="F157" s="3"/>
      <c r="H157" s="3"/>
      <c r="M157" s="3" t="s">
        <v>39</v>
      </c>
      <c r="N157" s="3">
        <v>52</v>
      </c>
      <c r="O157" s="3">
        <v>0</v>
      </c>
      <c r="P157" s="3">
        <v>7</v>
      </c>
      <c r="Q157" s="3">
        <v>1</v>
      </c>
      <c r="R157" s="3">
        <v>1</v>
      </c>
      <c r="S157" s="3">
        <v>0</v>
      </c>
      <c r="T157" s="3">
        <v>0</v>
      </c>
      <c r="U157" s="3">
        <v>1.6709999999999999E-2</v>
      </c>
      <c r="V157" s="3">
        <v>0</v>
      </c>
      <c r="W157" s="3">
        <v>0</v>
      </c>
      <c r="AA157" s="3" t="str">
        <f t="shared" si="1"/>
        <v>___</v>
      </c>
      <c r="AB157" s="3" t="str">
        <f t="shared" si="0"/>
        <v>____</v>
      </c>
    </row>
    <row r="158" spans="1:30" ht="12.5">
      <c r="A158" s="3">
        <v>157</v>
      </c>
      <c r="B158" s="2">
        <v>45483</v>
      </c>
      <c r="C158" s="3">
        <v>622</v>
      </c>
      <c r="D158" s="3">
        <v>35</v>
      </c>
      <c r="E158" s="3" t="s">
        <v>33</v>
      </c>
      <c r="F158" s="3"/>
      <c r="G158" s="3" t="s">
        <v>44</v>
      </c>
      <c r="H158" s="3" t="s">
        <v>40</v>
      </c>
      <c r="I158" s="3">
        <v>2</v>
      </c>
      <c r="J158" s="4">
        <v>45314</v>
      </c>
      <c r="K158" s="4">
        <v>45339</v>
      </c>
      <c r="L158" s="3">
        <v>5</v>
      </c>
      <c r="M158" s="3" t="s">
        <v>36</v>
      </c>
      <c r="N158" s="3">
        <v>43</v>
      </c>
      <c r="O158" s="3">
        <v>5</v>
      </c>
      <c r="P158" s="3">
        <v>5</v>
      </c>
      <c r="S158" s="3">
        <v>0</v>
      </c>
      <c r="T158" s="3">
        <v>8.9249999999999996E-2</v>
      </c>
      <c r="U158" s="3">
        <v>8.6300000000000005E-3</v>
      </c>
      <c r="V158" s="3">
        <v>0</v>
      </c>
      <c r="W158" s="3">
        <v>0</v>
      </c>
      <c r="AA158" s="3" t="str">
        <f t="shared" si="1"/>
        <v>622_35_T4-C-1_vm</v>
      </c>
      <c r="AB158" s="3" t="str">
        <f t="shared" si="0"/>
        <v>622_35_T4-C-1_vm_2</v>
      </c>
      <c r="AD158" s="3" t="s">
        <v>37</v>
      </c>
    </row>
    <row r="159" spans="1:30" ht="12.5">
      <c r="A159" s="3">
        <v>158</v>
      </c>
      <c r="F159" s="3"/>
      <c r="H159" s="3"/>
      <c r="M159" s="3" t="s">
        <v>38</v>
      </c>
      <c r="N159" s="3">
        <v>69</v>
      </c>
      <c r="O159" s="3">
        <v>0</v>
      </c>
      <c r="P159" s="3">
        <v>3</v>
      </c>
      <c r="Q159" s="3">
        <v>3</v>
      </c>
      <c r="R159" s="3">
        <v>3</v>
      </c>
      <c r="S159" s="3">
        <v>0</v>
      </c>
      <c r="T159" s="3">
        <v>0.12529000000000001</v>
      </c>
      <c r="U159" s="3">
        <v>1.6029999999999999E-2</v>
      </c>
      <c r="V159" s="3">
        <v>3.9989999999999998E-2</v>
      </c>
      <c r="W159" s="3">
        <v>0</v>
      </c>
      <c r="AA159" s="3" t="str">
        <f t="shared" si="1"/>
        <v>___</v>
      </c>
      <c r="AB159" s="3" t="str">
        <f t="shared" si="0"/>
        <v>____</v>
      </c>
    </row>
    <row r="160" spans="1:30" ht="12.5">
      <c r="A160" s="3">
        <v>159</v>
      </c>
      <c r="F160" s="3"/>
      <c r="H160" s="3"/>
      <c r="M160" s="3" t="s">
        <v>39</v>
      </c>
      <c r="N160" s="3">
        <v>22</v>
      </c>
      <c r="O160" s="3">
        <v>0</v>
      </c>
      <c r="P160" s="3">
        <v>2</v>
      </c>
      <c r="S160" s="3">
        <v>0</v>
      </c>
      <c r="T160" s="3">
        <v>0</v>
      </c>
      <c r="U160" s="3">
        <v>3.9890000000000002E-2</v>
      </c>
      <c r="V160" s="3">
        <v>0</v>
      </c>
      <c r="W160" s="3">
        <v>0</v>
      </c>
      <c r="AA160" s="3" t="str">
        <f t="shared" si="1"/>
        <v>___</v>
      </c>
      <c r="AB160" s="3" t="str">
        <f t="shared" si="0"/>
        <v>____</v>
      </c>
    </row>
    <row r="161" spans="1:30" ht="12.5">
      <c r="A161" s="3">
        <v>160</v>
      </c>
      <c r="B161" s="2">
        <v>45483</v>
      </c>
      <c r="C161" s="3">
        <v>622</v>
      </c>
      <c r="D161" s="3">
        <v>35</v>
      </c>
      <c r="E161" s="3" t="s">
        <v>33</v>
      </c>
      <c r="F161" s="3"/>
      <c r="G161" s="3" t="s">
        <v>44</v>
      </c>
      <c r="H161" s="3" t="s">
        <v>40</v>
      </c>
      <c r="I161" s="3">
        <v>3</v>
      </c>
      <c r="J161" s="4">
        <v>45494</v>
      </c>
      <c r="K161" s="3">
        <v>16</v>
      </c>
      <c r="L161" s="3">
        <v>5</v>
      </c>
      <c r="M161" s="3" t="s">
        <v>36</v>
      </c>
      <c r="N161" s="3">
        <v>52</v>
      </c>
      <c r="O161" s="3">
        <v>6</v>
      </c>
      <c r="P161" s="3">
        <v>6</v>
      </c>
      <c r="S161" s="3">
        <v>0</v>
      </c>
      <c r="T161" s="3">
        <v>7.5850000000000001E-2</v>
      </c>
      <c r="U161" s="3">
        <v>1.294E-2</v>
      </c>
      <c r="V161" s="3">
        <v>0</v>
      </c>
      <c r="W161" s="3">
        <v>0</v>
      </c>
      <c r="AA161" s="3" t="str">
        <f t="shared" si="1"/>
        <v>622_35_T4-C-1_vm</v>
      </c>
      <c r="AB161" s="3" t="str">
        <f t="shared" si="0"/>
        <v>622_35_T4-C-1_vm_3</v>
      </c>
      <c r="AD161" s="3" t="s">
        <v>37</v>
      </c>
    </row>
    <row r="162" spans="1:30" ht="12.5">
      <c r="A162" s="3">
        <v>161</v>
      </c>
      <c r="F162" s="3"/>
      <c r="H162" s="3"/>
      <c r="M162" s="3" t="s">
        <v>38</v>
      </c>
      <c r="N162" s="3">
        <v>35</v>
      </c>
      <c r="O162" s="3">
        <v>0</v>
      </c>
      <c r="P162" s="3">
        <v>3</v>
      </c>
      <c r="Q162" s="3">
        <v>3</v>
      </c>
      <c r="R162" s="3">
        <v>2</v>
      </c>
      <c r="S162" s="3">
        <v>0</v>
      </c>
      <c r="T162" s="3">
        <v>9.783E-2</v>
      </c>
      <c r="U162" s="3">
        <v>3.7249999999999998E-2</v>
      </c>
      <c r="V162" s="3">
        <v>0</v>
      </c>
      <c r="W162" s="3">
        <v>0</v>
      </c>
      <c r="X162" s="3"/>
      <c r="Y162" s="3" t="s">
        <v>60</v>
      </c>
      <c r="AA162" s="3" t="str">
        <f t="shared" si="1"/>
        <v>___</v>
      </c>
      <c r="AB162" s="3" t="str">
        <f t="shared" si="0"/>
        <v>____</v>
      </c>
    </row>
    <row r="163" spans="1:30" ht="12.5">
      <c r="A163" s="3">
        <v>162</v>
      </c>
      <c r="F163" s="3"/>
      <c r="H163" s="3"/>
      <c r="M163" s="3" t="s">
        <v>39</v>
      </c>
      <c r="N163" s="3">
        <v>35</v>
      </c>
      <c r="O163" s="3">
        <v>0</v>
      </c>
      <c r="P163" s="3">
        <v>2</v>
      </c>
      <c r="Q163" s="3">
        <v>2</v>
      </c>
      <c r="R163" s="3">
        <v>2</v>
      </c>
      <c r="S163" s="3">
        <v>0</v>
      </c>
      <c r="T163" s="3">
        <v>0</v>
      </c>
      <c r="U163" s="3">
        <v>2.232E-2</v>
      </c>
      <c r="V163" s="3">
        <v>0</v>
      </c>
      <c r="W163" s="3">
        <v>0</v>
      </c>
      <c r="AA163" s="3" t="str">
        <f t="shared" si="1"/>
        <v>___</v>
      </c>
      <c r="AB163" s="3" t="str">
        <f t="shared" si="0"/>
        <v>____</v>
      </c>
    </row>
    <row r="164" spans="1:30" ht="12.5">
      <c r="A164" s="3">
        <v>163</v>
      </c>
      <c r="B164" s="2">
        <v>45483</v>
      </c>
      <c r="C164" s="3">
        <v>622</v>
      </c>
      <c r="D164" s="3">
        <v>35</v>
      </c>
      <c r="E164" s="3" t="s">
        <v>33</v>
      </c>
      <c r="F164" s="3"/>
      <c r="G164" s="3" t="s">
        <v>44</v>
      </c>
      <c r="H164" s="3" t="s">
        <v>35</v>
      </c>
      <c r="I164" s="3">
        <v>1</v>
      </c>
      <c r="J164" s="4">
        <v>45460</v>
      </c>
      <c r="K164" s="4">
        <v>45334</v>
      </c>
      <c r="L164" s="3">
        <v>3</v>
      </c>
      <c r="M164" s="3" t="s">
        <v>36</v>
      </c>
      <c r="N164" s="3">
        <v>35</v>
      </c>
      <c r="O164" s="3">
        <v>13</v>
      </c>
      <c r="P164" s="3">
        <v>15</v>
      </c>
      <c r="S164" s="3">
        <v>0</v>
      </c>
      <c r="T164" s="3">
        <v>3.32E-2</v>
      </c>
      <c r="U164" s="3">
        <v>1.4959999999999999E-2</v>
      </c>
      <c r="V164" s="3">
        <v>0</v>
      </c>
      <c r="W164" s="3">
        <v>0</v>
      </c>
      <c r="AA164" s="3" t="str">
        <f t="shared" si="1"/>
        <v>622_35_T4-C-1_vv</v>
      </c>
      <c r="AB164" s="3" t="str">
        <f t="shared" si="0"/>
        <v>622_35_T4-C-1_vv_1</v>
      </c>
      <c r="AD164" s="3" t="s">
        <v>37</v>
      </c>
    </row>
    <row r="165" spans="1:30" ht="12.5">
      <c r="A165" s="3">
        <v>164</v>
      </c>
      <c r="F165" s="3"/>
      <c r="H165" s="3"/>
      <c r="M165" s="3" t="s">
        <v>38</v>
      </c>
      <c r="N165" s="3">
        <v>55</v>
      </c>
      <c r="O165" s="3">
        <v>0</v>
      </c>
      <c r="P165" s="3">
        <v>10</v>
      </c>
      <c r="S165" s="3">
        <v>0</v>
      </c>
      <c r="T165" s="3">
        <v>0</v>
      </c>
      <c r="U165" s="3">
        <v>7.9350000000000004E-2</v>
      </c>
      <c r="V165" s="3">
        <v>8.3970000000000003E-2</v>
      </c>
      <c r="W165" s="3">
        <v>0</v>
      </c>
      <c r="AA165" s="3" t="str">
        <f t="shared" si="1"/>
        <v>___</v>
      </c>
      <c r="AB165" s="3" t="str">
        <f t="shared" si="0"/>
        <v>____</v>
      </c>
    </row>
    <row r="166" spans="1:30" ht="12.5">
      <c r="A166" s="3">
        <v>165</v>
      </c>
      <c r="F166" s="3"/>
      <c r="H166" s="3"/>
      <c r="M166" s="3" t="s">
        <v>39</v>
      </c>
      <c r="N166" s="3">
        <v>32</v>
      </c>
      <c r="O166" s="3">
        <v>0</v>
      </c>
      <c r="P166" s="3">
        <v>8</v>
      </c>
      <c r="S166" s="3">
        <v>0</v>
      </c>
      <c r="T166" s="3">
        <v>0</v>
      </c>
      <c r="U166" s="3">
        <v>0.10212</v>
      </c>
      <c r="V166" s="3">
        <v>0.20558999999999999</v>
      </c>
      <c r="W166" s="3">
        <v>0</v>
      </c>
      <c r="AA166" s="3" t="str">
        <f t="shared" si="1"/>
        <v>___</v>
      </c>
      <c r="AB166" s="3" t="str">
        <f t="shared" si="0"/>
        <v>____</v>
      </c>
    </row>
    <row r="167" spans="1:30" ht="12.5">
      <c r="A167" s="3">
        <v>166</v>
      </c>
      <c r="B167" s="2">
        <v>45483</v>
      </c>
      <c r="C167" s="3">
        <v>622</v>
      </c>
      <c r="D167" s="3">
        <v>35</v>
      </c>
      <c r="E167" s="3" t="s">
        <v>33</v>
      </c>
      <c r="F167" s="3"/>
      <c r="G167" s="3" t="s">
        <v>44</v>
      </c>
      <c r="H167" s="3" t="s">
        <v>35</v>
      </c>
      <c r="I167" s="3">
        <v>2</v>
      </c>
      <c r="J167" s="4">
        <v>45425</v>
      </c>
      <c r="K167" s="4">
        <v>45301</v>
      </c>
      <c r="L167" s="3">
        <v>3</v>
      </c>
      <c r="M167" s="3" t="s">
        <v>36</v>
      </c>
      <c r="N167" s="3">
        <v>25</v>
      </c>
      <c r="O167" s="3">
        <v>13</v>
      </c>
      <c r="P167" s="3">
        <v>15</v>
      </c>
      <c r="S167" s="3">
        <v>0</v>
      </c>
      <c r="T167" s="3">
        <v>3.5049999999999998E-2</v>
      </c>
      <c r="U167" s="3">
        <v>2.666E-2</v>
      </c>
      <c r="V167" s="3">
        <v>0</v>
      </c>
      <c r="W167" s="3">
        <v>0</v>
      </c>
      <c r="AA167" s="3" t="str">
        <f t="shared" si="1"/>
        <v>622_35_T4-C-1_vv</v>
      </c>
      <c r="AB167" s="3" t="str">
        <f t="shared" si="0"/>
        <v>622_35_T4-C-1_vv_2</v>
      </c>
      <c r="AD167" s="3" t="s">
        <v>37</v>
      </c>
    </row>
    <row r="168" spans="1:30" ht="12.5">
      <c r="A168" s="3">
        <v>167</v>
      </c>
      <c r="F168" s="3"/>
      <c r="H168" s="3"/>
      <c r="M168" s="3" t="s">
        <v>38</v>
      </c>
      <c r="N168" s="3">
        <v>25</v>
      </c>
      <c r="O168" s="3">
        <v>7</v>
      </c>
      <c r="P168" s="3">
        <v>11</v>
      </c>
      <c r="Q168" s="3">
        <v>1</v>
      </c>
      <c r="R168" s="3">
        <v>1</v>
      </c>
      <c r="S168" s="3">
        <v>0</v>
      </c>
      <c r="T168" s="3">
        <v>0</v>
      </c>
      <c r="U168" s="3">
        <v>9.9669999999999995E-2</v>
      </c>
      <c r="V168" s="3">
        <v>0.19142999999999999</v>
      </c>
      <c r="W168" s="3">
        <v>0</v>
      </c>
      <c r="X168" s="3"/>
      <c r="Y168" s="3" t="s">
        <v>55</v>
      </c>
      <c r="AA168" s="3" t="str">
        <f t="shared" si="1"/>
        <v>___</v>
      </c>
      <c r="AB168" s="3" t="str">
        <f t="shared" si="0"/>
        <v>____</v>
      </c>
    </row>
    <row r="169" spans="1:30" ht="12.5">
      <c r="A169" s="3">
        <v>168</v>
      </c>
      <c r="F169" s="3"/>
      <c r="H169" s="3"/>
      <c r="M169" s="3" t="s">
        <v>39</v>
      </c>
      <c r="N169" s="3">
        <v>48</v>
      </c>
      <c r="O169" s="3">
        <v>0</v>
      </c>
      <c r="P169" s="3">
        <v>11</v>
      </c>
      <c r="S169" s="3">
        <v>0</v>
      </c>
      <c r="T169" s="3">
        <v>0</v>
      </c>
      <c r="U169" s="3">
        <v>3.4869999999999998E-2</v>
      </c>
      <c r="V169" s="3">
        <v>0</v>
      </c>
      <c r="W169" s="3">
        <v>0</v>
      </c>
      <c r="AA169" s="3" t="str">
        <f t="shared" si="1"/>
        <v>___</v>
      </c>
      <c r="AB169" s="3" t="str">
        <f t="shared" si="0"/>
        <v>____</v>
      </c>
    </row>
    <row r="170" spans="1:30" ht="12.5">
      <c r="A170" s="3">
        <v>169</v>
      </c>
      <c r="B170" s="2">
        <v>45483</v>
      </c>
      <c r="C170" s="3">
        <v>622</v>
      </c>
      <c r="D170" s="3">
        <v>35</v>
      </c>
      <c r="E170" s="3" t="s">
        <v>33</v>
      </c>
      <c r="F170" s="3"/>
      <c r="G170" s="3" t="s">
        <v>44</v>
      </c>
      <c r="H170" s="3" t="s">
        <v>35</v>
      </c>
      <c r="I170" s="3">
        <v>3</v>
      </c>
      <c r="J170" s="3">
        <v>21</v>
      </c>
      <c r="K170" s="3">
        <v>16</v>
      </c>
      <c r="L170" s="3">
        <v>3</v>
      </c>
      <c r="M170" s="3" t="s">
        <v>36</v>
      </c>
      <c r="N170" s="3">
        <v>45</v>
      </c>
      <c r="O170" s="3">
        <v>11</v>
      </c>
      <c r="P170" s="3">
        <v>15</v>
      </c>
      <c r="S170" s="3">
        <v>0</v>
      </c>
      <c r="T170" s="3">
        <v>4.8140000000000002E-2</v>
      </c>
      <c r="U170" s="3">
        <v>3.3070000000000002E-2</v>
      </c>
      <c r="V170" s="3">
        <v>0</v>
      </c>
      <c r="W170" s="3">
        <v>0</v>
      </c>
      <c r="AA170" s="3" t="str">
        <f t="shared" si="1"/>
        <v>622_35_T4-C-1_vv</v>
      </c>
      <c r="AB170" s="3" t="str">
        <f t="shared" si="0"/>
        <v>622_35_T4-C-1_vv_3</v>
      </c>
      <c r="AD170" s="3" t="s">
        <v>37</v>
      </c>
    </row>
    <row r="171" spans="1:30" ht="12.5">
      <c r="A171" s="3">
        <v>170</v>
      </c>
      <c r="F171" s="3"/>
      <c r="H171" s="3"/>
      <c r="M171" s="3" t="s">
        <v>38</v>
      </c>
      <c r="N171" s="3">
        <v>67</v>
      </c>
      <c r="O171" s="3">
        <v>5</v>
      </c>
      <c r="P171" s="3">
        <v>13</v>
      </c>
      <c r="S171" s="3">
        <v>0</v>
      </c>
      <c r="T171" s="3">
        <v>0</v>
      </c>
      <c r="U171" s="3">
        <v>3.73E-2</v>
      </c>
      <c r="V171" s="3">
        <v>0.11751</v>
      </c>
      <c r="W171" s="3">
        <v>0</v>
      </c>
      <c r="AA171" s="3" t="str">
        <f t="shared" si="1"/>
        <v>___</v>
      </c>
      <c r="AB171" s="3" t="str">
        <f t="shared" si="0"/>
        <v>____</v>
      </c>
    </row>
    <row r="172" spans="1:30" ht="12.5">
      <c r="A172" s="3">
        <v>171</v>
      </c>
      <c r="F172" s="3"/>
      <c r="H172" s="3"/>
      <c r="M172" s="3" t="s">
        <v>39</v>
      </c>
      <c r="N172" s="3">
        <v>43</v>
      </c>
      <c r="O172" s="3">
        <v>0</v>
      </c>
      <c r="P172" s="3">
        <v>4</v>
      </c>
      <c r="S172" s="3">
        <v>0</v>
      </c>
      <c r="T172" s="3">
        <v>0</v>
      </c>
      <c r="U172" s="3">
        <v>4.8890000000000003E-2</v>
      </c>
      <c r="V172" s="3">
        <v>0.10514</v>
      </c>
      <c r="W172" s="3">
        <v>0</v>
      </c>
      <c r="AA172" s="3" t="str">
        <f t="shared" si="1"/>
        <v>___</v>
      </c>
      <c r="AB172" s="3" t="str">
        <f t="shared" si="0"/>
        <v>____</v>
      </c>
    </row>
    <row r="173" spans="1:30" ht="12.5">
      <c r="A173" s="3">
        <v>172</v>
      </c>
      <c r="B173" s="2">
        <v>45483</v>
      </c>
      <c r="C173" s="6">
        <v>622</v>
      </c>
      <c r="D173" s="6">
        <v>46</v>
      </c>
      <c r="E173" s="3" t="s">
        <v>33</v>
      </c>
      <c r="F173" s="3"/>
      <c r="G173" s="3" t="s">
        <v>61</v>
      </c>
      <c r="H173" s="3" t="s">
        <v>40</v>
      </c>
      <c r="I173" s="3">
        <v>1</v>
      </c>
      <c r="J173" s="4">
        <v>45314</v>
      </c>
      <c r="K173" s="4">
        <v>45397</v>
      </c>
      <c r="L173" s="3">
        <v>4</v>
      </c>
      <c r="M173" s="3" t="s">
        <v>36</v>
      </c>
      <c r="N173" s="3">
        <v>49</v>
      </c>
      <c r="O173" s="3">
        <v>8</v>
      </c>
      <c r="P173" s="3">
        <v>8</v>
      </c>
      <c r="S173" s="3">
        <v>0</v>
      </c>
      <c r="T173" s="3">
        <v>5.5019999999999999E-2</v>
      </c>
      <c r="U173" s="3">
        <v>3.1530000000000002E-2</v>
      </c>
      <c r="V173" s="3">
        <v>0</v>
      </c>
      <c r="W173" s="3">
        <v>0</v>
      </c>
      <c r="AA173" s="3" t="str">
        <f t="shared" si="1"/>
        <v>622_46_T2-C-1_vm</v>
      </c>
      <c r="AB173" s="3" t="str">
        <f t="shared" si="0"/>
        <v>622_46_T2-C-1_vm_1</v>
      </c>
      <c r="AD173" s="3" t="s">
        <v>37</v>
      </c>
    </row>
    <row r="174" spans="1:30" ht="12.5">
      <c r="A174" s="3">
        <v>173</v>
      </c>
      <c r="F174" s="3"/>
      <c r="H174" s="3"/>
      <c r="M174" s="3" t="s">
        <v>38</v>
      </c>
      <c r="N174" s="3">
        <v>71</v>
      </c>
      <c r="O174" s="3">
        <v>0</v>
      </c>
      <c r="P174" s="3">
        <v>2</v>
      </c>
      <c r="Q174" s="3">
        <v>5</v>
      </c>
      <c r="R174" s="3">
        <v>3</v>
      </c>
      <c r="S174" s="3">
        <v>0</v>
      </c>
      <c r="T174" s="3">
        <v>0</v>
      </c>
      <c r="U174" s="3">
        <v>0.10177</v>
      </c>
      <c r="V174" s="3">
        <v>0.18512999999999999</v>
      </c>
      <c r="W174" s="3">
        <v>0</v>
      </c>
      <c r="X174" s="3"/>
      <c r="Y174" s="3" t="s">
        <v>62</v>
      </c>
      <c r="AA174" s="3" t="str">
        <f t="shared" si="1"/>
        <v>___</v>
      </c>
      <c r="AB174" s="3" t="str">
        <f t="shared" si="0"/>
        <v>____</v>
      </c>
    </row>
    <row r="175" spans="1:30" ht="12.5">
      <c r="A175" s="3">
        <v>174</v>
      </c>
      <c r="F175" s="3"/>
      <c r="H175" s="3"/>
      <c r="M175" s="3" t="s">
        <v>39</v>
      </c>
      <c r="N175" s="3">
        <v>7</v>
      </c>
      <c r="O175" s="3">
        <v>0</v>
      </c>
      <c r="P175" s="3">
        <v>1</v>
      </c>
      <c r="S175" s="3">
        <v>0</v>
      </c>
      <c r="T175" s="3">
        <v>0</v>
      </c>
      <c r="U175" s="3">
        <v>1.6E-2</v>
      </c>
      <c r="V175" s="3">
        <v>0</v>
      </c>
      <c r="W175" s="3">
        <v>0</v>
      </c>
      <c r="AA175" s="3" t="str">
        <f t="shared" si="1"/>
        <v>___</v>
      </c>
      <c r="AB175" s="3" t="str">
        <f t="shared" si="0"/>
        <v>____</v>
      </c>
    </row>
    <row r="176" spans="1:30" ht="12.5">
      <c r="A176" s="3">
        <v>175</v>
      </c>
      <c r="B176" s="2">
        <v>45483</v>
      </c>
      <c r="C176" s="3">
        <v>622</v>
      </c>
      <c r="D176" s="3">
        <v>46</v>
      </c>
      <c r="E176" s="3" t="s">
        <v>33</v>
      </c>
      <c r="F176" s="3"/>
      <c r="G176" s="3" t="s">
        <v>61</v>
      </c>
      <c r="H176" s="3" t="s">
        <v>40</v>
      </c>
      <c r="I176" s="3">
        <v>2</v>
      </c>
      <c r="J176" s="4">
        <v>45424</v>
      </c>
      <c r="K176" s="4">
        <v>45546</v>
      </c>
      <c r="L176" s="3">
        <v>5</v>
      </c>
      <c r="M176" s="3" t="s">
        <v>36</v>
      </c>
      <c r="N176" s="3">
        <v>13</v>
      </c>
      <c r="O176" s="3">
        <v>4</v>
      </c>
      <c r="P176" s="3">
        <v>5</v>
      </c>
      <c r="S176" s="3">
        <v>0</v>
      </c>
      <c r="T176" s="3">
        <v>6.9699999999999996E-3</v>
      </c>
      <c r="U176" s="3">
        <v>2.0899999999999998E-3</v>
      </c>
      <c r="V176" s="3">
        <v>0</v>
      </c>
      <c r="W176" s="3">
        <v>0</v>
      </c>
      <c r="AA176" s="3" t="str">
        <f t="shared" si="1"/>
        <v>622_46_T2-C-1_vm</v>
      </c>
      <c r="AB176" s="3" t="str">
        <f t="shared" si="0"/>
        <v>622_46_T2-C-1_vm_2</v>
      </c>
      <c r="AD176" s="3" t="s">
        <v>37</v>
      </c>
    </row>
    <row r="177" spans="1:30" ht="12.5">
      <c r="A177" s="3">
        <v>176</v>
      </c>
      <c r="F177" s="3"/>
      <c r="H177" s="3"/>
      <c r="M177" s="3" t="s">
        <v>38</v>
      </c>
      <c r="N177" s="3">
        <v>21</v>
      </c>
      <c r="O177" s="3">
        <v>4</v>
      </c>
      <c r="P177" s="3">
        <v>3</v>
      </c>
      <c r="Q177" s="3">
        <v>1</v>
      </c>
      <c r="R177" s="3">
        <v>1</v>
      </c>
      <c r="S177" s="3">
        <v>0</v>
      </c>
      <c r="T177" s="3">
        <v>0</v>
      </c>
      <c r="U177" s="3">
        <v>4.1700000000000001E-3</v>
      </c>
      <c r="V177" s="3">
        <v>1.7899999999999999E-3</v>
      </c>
      <c r="W177" s="3">
        <v>0</v>
      </c>
      <c r="AA177" s="3" t="str">
        <f t="shared" si="1"/>
        <v>___</v>
      </c>
      <c r="AB177" s="3" t="str">
        <f t="shared" si="0"/>
        <v>____</v>
      </c>
    </row>
    <row r="178" spans="1:30" ht="12.5">
      <c r="A178" s="3">
        <v>177</v>
      </c>
      <c r="F178" s="3"/>
      <c r="H178" s="3"/>
      <c r="M178" s="3" t="s">
        <v>39</v>
      </c>
      <c r="N178" s="3">
        <v>10</v>
      </c>
      <c r="O178" s="3">
        <v>0</v>
      </c>
      <c r="P178" s="3">
        <v>4</v>
      </c>
      <c r="Q178" s="3">
        <v>1</v>
      </c>
      <c r="R178" s="3">
        <v>1</v>
      </c>
      <c r="S178" s="3">
        <v>0</v>
      </c>
      <c r="T178" s="3">
        <v>0</v>
      </c>
      <c r="U178" s="3">
        <v>3.31E-3</v>
      </c>
      <c r="V178" s="3">
        <v>8.7100000000000007E-3</v>
      </c>
      <c r="W178" s="3">
        <v>0</v>
      </c>
      <c r="AA178" s="3" t="str">
        <f t="shared" si="1"/>
        <v>___</v>
      </c>
      <c r="AB178" s="3" t="str">
        <f t="shared" si="0"/>
        <v>____</v>
      </c>
    </row>
    <row r="179" spans="1:30" ht="12.5">
      <c r="A179" s="3">
        <v>178</v>
      </c>
      <c r="B179" s="2">
        <v>45483</v>
      </c>
      <c r="C179" s="3">
        <v>622</v>
      </c>
      <c r="D179" s="3">
        <v>46</v>
      </c>
      <c r="E179" s="3" t="s">
        <v>33</v>
      </c>
      <c r="F179" s="3"/>
      <c r="G179" s="3" t="s">
        <v>61</v>
      </c>
      <c r="H179" s="3" t="s">
        <v>40</v>
      </c>
      <c r="I179" s="3">
        <v>3</v>
      </c>
      <c r="J179" s="4">
        <v>45367</v>
      </c>
      <c r="K179" s="4">
        <v>45399</v>
      </c>
      <c r="L179" s="3">
        <v>6</v>
      </c>
      <c r="M179" s="3" t="s">
        <v>36</v>
      </c>
      <c r="N179" s="3">
        <v>20</v>
      </c>
      <c r="O179" s="3">
        <v>6</v>
      </c>
      <c r="P179" s="3">
        <v>6</v>
      </c>
      <c r="S179" s="3">
        <v>0</v>
      </c>
      <c r="T179" s="3">
        <v>2.674E-2</v>
      </c>
      <c r="U179" s="3">
        <v>6.4799999999999996E-3</v>
      </c>
      <c r="V179" s="3">
        <v>0</v>
      </c>
      <c r="W179" s="3">
        <v>0</v>
      </c>
      <c r="AA179" s="3" t="str">
        <f t="shared" si="1"/>
        <v>622_46_T2-C-1_vm</v>
      </c>
      <c r="AB179" s="3" t="str">
        <f t="shared" si="0"/>
        <v>622_46_T2-C-1_vm_3</v>
      </c>
      <c r="AD179" s="3" t="s">
        <v>37</v>
      </c>
    </row>
    <row r="180" spans="1:30" ht="12.5">
      <c r="A180" s="3">
        <v>179</v>
      </c>
      <c r="F180" s="3"/>
      <c r="H180" s="3"/>
      <c r="M180" s="3" t="s">
        <v>38</v>
      </c>
      <c r="N180" s="3">
        <v>36</v>
      </c>
      <c r="O180" s="3">
        <v>0</v>
      </c>
      <c r="P180" s="3">
        <v>3</v>
      </c>
      <c r="Q180" s="3">
        <v>3</v>
      </c>
      <c r="R180" s="3">
        <v>2</v>
      </c>
      <c r="S180" s="3">
        <v>0</v>
      </c>
      <c r="T180" s="3">
        <v>0</v>
      </c>
      <c r="U180" s="3">
        <v>2.7359999999999999E-2</v>
      </c>
      <c r="V180" s="3">
        <v>3.9109999999999999E-2</v>
      </c>
      <c r="W180" s="3">
        <v>0</v>
      </c>
      <c r="X180" s="3"/>
      <c r="Y180" s="3" t="s">
        <v>60</v>
      </c>
      <c r="AA180" s="3" t="str">
        <f t="shared" si="1"/>
        <v>___</v>
      </c>
      <c r="AB180" s="3" t="str">
        <f t="shared" si="0"/>
        <v>____</v>
      </c>
    </row>
    <row r="181" spans="1:30" ht="12.5">
      <c r="A181" s="3">
        <v>180</v>
      </c>
      <c r="F181" s="3"/>
      <c r="H181" s="3"/>
      <c r="M181" s="3" t="s">
        <v>39</v>
      </c>
      <c r="N181" s="3">
        <v>41</v>
      </c>
      <c r="O181" s="3">
        <v>0</v>
      </c>
      <c r="P181" s="3">
        <v>4</v>
      </c>
      <c r="Q181" s="3">
        <v>2</v>
      </c>
      <c r="R181" s="3">
        <v>2</v>
      </c>
      <c r="S181" s="3">
        <v>0</v>
      </c>
      <c r="T181" s="3">
        <v>0</v>
      </c>
      <c r="U181" s="3">
        <v>4.0689999999999997E-2</v>
      </c>
      <c r="V181" s="3">
        <v>0.11638</v>
      </c>
      <c r="W181" s="3">
        <v>0</v>
      </c>
      <c r="AA181" s="3" t="str">
        <f t="shared" si="1"/>
        <v>___</v>
      </c>
      <c r="AB181" s="3" t="str">
        <f t="shared" si="0"/>
        <v>____</v>
      </c>
    </row>
    <row r="182" spans="1:30" ht="12.5">
      <c r="A182" s="3">
        <v>181</v>
      </c>
      <c r="B182" s="2">
        <v>45483</v>
      </c>
      <c r="C182" s="3">
        <v>622</v>
      </c>
      <c r="D182" s="3">
        <v>46</v>
      </c>
      <c r="E182" s="3" t="s">
        <v>33</v>
      </c>
      <c r="F182" s="3"/>
      <c r="G182" s="3" t="s">
        <v>61</v>
      </c>
      <c r="H182" s="3" t="s">
        <v>35</v>
      </c>
      <c r="I182" s="3">
        <v>1</v>
      </c>
      <c r="J182" s="4">
        <v>45427</v>
      </c>
      <c r="K182" s="3">
        <v>11</v>
      </c>
      <c r="L182" s="3">
        <v>7</v>
      </c>
      <c r="M182" s="3" t="s">
        <v>36</v>
      </c>
      <c r="N182" s="3">
        <v>11</v>
      </c>
      <c r="O182" s="3">
        <v>7</v>
      </c>
      <c r="P182" s="3">
        <v>7</v>
      </c>
      <c r="S182" s="3">
        <v>0</v>
      </c>
      <c r="T182" s="3">
        <v>1.1950000000000001E-2</v>
      </c>
      <c r="U182" s="3">
        <v>1.34E-3</v>
      </c>
      <c r="V182" s="3">
        <v>0</v>
      </c>
      <c r="W182" s="3">
        <v>0</v>
      </c>
      <c r="AA182" s="3" t="str">
        <f t="shared" si="1"/>
        <v>622_46_T2-C-1_vv</v>
      </c>
      <c r="AB182" s="3" t="str">
        <f t="shared" si="0"/>
        <v>622_46_T2-C-1_vv_1</v>
      </c>
      <c r="AD182" s="3" t="s">
        <v>37</v>
      </c>
    </row>
    <row r="183" spans="1:30" ht="12.5">
      <c r="A183" s="3">
        <v>182</v>
      </c>
      <c r="F183" s="3"/>
      <c r="H183" s="3"/>
      <c r="M183" s="3" t="s">
        <v>38</v>
      </c>
      <c r="N183" s="3">
        <v>21</v>
      </c>
      <c r="O183" s="3">
        <v>7</v>
      </c>
      <c r="P183" s="3">
        <v>9</v>
      </c>
      <c r="S183" s="3">
        <v>0</v>
      </c>
      <c r="T183" s="3">
        <v>8.4029999999999994E-2</v>
      </c>
      <c r="U183" s="3">
        <v>6.5900000000000004E-3</v>
      </c>
      <c r="V183" s="3">
        <v>0</v>
      </c>
      <c r="W183" s="3">
        <v>0</v>
      </c>
      <c r="AA183" s="3" t="str">
        <f t="shared" si="1"/>
        <v>___</v>
      </c>
      <c r="AB183" s="3" t="str">
        <f t="shared" si="0"/>
        <v>____</v>
      </c>
    </row>
    <row r="184" spans="1:30" ht="12.5">
      <c r="A184" s="3">
        <v>183</v>
      </c>
      <c r="F184" s="3"/>
      <c r="H184" s="3"/>
      <c r="M184" s="3" t="s">
        <v>39</v>
      </c>
      <c r="N184" s="3">
        <v>20</v>
      </c>
      <c r="O184" s="3">
        <v>3</v>
      </c>
      <c r="P184" s="3">
        <v>5</v>
      </c>
      <c r="S184" s="3">
        <v>0</v>
      </c>
      <c r="T184" s="3">
        <v>3.304E-2</v>
      </c>
      <c r="U184" s="3">
        <v>7.9799999999999992E-3</v>
      </c>
      <c r="V184" s="3">
        <v>0</v>
      </c>
      <c r="W184" s="3">
        <v>0</v>
      </c>
      <c r="AA184" s="3" t="str">
        <f t="shared" si="1"/>
        <v>___</v>
      </c>
      <c r="AB184" s="3" t="str">
        <f t="shared" si="0"/>
        <v>____</v>
      </c>
    </row>
    <row r="185" spans="1:30" ht="12.5">
      <c r="A185" s="3">
        <v>184</v>
      </c>
      <c r="B185" s="2">
        <v>45483</v>
      </c>
      <c r="C185" s="3">
        <v>622</v>
      </c>
      <c r="D185" s="3">
        <v>46</v>
      </c>
      <c r="E185" s="3" t="s">
        <v>33</v>
      </c>
      <c r="F185" s="3"/>
      <c r="G185" s="3" t="s">
        <v>61</v>
      </c>
      <c r="H185" s="3" t="s">
        <v>35</v>
      </c>
      <c r="I185" s="3">
        <v>2</v>
      </c>
      <c r="J185" s="4">
        <v>45515</v>
      </c>
      <c r="K185" s="4">
        <v>45358</v>
      </c>
      <c r="L185" s="3">
        <v>5</v>
      </c>
      <c r="M185" s="3" t="s">
        <v>36</v>
      </c>
      <c r="N185" s="3">
        <v>7</v>
      </c>
      <c r="O185" s="3">
        <v>8</v>
      </c>
      <c r="P185" s="3">
        <v>8</v>
      </c>
      <c r="S185" s="3">
        <v>0</v>
      </c>
      <c r="T185" s="3">
        <v>1.4489999999999999E-2</v>
      </c>
      <c r="U185" s="3">
        <v>7.3999999999999999E-4</v>
      </c>
      <c r="V185" s="3">
        <v>0</v>
      </c>
      <c r="W185" s="3">
        <v>0</v>
      </c>
      <c r="AA185" s="3" t="str">
        <f t="shared" si="1"/>
        <v>622_46_T2-C-1_vv</v>
      </c>
      <c r="AB185" s="3" t="str">
        <f t="shared" si="0"/>
        <v>622_46_T2-C-1_vv_2</v>
      </c>
      <c r="AD185" s="3" t="s">
        <v>37</v>
      </c>
    </row>
    <row r="186" spans="1:30" ht="12.5">
      <c r="A186" s="3">
        <v>185</v>
      </c>
      <c r="F186" s="3"/>
      <c r="H186" s="3"/>
      <c r="M186" s="3" t="s">
        <v>38</v>
      </c>
      <c r="N186" s="3">
        <v>19</v>
      </c>
      <c r="O186" s="3">
        <v>6</v>
      </c>
      <c r="P186" s="3">
        <v>7</v>
      </c>
      <c r="S186" s="3">
        <v>0</v>
      </c>
      <c r="T186" s="3">
        <v>5.6279999999999997E-2</v>
      </c>
      <c r="U186" s="3">
        <v>3.65E-3</v>
      </c>
      <c r="V186" s="3">
        <v>0</v>
      </c>
      <c r="W186" s="3">
        <v>0</v>
      </c>
      <c r="AA186" s="3" t="str">
        <f t="shared" si="1"/>
        <v>___</v>
      </c>
      <c r="AB186" s="3" t="str">
        <f t="shared" si="0"/>
        <v>____</v>
      </c>
    </row>
    <row r="187" spans="1:30" ht="12.5">
      <c r="A187" s="3">
        <v>186</v>
      </c>
      <c r="F187" s="3"/>
      <c r="H187" s="3"/>
      <c r="M187" s="3" t="s">
        <v>39</v>
      </c>
      <c r="N187" s="3">
        <v>21</v>
      </c>
      <c r="O187" s="3">
        <v>1</v>
      </c>
      <c r="P187" s="3">
        <v>6</v>
      </c>
      <c r="S187" s="3">
        <v>0</v>
      </c>
      <c r="T187" s="3">
        <v>1.306E-2</v>
      </c>
      <c r="U187" s="3">
        <v>8.0599999999999995E-3</v>
      </c>
      <c r="V187" s="3">
        <v>0</v>
      </c>
      <c r="W187" s="3">
        <v>0</v>
      </c>
      <c r="AA187" s="3" t="str">
        <f t="shared" si="1"/>
        <v>___</v>
      </c>
      <c r="AB187" s="3" t="str">
        <f t="shared" si="0"/>
        <v>____</v>
      </c>
    </row>
    <row r="188" spans="1:30" ht="12.5">
      <c r="A188" s="3">
        <v>187</v>
      </c>
      <c r="B188" s="2">
        <v>45483</v>
      </c>
      <c r="C188" s="3">
        <v>622</v>
      </c>
      <c r="D188" s="3">
        <v>46</v>
      </c>
      <c r="E188" s="3" t="s">
        <v>33</v>
      </c>
      <c r="F188" s="3"/>
      <c r="G188" s="3" t="s">
        <v>61</v>
      </c>
      <c r="H188" s="3" t="s">
        <v>35</v>
      </c>
      <c r="I188" s="3">
        <v>3</v>
      </c>
      <c r="J188" s="4">
        <v>45456</v>
      </c>
      <c r="K188" s="4">
        <v>45546</v>
      </c>
      <c r="L188" s="3">
        <v>5</v>
      </c>
      <c r="M188" s="3" t="s">
        <v>36</v>
      </c>
      <c r="N188" s="3">
        <v>17</v>
      </c>
      <c r="O188" s="3">
        <v>8</v>
      </c>
      <c r="P188" s="3">
        <v>9</v>
      </c>
      <c r="S188" s="3">
        <v>0</v>
      </c>
      <c r="T188" s="3">
        <v>9.1660000000000005E-2</v>
      </c>
      <c r="U188" s="3">
        <v>5.5100000000000001E-3</v>
      </c>
      <c r="V188" s="3">
        <v>0</v>
      </c>
      <c r="W188" s="3">
        <v>0</v>
      </c>
      <c r="AA188" s="3" t="str">
        <f t="shared" si="1"/>
        <v>622_46_T2-C-1_vv</v>
      </c>
      <c r="AB188" s="3" t="str">
        <f t="shared" si="0"/>
        <v>622_46_T2-C-1_vv_3</v>
      </c>
      <c r="AD188" s="3" t="s">
        <v>37</v>
      </c>
    </row>
    <row r="189" spans="1:30" ht="12.5">
      <c r="A189" s="3">
        <v>188</v>
      </c>
      <c r="F189" s="3"/>
      <c r="H189" s="3"/>
      <c r="M189" s="3" t="s">
        <v>38</v>
      </c>
      <c r="N189" s="3">
        <v>14</v>
      </c>
      <c r="O189" s="3">
        <v>6</v>
      </c>
      <c r="P189" s="3">
        <v>8</v>
      </c>
      <c r="S189" s="3">
        <v>0</v>
      </c>
      <c r="T189" s="3">
        <v>4.836E-2</v>
      </c>
      <c r="U189" s="3">
        <v>2.5400000000000002E-3</v>
      </c>
      <c r="V189" s="3">
        <v>0</v>
      </c>
      <c r="W189" s="3">
        <v>0</v>
      </c>
      <c r="AA189" s="3" t="str">
        <f t="shared" si="1"/>
        <v>___</v>
      </c>
      <c r="AB189" s="3" t="str">
        <f t="shared" si="0"/>
        <v>____</v>
      </c>
    </row>
    <row r="190" spans="1:30" ht="12.5">
      <c r="A190" s="3">
        <v>189</v>
      </c>
      <c r="F190" s="3"/>
      <c r="H190" s="3"/>
      <c r="M190" s="3" t="s">
        <v>39</v>
      </c>
      <c r="N190" s="3">
        <v>34</v>
      </c>
      <c r="O190" s="3">
        <v>2</v>
      </c>
      <c r="P190" s="3">
        <v>19</v>
      </c>
      <c r="S190" s="3">
        <v>0</v>
      </c>
      <c r="T190" s="3">
        <v>1.9769999999999999E-2</v>
      </c>
      <c r="U190" s="3">
        <v>1.711E-2</v>
      </c>
      <c r="V190" s="3">
        <v>0</v>
      </c>
      <c r="W190" s="3">
        <v>0</v>
      </c>
      <c r="AA190" s="3" t="str">
        <f t="shared" si="1"/>
        <v>___</v>
      </c>
      <c r="AB190" s="3" t="str">
        <f t="shared" si="0"/>
        <v>____</v>
      </c>
    </row>
    <row r="191" spans="1:30" ht="12.5">
      <c r="A191" s="3">
        <v>190</v>
      </c>
      <c r="B191" s="12">
        <v>45482</v>
      </c>
      <c r="C191" s="6">
        <v>970</v>
      </c>
      <c r="D191" s="6">
        <v>24</v>
      </c>
      <c r="E191" s="3" t="s">
        <v>33</v>
      </c>
      <c r="F191" s="3"/>
      <c r="G191" s="3" t="s">
        <v>45</v>
      </c>
      <c r="H191" s="3" t="s">
        <v>40</v>
      </c>
      <c r="I191" s="3">
        <v>1</v>
      </c>
      <c r="J191" s="4">
        <v>45457</v>
      </c>
      <c r="K191" s="4">
        <v>45446</v>
      </c>
      <c r="L191" s="3">
        <v>4</v>
      </c>
      <c r="M191" s="3" t="s">
        <v>36</v>
      </c>
      <c r="N191" s="3">
        <v>24</v>
      </c>
      <c r="O191" s="3">
        <v>8</v>
      </c>
      <c r="P191" s="3">
        <v>8</v>
      </c>
      <c r="V191" s="3">
        <v>0</v>
      </c>
      <c r="AA191" s="3" t="str">
        <f t="shared" si="1"/>
        <v>970_24_T31-C-1_vm</v>
      </c>
      <c r="AB191" s="3" t="str">
        <f t="shared" si="0"/>
        <v>970_24_T31-C-1_vm_1</v>
      </c>
    </row>
    <row r="192" spans="1:30" ht="12.5">
      <c r="A192" s="3">
        <v>191</v>
      </c>
      <c r="F192" s="3"/>
      <c r="H192" s="3"/>
      <c r="M192" s="3" t="s">
        <v>38</v>
      </c>
      <c r="N192" s="3">
        <v>81</v>
      </c>
      <c r="O192" s="3">
        <v>0</v>
      </c>
      <c r="P192" s="3">
        <v>3</v>
      </c>
      <c r="Q192" s="3">
        <v>5</v>
      </c>
      <c r="R192" s="3">
        <v>4</v>
      </c>
      <c r="T192" s="3"/>
      <c r="U192" s="3"/>
      <c r="V192" s="3">
        <v>0</v>
      </c>
      <c r="W192" s="3"/>
      <c r="X192" s="3"/>
      <c r="Y192" s="3" t="s">
        <v>60</v>
      </c>
      <c r="AA192" s="3" t="str">
        <f t="shared" si="1"/>
        <v>___</v>
      </c>
      <c r="AB192" s="3" t="str">
        <f t="shared" si="0"/>
        <v>____</v>
      </c>
    </row>
    <row r="193" spans="1:28" ht="12.5">
      <c r="A193" s="3">
        <v>192</v>
      </c>
      <c r="F193" s="3"/>
      <c r="H193" s="3"/>
      <c r="M193" s="3" t="s">
        <v>39</v>
      </c>
      <c r="N193" s="3">
        <v>25</v>
      </c>
      <c r="O193" s="3">
        <v>0</v>
      </c>
      <c r="P193" s="3">
        <v>1</v>
      </c>
      <c r="V193" s="3">
        <v>0</v>
      </c>
      <c r="AA193" s="3" t="str">
        <f t="shared" si="1"/>
        <v>___</v>
      </c>
      <c r="AB193" s="3" t="str">
        <f t="shared" si="0"/>
        <v>____</v>
      </c>
    </row>
    <row r="194" spans="1:28" ht="12.5">
      <c r="A194" s="3">
        <v>193</v>
      </c>
      <c r="B194" s="12">
        <v>45482</v>
      </c>
      <c r="C194" s="3">
        <v>970</v>
      </c>
      <c r="D194" s="3">
        <v>24</v>
      </c>
      <c r="E194" s="3" t="s">
        <v>33</v>
      </c>
      <c r="F194" s="3"/>
      <c r="G194" s="3" t="s">
        <v>45</v>
      </c>
      <c r="H194" s="3" t="s">
        <v>40</v>
      </c>
      <c r="I194" s="3">
        <v>2</v>
      </c>
      <c r="J194" s="4">
        <v>45311</v>
      </c>
      <c r="K194" s="4">
        <v>45365</v>
      </c>
      <c r="L194" s="3">
        <v>5</v>
      </c>
      <c r="M194" s="3" t="s">
        <v>36</v>
      </c>
      <c r="N194" s="3">
        <v>31</v>
      </c>
      <c r="O194" s="3">
        <v>8</v>
      </c>
      <c r="P194" s="3">
        <v>8</v>
      </c>
      <c r="V194" s="3">
        <v>0</v>
      </c>
      <c r="AA194" s="3" t="str">
        <f t="shared" si="1"/>
        <v>970_24_T31-C-1_vm</v>
      </c>
      <c r="AB194" s="3" t="str">
        <f t="shared" si="0"/>
        <v>970_24_T31-C-1_vm_2</v>
      </c>
    </row>
    <row r="195" spans="1:28" ht="12.5">
      <c r="A195" s="3">
        <v>194</v>
      </c>
      <c r="F195" s="3"/>
      <c r="H195" s="3"/>
      <c r="M195" s="3" t="s">
        <v>38</v>
      </c>
      <c r="N195" s="3">
        <v>58</v>
      </c>
      <c r="O195" s="3">
        <v>0</v>
      </c>
      <c r="P195" s="3">
        <v>4</v>
      </c>
      <c r="Q195" s="3">
        <v>3</v>
      </c>
      <c r="R195" s="3">
        <v>3</v>
      </c>
      <c r="V195" s="3">
        <v>0</v>
      </c>
      <c r="AA195" s="3" t="str">
        <f t="shared" si="1"/>
        <v>___</v>
      </c>
      <c r="AB195" s="3" t="str">
        <f t="shared" si="0"/>
        <v>____</v>
      </c>
    </row>
    <row r="196" spans="1:28" ht="12.5">
      <c r="A196" s="3">
        <v>195</v>
      </c>
      <c r="F196" s="3"/>
      <c r="H196" s="3"/>
      <c r="M196" s="3" t="s">
        <v>39</v>
      </c>
      <c r="N196" s="3">
        <v>41</v>
      </c>
      <c r="O196" s="3">
        <v>0</v>
      </c>
      <c r="P196" s="3">
        <v>4</v>
      </c>
      <c r="Q196" s="3">
        <v>1</v>
      </c>
      <c r="R196" s="3">
        <v>1</v>
      </c>
      <c r="V196" s="3">
        <v>0</v>
      </c>
      <c r="AA196" s="3" t="str">
        <f t="shared" si="1"/>
        <v>___</v>
      </c>
      <c r="AB196" s="3" t="str">
        <f t="shared" si="0"/>
        <v>____</v>
      </c>
    </row>
    <row r="197" spans="1:28" ht="12.5">
      <c r="A197" s="3">
        <v>196</v>
      </c>
      <c r="B197" s="12">
        <v>45482</v>
      </c>
      <c r="C197" s="3">
        <v>970</v>
      </c>
      <c r="D197" s="3">
        <v>24</v>
      </c>
      <c r="E197" s="3" t="s">
        <v>33</v>
      </c>
      <c r="F197" s="3"/>
      <c r="G197" s="3" t="s">
        <v>45</v>
      </c>
      <c r="H197" s="3" t="s">
        <v>40</v>
      </c>
      <c r="I197" s="3">
        <v>3</v>
      </c>
      <c r="J197" s="4">
        <v>45310</v>
      </c>
      <c r="K197" s="4">
        <v>45482</v>
      </c>
      <c r="L197" s="3">
        <v>4</v>
      </c>
      <c r="M197" s="3" t="s">
        <v>36</v>
      </c>
      <c r="N197" s="3">
        <v>42</v>
      </c>
      <c r="O197" s="3">
        <v>7</v>
      </c>
      <c r="P197" s="3">
        <v>7</v>
      </c>
      <c r="V197" s="3">
        <v>0</v>
      </c>
      <c r="AA197" s="3" t="str">
        <f t="shared" si="1"/>
        <v>970_24_T31-C-1_vm</v>
      </c>
      <c r="AB197" s="3" t="str">
        <f t="shared" si="0"/>
        <v>970_24_T31-C-1_vm_3</v>
      </c>
    </row>
    <row r="198" spans="1:28" ht="12.5">
      <c r="A198" s="3">
        <v>197</v>
      </c>
      <c r="F198" s="3"/>
      <c r="H198" s="3"/>
      <c r="M198" s="3" t="s">
        <v>38</v>
      </c>
      <c r="N198" s="3">
        <v>12</v>
      </c>
      <c r="O198" s="3">
        <v>2</v>
      </c>
      <c r="P198" s="3">
        <v>2</v>
      </c>
      <c r="Q198" s="3">
        <v>1</v>
      </c>
      <c r="R198" s="3">
        <v>1</v>
      </c>
      <c r="V198" s="3">
        <v>0</v>
      </c>
      <c r="AA198" s="3" t="str">
        <f t="shared" si="1"/>
        <v>___</v>
      </c>
      <c r="AB198" s="3" t="str">
        <f t="shared" si="0"/>
        <v>____</v>
      </c>
    </row>
    <row r="199" spans="1:28" ht="12.5">
      <c r="A199" s="3">
        <v>198</v>
      </c>
      <c r="F199" s="3"/>
      <c r="H199" s="3"/>
      <c r="M199" s="3" t="s">
        <v>39</v>
      </c>
      <c r="N199" s="3">
        <v>35</v>
      </c>
      <c r="O199" s="3">
        <v>0</v>
      </c>
      <c r="P199" s="3">
        <v>1</v>
      </c>
      <c r="Q199" s="3">
        <v>3</v>
      </c>
      <c r="R199" s="3">
        <v>2</v>
      </c>
      <c r="T199" s="3"/>
      <c r="U199" s="3"/>
      <c r="V199" s="3">
        <v>0</v>
      </c>
      <c r="W199" s="3"/>
      <c r="X199" s="3"/>
      <c r="Y199" s="3" t="s">
        <v>60</v>
      </c>
      <c r="AA199" s="3" t="str">
        <f t="shared" si="1"/>
        <v>___</v>
      </c>
      <c r="AB199" s="3" t="str">
        <f t="shared" si="0"/>
        <v>____</v>
      </c>
    </row>
    <row r="200" spans="1:28" ht="12.5">
      <c r="A200" s="3">
        <v>199</v>
      </c>
      <c r="B200" s="12">
        <v>45482</v>
      </c>
      <c r="C200" s="3">
        <v>970</v>
      </c>
      <c r="D200" s="3">
        <v>24</v>
      </c>
      <c r="E200" s="3" t="s">
        <v>33</v>
      </c>
      <c r="F200" s="3"/>
      <c r="G200" s="3" t="s">
        <v>45</v>
      </c>
      <c r="H200" s="3" t="s">
        <v>35</v>
      </c>
      <c r="I200" s="3">
        <v>1</v>
      </c>
      <c r="J200" s="3">
        <v>13</v>
      </c>
      <c r="K200" s="4">
        <v>45519</v>
      </c>
      <c r="L200" s="3">
        <v>6</v>
      </c>
      <c r="M200" s="3" t="s">
        <v>36</v>
      </c>
      <c r="N200" s="3">
        <v>20</v>
      </c>
      <c r="O200" s="3">
        <v>10</v>
      </c>
      <c r="P200" s="3">
        <v>11</v>
      </c>
      <c r="V200" s="3">
        <v>0</v>
      </c>
      <c r="AA200" s="3" t="str">
        <f t="shared" si="1"/>
        <v>970_24_T31-C-1_vv</v>
      </c>
      <c r="AB200" s="3" t="str">
        <f t="shared" si="0"/>
        <v>970_24_T31-C-1_vv_1</v>
      </c>
    </row>
    <row r="201" spans="1:28" ht="12.5">
      <c r="A201" s="3">
        <v>200</v>
      </c>
      <c r="F201" s="3"/>
      <c r="H201" s="3"/>
      <c r="M201" s="3" t="s">
        <v>38</v>
      </c>
      <c r="N201" s="3">
        <v>29</v>
      </c>
      <c r="O201" s="3">
        <v>11</v>
      </c>
      <c r="P201" s="3">
        <v>13</v>
      </c>
      <c r="V201" s="3">
        <v>0</v>
      </c>
      <c r="AA201" s="3" t="str">
        <f t="shared" si="1"/>
        <v>___</v>
      </c>
      <c r="AB201" s="3" t="str">
        <f t="shared" si="0"/>
        <v>____</v>
      </c>
    </row>
    <row r="202" spans="1:28" ht="12.5">
      <c r="A202" s="3">
        <v>201</v>
      </c>
      <c r="F202" s="3"/>
      <c r="H202" s="3"/>
      <c r="M202" s="3" t="s">
        <v>39</v>
      </c>
      <c r="N202" s="3">
        <v>20</v>
      </c>
      <c r="O202" s="3">
        <v>8</v>
      </c>
      <c r="P202" s="3">
        <v>9</v>
      </c>
      <c r="V202" s="3">
        <v>0</v>
      </c>
      <c r="AA202" s="3" t="str">
        <f t="shared" si="1"/>
        <v>___</v>
      </c>
      <c r="AB202" s="3" t="str">
        <f t="shared" si="0"/>
        <v>____</v>
      </c>
    </row>
    <row r="203" spans="1:28" ht="12.5">
      <c r="A203" s="3">
        <v>202</v>
      </c>
      <c r="B203" s="12">
        <v>45482</v>
      </c>
      <c r="C203" s="3">
        <v>970</v>
      </c>
      <c r="D203" s="3">
        <v>24</v>
      </c>
      <c r="E203" s="3" t="s">
        <v>33</v>
      </c>
      <c r="F203" s="3"/>
      <c r="G203" s="3" t="s">
        <v>45</v>
      </c>
      <c r="H203" s="3" t="s">
        <v>35</v>
      </c>
      <c r="I203" s="3">
        <v>2</v>
      </c>
      <c r="J203" s="4">
        <v>45548</v>
      </c>
      <c r="K203" s="3">
        <v>14</v>
      </c>
      <c r="L203" s="3">
        <v>6</v>
      </c>
      <c r="M203" s="3" t="s">
        <v>36</v>
      </c>
      <c r="N203" s="3">
        <v>25</v>
      </c>
      <c r="O203" s="3">
        <v>12</v>
      </c>
      <c r="P203" s="3">
        <v>12</v>
      </c>
      <c r="V203" s="3">
        <v>0</v>
      </c>
      <c r="AA203" s="3" t="str">
        <f t="shared" si="1"/>
        <v>970_24_T31-C-1_vv</v>
      </c>
      <c r="AB203" s="3" t="str">
        <f t="shared" si="0"/>
        <v>970_24_T31-C-1_vv_2</v>
      </c>
    </row>
    <row r="204" spans="1:28" ht="12.5">
      <c r="A204" s="3">
        <v>203</v>
      </c>
      <c r="F204" s="3"/>
      <c r="H204" s="3"/>
      <c r="M204" s="3" t="s">
        <v>38</v>
      </c>
      <c r="N204" s="3">
        <v>31</v>
      </c>
      <c r="O204" s="3">
        <v>11</v>
      </c>
      <c r="P204" s="3">
        <v>13</v>
      </c>
      <c r="V204" s="3">
        <v>0</v>
      </c>
      <c r="AA204" s="3" t="str">
        <f t="shared" si="1"/>
        <v>___</v>
      </c>
      <c r="AB204" s="3" t="str">
        <f t="shared" si="0"/>
        <v>____</v>
      </c>
    </row>
    <row r="205" spans="1:28" ht="12.5">
      <c r="A205" s="3">
        <v>204</v>
      </c>
      <c r="F205" s="3"/>
      <c r="H205" s="3"/>
      <c r="M205" s="3" t="s">
        <v>39</v>
      </c>
      <c r="N205" s="3">
        <v>20</v>
      </c>
      <c r="O205" s="3">
        <v>7</v>
      </c>
      <c r="P205" s="3">
        <v>13</v>
      </c>
      <c r="V205" s="3">
        <v>0</v>
      </c>
      <c r="AA205" s="3" t="str">
        <f t="shared" si="1"/>
        <v>___</v>
      </c>
      <c r="AB205" s="3" t="str">
        <f t="shared" si="0"/>
        <v>____</v>
      </c>
    </row>
    <row r="206" spans="1:28" ht="12.5">
      <c r="A206" s="3">
        <v>205</v>
      </c>
      <c r="B206" s="12">
        <v>45482</v>
      </c>
      <c r="C206" s="3">
        <v>970</v>
      </c>
      <c r="D206" s="3">
        <v>24</v>
      </c>
      <c r="E206" s="3" t="s">
        <v>33</v>
      </c>
      <c r="F206" s="3"/>
      <c r="G206" s="3" t="s">
        <v>45</v>
      </c>
      <c r="H206" s="3" t="s">
        <v>35</v>
      </c>
      <c r="I206" s="3">
        <v>3</v>
      </c>
      <c r="J206" s="3">
        <v>9</v>
      </c>
      <c r="K206" s="4">
        <v>45511</v>
      </c>
      <c r="L206" s="3">
        <v>3</v>
      </c>
      <c r="M206" s="3" t="s">
        <v>36</v>
      </c>
      <c r="N206" s="3">
        <v>21</v>
      </c>
      <c r="O206" s="3">
        <v>6</v>
      </c>
      <c r="P206" s="3">
        <v>10</v>
      </c>
      <c r="V206" s="3">
        <v>0</v>
      </c>
      <c r="AA206" s="3" t="str">
        <f t="shared" si="1"/>
        <v>970_24_T31-C-1_vv</v>
      </c>
      <c r="AB206" s="3" t="str">
        <f t="shared" si="0"/>
        <v>970_24_T31-C-1_vv_3</v>
      </c>
    </row>
    <row r="207" spans="1:28" ht="12.5">
      <c r="A207" s="3">
        <v>206</v>
      </c>
      <c r="F207" s="3"/>
      <c r="H207" s="3"/>
      <c r="M207" s="3" t="s">
        <v>38</v>
      </c>
      <c r="N207" s="3">
        <v>35</v>
      </c>
      <c r="O207" s="3">
        <v>3</v>
      </c>
      <c r="P207" s="3">
        <v>9</v>
      </c>
      <c r="Q207" s="3">
        <v>2</v>
      </c>
      <c r="R207" s="3">
        <v>2</v>
      </c>
      <c r="T207" s="3"/>
      <c r="U207" s="3"/>
      <c r="V207" s="3">
        <v>0</v>
      </c>
      <c r="W207" s="3"/>
      <c r="X207" s="3"/>
      <c r="Y207" s="3" t="s">
        <v>64</v>
      </c>
      <c r="AA207" s="3" t="str">
        <f t="shared" si="1"/>
        <v>___</v>
      </c>
      <c r="AB207" s="3" t="str">
        <f t="shared" si="0"/>
        <v>____</v>
      </c>
    </row>
    <row r="208" spans="1:28" ht="12.5">
      <c r="A208" s="3">
        <v>207</v>
      </c>
      <c r="F208" s="3"/>
      <c r="H208" s="3"/>
      <c r="M208" s="3" t="s">
        <v>39</v>
      </c>
      <c r="N208" s="3">
        <v>25</v>
      </c>
      <c r="O208" s="3">
        <v>0</v>
      </c>
      <c r="P208" s="3">
        <v>2</v>
      </c>
      <c r="Q208" s="3">
        <v>1</v>
      </c>
      <c r="R208" s="3">
        <v>1</v>
      </c>
      <c r="V208" s="3">
        <v>0</v>
      </c>
      <c r="AA208" s="3" t="str">
        <f t="shared" si="1"/>
        <v>___</v>
      </c>
      <c r="AB208" s="3" t="str">
        <f t="shared" si="0"/>
        <v>____</v>
      </c>
    </row>
    <row r="209" spans="1:28" ht="12.5">
      <c r="A209" s="3">
        <v>208</v>
      </c>
      <c r="B209" s="12">
        <v>45482</v>
      </c>
      <c r="C209" s="6">
        <v>970</v>
      </c>
      <c r="D209" s="6">
        <v>26</v>
      </c>
      <c r="E209" s="3" t="s">
        <v>33</v>
      </c>
      <c r="F209" s="3"/>
      <c r="G209" s="3" t="s">
        <v>44</v>
      </c>
      <c r="H209" s="3" t="s">
        <v>40</v>
      </c>
      <c r="I209" s="3">
        <v>1</v>
      </c>
      <c r="J209" s="4">
        <v>45372</v>
      </c>
      <c r="K209" s="4">
        <v>45524</v>
      </c>
      <c r="L209" s="3">
        <v>8</v>
      </c>
      <c r="M209" s="3" t="s">
        <v>36</v>
      </c>
      <c r="N209" s="3">
        <v>24</v>
      </c>
      <c r="O209" s="3">
        <v>5</v>
      </c>
      <c r="P209" s="3">
        <v>5</v>
      </c>
      <c r="AA209" s="3" t="str">
        <f t="shared" si="1"/>
        <v>970_26_T4-C-1_vm</v>
      </c>
      <c r="AB209" s="3" t="str">
        <f t="shared" si="0"/>
        <v>970_26_T4-C-1_vm_1</v>
      </c>
    </row>
    <row r="210" spans="1:28" ht="12.5">
      <c r="A210" s="3">
        <v>209</v>
      </c>
      <c r="F210" s="3"/>
      <c r="H210" s="3"/>
      <c r="M210" s="3" t="s">
        <v>38</v>
      </c>
      <c r="N210" s="3">
        <v>51</v>
      </c>
      <c r="O210" s="3">
        <v>0</v>
      </c>
      <c r="P210" s="3">
        <v>4</v>
      </c>
      <c r="Q210" s="3">
        <v>1</v>
      </c>
      <c r="R210" s="3">
        <v>1</v>
      </c>
      <c r="AA210" s="3" t="str">
        <f t="shared" si="1"/>
        <v>___</v>
      </c>
      <c r="AB210" s="3" t="str">
        <f t="shared" si="0"/>
        <v>____</v>
      </c>
    </row>
    <row r="211" spans="1:28" ht="12.5">
      <c r="A211" s="3">
        <v>210</v>
      </c>
      <c r="F211" s="3"/>
      <c r="H211" s="3"/>
      <c r="M211" s="3" t="s">
        <v>39</v>
      </c>
      <c r="N211" s="3">
        <v>58</v>
      </c>
      <c r="O211" s="3">
        <v>0</v>
      </c>
      <c r="P211" s="3">
        <v>2</v>
      </c>
      <c r="Q211" s="3">
        <v>4</v>
      </c>
      <c r="R211" s="3">
        <v>4</v>
      </c>
      <c r="AA211" s="3" t="str">
        <f t="shared" si="1"/>
        <v>___</v>
      </c>
      <c r="AB211" s="3" t="str">
        <f t="shared" si="0"/>
        <v>____</v>
      </c>
    </row>
    <row r="212" spans="1:28" ht="12.5">
      <c r="A212" s="3">
        <v>211</v>
      </c>
      <c r="B212" s="12">
        <v>45482</v>
      </c>
      <c r="C212" s="3">
        <v>970</v>
      </c>
      <c r="D212" s="3">
        <v>26</v>
      </c>
      <c r="E212" s="3" t="s">
        <v>33</v>
      </c>
      <c r="F212" s="3"/>
      <c r="G212" s="3" t="s">
        <v>44</v>
      </c>
      <c r="H212" s="3" t="s">
        <v>40</v>
      </c>
      <c r="I212" s="3">
        <v>2</v>
      </c>
      <c r="J212" s="4">
        <v>45527</v>
      </c>
      <c r="K212" s="4">
        <v>45499</v>
      </c>
      <c r="L212" s="3">
        <v>6</v>
      </c>
      <c r="M212" s="3" t="s">
        <v>36</v>
      </c>
      <c r="N212" s="3">
        <v>57</v>
      </c>
      <c r="O212" s="3">
        <v>8</v>
      </c>
      <c r="P212" s="3">
        <v>8</v>
      </c>
      <c r="S212" s="3">
        <v>1</v>
      </c>
      <c r="AA212" s="3" t="str">
        <f t="shared" si="1"/>
        <v>970_26_T4-C-1_vm</v>
      </c>
      <c r="AB212" s="3" t="str">
        <f t="shared" si="0"/>
        <v>970_26_T4-C-1_vm_2</v>
      </c>
    </row>
    <row r="213" spans="1:28" ht="12.5">
      <c r="A213" s="3">
        <v>212</v>
      </c>
      <c r="F213" s="3"/>
      <c r="H213" s="3"/>
      <c r="K213" s="4"/>
      <c r="M213" s="3" t="s">
        <v>38</v>
      </c>
      <c r="N213" s="3">
        <v>83</v>
      </c>
      <c r="O213" s="3">
        <v>0</v>
      </c>
      <c r="P213" s="3">
        <v>5</v>
      </c>
      <c r="Q213" s="3">
        <v>4</v>
      </c>
      <c r="R213" s="3">
        <v>3</v>
      </c>
      <c r="X213" s="3"/>
      <c r="Y213" s="3" t="s">
        <v>60</v>
      </c>
      <c r="AA213" s="3" t="str">
        <f t="shared" si="1"/>
        <v>___</v>
      </c>
      <c r="AB213" s="3" t="str">
        <f t="shared" si="0"/>
        <v>____</v>
      </c>
    </row>
    <row r="214" spans="1:28" ht="12.5">
      <c r="A214" s="3">
        <v>213</v>
      </c>
      <c r="F214" s="3"/>
      <c r="H214" s="3"/>
      <c r="K214" s="4"/>
      <c r="M214" s="3" t="s">
        <v>39</v>
      </c>
      <c r="N214" s="3">
        <v>94</v>
      </c>
      <c r="O214" s="3">
        <v>0</v>
      </c>
      <c r="P214" s="3">
        <v>6</v>
      </c>
      <c r="Q214" s="3">
        <v>3</v>
      </c>
      <c r="R214" s="3">
        <v>1</v>
      </c>
      <c r="X214" s="3"/>
      <c r="Y214" s="3" t="s">
        <v>62</v>
      </c>
      <c r="AA214" s="3" t="str">
        <f t="shared" si="1"/>
        <v>___</v>
      </c>
      <c r="AB214" s="3" t="str">
        <f t="shared" si="0"/>
        <v>____</v>
      </c>
    </row>
    <row r="215" spans="1:28" ht="12.5">
      <c r="A215" s="3">
        <v>214</v>
      </c>
      <c r="B215" s="12">
        <v>45482</v>
      </c>
      <c r="C215" s="3">
        <v>970</v>
      </c>
      <c r="D215" s="3">
        <v>26</v>
      </c>
      <c r="E215" s="3" t="s">
        <v>33</v>
      </c>
      <c r="F215" s="3"/>
      <c r="G215" s="3" t="s">
        <v>44</v>
      </c>
      <c r="H215" s="3" t="s">
        <v>40</v>
      </c>
      <c r="I215" s="3">
        <v>3</v>
      </c>
      <c r="J215" s="3">
        <v>26</v>
      </c>
      <c r="K215" s="3" t="s">
        <v>65</v>
      </c>
      <c r="L215" s="3">
        <v>6</v>
      </c>
      <c r="M215" s="3" t="s">
        <v>36</v>
      </c>
      <c r="N215" s="3">
        <v>73</v>
      </c>
      <c r="O215" s="3">
        <v>8</v>
      </c>
      <c r="P215" s="3">
        <v>8</v>
      </c>
      <c r="Q215" s="3">
        <v>1</v>
      </c>
      <c r="R215" s="3"/>
      <c r="S215" s="3">
        <v>1</v>
      </c>
      <c r="AA215" s="3" t="str">
        <f t="shared" si="1"/>
        <v>970_26_T4-C-1_vm</v>
      </c>
      <c r="AB215" s="3" t="str">
        <f t="shared" si="0"/>
        <v>970_26_T4-C-1_vm_3</v>
      </c>
    </row>
    <row r="216" spans="1:28" ht="12.5">
      <c r="A216" s="3">
        <v>215</v>
      </c>
      <c r="F216" s="3"/>
      <c r="H216" s="3"/>
      <c r="M216" s="3" t="s">
        <v>38</v>
      </c>
      <c r="N216" s="3">
        <v>78</v>
      </c>
      <c r="O216" s="3">
        <v>0</v>
      </c>
      <c r="P216" s="3">
        <v>2</v>
      </c>
      <c r="Q216" s="3">
        <v>5</v>
      </c>
      <c r="R216" s="3">
        <v>5</v>
      </c>
      <c r="AA216" s="3" t="str">
        <f t="shared" si="1"/>
        <v>___</v>
      </c>
      <c r="AB216" s="3" t="str">
        <f t="shared" si="0"/>
        <v>____</v>
      </c>
    </row>
    <row r="217" spans="1:28" ht="12.5">
      <c r="A217" s="3">
        <v>216</v>
      </c>
      <c r="F217" s="3"/>
      <c r="H217" s="3"/>
      <c r="M217" s="3" t="s">
        <v>39</v>
      </c>
      <c r="N217" s="3">
        <v>66</v>
      </c>
      <c r="O217" s="3">
        <v>0</v>
      </c>
      <c r="P217" s="3">
        <v>3</v>
      </c>
      <c r="Q217" s="3">
        <v>3</v>
      </c>
      <c r="R217" s="3">
        <v>3</v>
      </c>
      <c r="AA217" s="3" t="str">
        <f t="shared" si="1"/>
        <v>___</v>
      </c>
      <c r="AB217" s="3" t="str">
        <f t="shared" si="0"/>
        <v>____</v>
      </c>
    </row>
    <row r="218" spans="1:28" ht="12.5">
      <c r="A218" s="3">
        <v>217</v>
      </c>
      <c r="B218" s="12">
        <v>45482</v>
      </c>
      <c r="C218" s="3">
        <v>970</v>
      </c>
      <c r="D218" s="3">
        <v>26</v>
      </c>
      <c r="E218" s="3" t="s">
        <v>33</v>
      </c>
      <c r="F218" s="3"/>
      <c r="G218" s="3" t="s">
        <v>44</v>
      </c>
      <c r="H218" s="3" t="s">
        <v>35</v>
      </c>
      <c r="I218" s="3">
        <v>1</v>
      </c>
      <c r="J218" s="4">
        <v>45312</v>
      </c>
      <c r="K218" s="3">
        <v>17</v>
      </c>
      <c r="L218" s="3">
        <v>3</v>
      </c>
      <c r="M218" s="3" t="s">
        <v>36</v>
      </c>
      <c r="N218" s="3">
        <v>30</v>
      </c>
      <c r="O218" s="3">
        <v>13</v>
      </c>
      <c r="P218" s="3">
        <v>16</v>
      </c>
      <c r="S218" s="3"/>
      <c r="T218" s="3">
        <v>0</v>
      </c>
      <c r="U218" s="3">
        <v>0</v>
      </c>
      <c r="V218" s="3">
        <v>0</v>
      </c>
      <c r="AA218" s="3" t="str">
        <f t="shared" si="1"/>
        <v>970_26_T4-C-1_vv</v>
      </c>
      <c r="AB218" s="3" t="str">
        <f t="shared" si="0"/>
        <v>970_26_T4-C-1_vv_1</v>
      </c>
    </row>
    <row r="219" spans="1:28" ht="12.5">
      <c r="A219" s="3">
        <v>218</v>
      </c>
      <c r="F219" s="3"/>
      <c r="H219" s="3"/>
      <c r="M219" s="3" t="s">
        <v>38</v>
      </c>
      <c r="N219" s="3">
        <v>72</v>
      </c>
      <c r="O219" s="3">
        <v>10</v>
      </c>
      <c r="P219" s="3">
        <v>16</v>
      </c>
      <c r="T219" s="3">
        <v>0</v>
      </c>
      <c r="U219" s="3">
        <v>0</v>
      </c>
      <c r="V219" s="3">
        <v>0</v>
      </c>
      <c r="AA219" s="3" t="str">
        <f t="shared" si="1"/>
        <v>___</v>
      </c>
      <c r="AB219" s="3" t="str">
        <f t="shared" si="0"/>
        <v>____</v>
      </c>
    </row>
    <row r="220" spans="1:28" ht="12.5">
      <c r="A220" s="3">
        <v>219</v>
      </c>
      <c r="F220" s="3"/>
      <c r="H220" s="3"/>
      <c r="M220" s="3" t="s">
        <v>39</v>
      </c>
      <c r="N220" s="3">
        <v>70</v>
      </c>
      <c r="O220" s="3">
        <v>1</v>
      </c>
      <c r="P220" s="3">
        <v>7</v>
      </c>
      <c r="T220" s="3">
        <v>0</v>
      </c>
      <c r="U220" s="3">
        <v>0</v>
      </c>
      <c r="V220" s="3">
        <v>0</v>
      </c>
      <c r="AA220" s="3" t="str">
        <f t="shared" si="1"/>
        <v>___</v>
      </c>
      <c r="AB220" s="3" t="str">
        <f t="shared" si="0"/>
        <v>____</v>
      </c>
    </row>
    <row r="221" spans="1:28" ht="12.5">
      <c r="A221" s="3">
        <v>220</v>
      </c>
      <c r="B221" s="12">
        <v>45482</v>
      </c>
      <c r="C221" s="3">
        <v>970</v>
      </c>
      <c r="D221" s="3">
        <v>26</v>
      </c>
      <c r="E221" s="3" t="s">
        <v>33</v>
      </c>
      <c r="F221" s="3"/>
      <c r="G221" s="3" t="s">
        <v>44</v>
      </c>
      <c r="H221" s="3" t="s">
        <v>35</v>
      </c>
      <c r="I221" s="3">
        <v>2</v>
      </c>
      <c r="J221" s="4">
        <v>45465</v>
      </c>
      <c r="K221" s="4">
        <v>45464</v>
      </c>
      <c r="L221" s="3">
        <v>5</v>
      </c>
      <c r="M221" s="3" t="s">
        <v>36</v>
      </c>
      <c r="N221" s="3">
        <v>47</v>
      </c>
      <c r="O221" s="3">
        <v>13</v>
      </c>
      <c r="P221" s="3">
        <v>15</v>
      </c>
      <c r="T221" s="3">
        <v>0</v>
      </c>
      <c r="U221" s="3">
        <v>0</v>
      </c>
      <c r="V221" s="3">
        <v>0</v>
      </c>
      <c r="AA221" s="3" t="str">
        <f t="shared" si="1"/>
        <v>970_26_T4-C-1_vv</v>
      </c>
      <c r="AB221" s="3" t="str">
        <f t="shared" si="0"/>
        <v>970_26_T4-C-1_vv_2</v>
      </c>
    </row>
    <row r="222" spans="1:28" ht="12.5">
      <c r="A222" s="3">
        <v>221</v>
      </c>
      <c r="F222" s="3"/>
      <c r="H222" s="3"/>
      <c r="M222" s="3" t="s">
        <v>38</v>
      </c>
      <c r="N222" s="3">
        <v>48</v>
      </c>
      <c r="O222" s="3">
        <v>7</v>
      </c>
      <c r="P222" s="3">
        <v>12</v>
      </c>
      <c r="Q222" s="3">
        <v>2</v>
      </c>
      <c r="R222" s="3">
        <v>2</v>
      </c>
      <c r="T222" s="3">
        <v>0</v>
      </c>
      <c r="U222" s="3">
        <v>0</v>
      </c>
      <c r="V222" s="3">
        <v>0</v>
      </c>
      <c r="W222" s="3"/>
      <c r="X222" s="3"/>
      <c r="Y222" s="3" t="s">
        <v>55</v>
      </c>
      <c r="AA222" s="3" t="str">
        <f t="shared" si="1"/>
        <v>___</v>
      </c>
      <c r="AB222" s="3" t="str">
        <f t="shared" si="0"/>
        <v>____</v>
      </c>
    </row>
    <row r="223" spans="1:28" ht="12.5">
      <c r="A223" s="3">
        <v>222</v>
      </c>
      <c r="F223" s="3"/>
      <c r="H223" s="3"/>
      <c r="M223" s="3" t="s">
        <v>39</v>
      </c>
      <c r="N223" s="3">
        <v>38</v>
      </c>
      <c r="O223" s="3">
        <v>7</v>
      </c>
      <c r="P223" s="3">
        <v>13</v>
      </c>
      <c r="T223" s="3">
        <v>0</v>
      </c>
      <c r="U223" s="3">
        <v>0</v>
      </c>
      <c r="V223" s="3">
        <v>0</v>
      </c>
      <c r="AA223" s="3" t="str">
        <f t="shared" si="1"/>
        <v>___</v>
      </c>
      <c r="AB223" s="3" t="str">
        <f t="shared" si="0"/>
        <v>____</v>
      </c>
    </row>
    <row r="224" spans="1:28" ht="12.5">
      <c r="A224" s="3">
        <v>223</v>
      </c>
      <c r="B224" s="12">
        <v>45482</v>
      </c>
      <c r="C224" s="3">
        <v>970</v>
      </c>
      <c r="D224" s="3">
        <v>26</v>
      </c>
      <c r="E224" s="3" t="s">
        <v>33</v>
      </c>
      <c r="F224" s="3"/>
      <c r="G224" s="3" t="s">
        <v>44</v>
      </c>
      <c r="H224" s="3" t="s">
        <v>35</v>
      </c>
      <c r="I224" s="3">
        <v>3</v>
      </c>
      <c r="J224" s="4">
        <v>45529</v>
      </c>
      <c r="K224" s="4">
        <v>45311</v>
      </c>
      <c r="L224" s="3">
        <v>3</v>
      </c>
      <c r="M224" s="3" t="s">
        <v>36</v>
      </c>
      <c r="N224" s="3">
        <v>32</v>
      </c>
      <c r="O224" s="3">
        <v>12</v>
      </c>
      <c r="P224" s="3">
        <v>12</v>
      </c>
      <c r="T224" s="3">
        <v>0</v>
      </c>
      <c r="U224" s="3">
        <v>0</v>
      </c>
      <c r="V224" s="3">
        <v>0</v>
      </c>
      <c r="AA224" s="3" t="str">
        <f t="shared" si="1"/>
        <v>970_26_T4-C-1_vv</v>
      </c>
      <c r="AB224" s="3" t="str">
        <f t="shared" si="0"/>
        <v>970_26_T4-C-1_vv_3</v>
      </c>
    </row>
    <row r="225" spans="1:28" ht="12.5">
      <c r="A225" s="3">
        <v>224</v>
      </c>
      <c r="F225" s="3"/>
      <c r="H225" s="3"/>
      <c r="M225" s="3" t="s">
        <v>38</v>
      </c>
      <c r="N225" s="3">
        <v>74</v>
      </c>
      <c r="O225" s="3">
        <v>8</v>
      </c>
      <c r="P225" s="3">
        <v>15</v>
      </c>
      <c r="T225" s="3">
        <v>0</v>
      </c>
      <c r="U225" s="3">
        <v>0</v>
      </c>
      <c r="V225" s="3">
        <v>0</v>
      </c>
      <c r="AA225" s="3" t="str">
        <f t="shared" si="1"/>
        <v>___</v>
      </c>
      <c r="AB225" s="3" t="str">
        <f t="shared" si="0"/>
        <v>____</v>
      </c>
    </row>
    <row r="226" spans="1:28" ht="12.5">
      <c r="A226" s="3">
        <v>225</v>
      </c>
      <c r="F226" s="3"/>
      <c r="H226" s="3"/>
      <c r="M226" s="3" t="s">
        <v>39</v>
      </c>
      <c r="N226" s="3">
        <v>98</v>
      </c>
      <c r="O226" s="3">
        <v>3</v>
      </c>
      <c r="P226" s="3">
        <v>15</v>
      </c>
      <c r="T226" s="3">
        <v>0</v>
      </c>
      <c r="U226" s="3">
        <v>0</v>
      </c>
      <c r="V226" s="3">
        <v>0</v>
      </c>
      <c r="AA226" s="3" t="str">
        <f t="shared" si="1"/>
        <v>___</v>
      </c>
      <c r="AB226" s="3" t="str">
        <f t="shared" si="0"/>
        <v>____</v>
      </c>
    </row>
    <row r="227" spans="1:28" ht="12.5">
      <c r="A227" s="3">
        <v>226</v>
      </c>
      <c r="B227" s="12">
        <v>45482</v>
      </c>
      <c r="C227" s="6">
        <v>970</v>
      </c>
      <c r="D227" s="6">
        <v>42</v>
      </c>
      <c r="E227" s="3" t="s">
        <v>33</v>
      </c>
      <c r="F227" s="3"/>
      <c r="G227" s="3" t="s">
        <v>43</v>
      </c>
      <c r="H227" s="3" t="s">
        <v>40</v>
      </c>
      <c r="I227" s="3">
        <v>1</v>
      </c>
      <c r="J227" s="4">
        <v>45336</v>
      </c>
      <c r="K227" s="3">
        <v>14</v>
      </c>
      <c r="L227" s="3">
        <v>5</v>
      </c>
      <c r="M227" s="3" t="s">
        <v>36</v>
      </c>
      <c r="N227" s="3">
        <v>16</v>
      </c>
      <c r="O227" s="3">
        <v>6</v>
      </c>
      <c r="P227" s="3">
        <v>6</v>
      </c>
      <c r="T227" s="3">
        <v>0</v>
      </c>
      <c r="U227" s="3">
        <v>0</v>
      </c>
      <c r="V227" s="3">
        <v>0</v>
      </c>
      <c r="AA227" s="3" t="str">
        <f t="shared" si="1"/>
        <v>970_42_T4-C-5_vm</v>
      </c>
      <c r="AB227" s="3" t="str">
        <f t="shared" si="0"/>
        <v>970_42_T4-C-5_vm_1</v>
      </c>
    </row>
    <row r="228" spans="1:28" ht="12.5">
      <c r="A228" s="3">
        <v>227</v>
      </c>
      <c r="F228" s="3"/>
      <c r="H228" s="3"/>
      <c r="M228" s="3" t="s">
        <v>38</v>
      </c>
      <c r="N228" s="3">
        <v>14</v>
      </c>
      <c r="O228" s="3">
        <v>0</v>
      </c>
      <c r="P228" s="3">
        <v>3</v>
      </c>
      <c r="T228" s="3">
        <v>0</v>
      </c>
      <c r="U228" s="3">
        <v>0</v>
      </c>
      <c r="V228" s="3">
        <v>0</v>
      </c>
      <c r="AA228" s="3" t="str">
        <f t="shared" si="1"/>
        <v>___</v>
      </c>
      <c r="AB228" s="3" t="str">
        <f t="shared" si="0"/>
        <v>____</v>
      </c>
    </row>
    <row r="229" spans="1:28" ht="12.5">
      <c r="A229" s="3">
        <v>228</v>
      </c>
      <c r="F229" s="3"/>
      <c r="H229" s="3"/>
      <c r="M229" s="3" t="s">
        <v>39</v>
      </c>
      <c r="N229" s="3">
        <v>32</v>
      </c>
      <c r="O229" s="3">
        <v>0</v>
      </c>
      <c r="P229" s="3">
        <v>5</v>
      </c>
      <c r="Q229" s="3">
        <v>1</v>
      </c>
      <c r="R229" s="3">
        <v>1</v>
      </c>
      <c r="T229" s="3">
        <v>0</v>
      </c>
      <c r="U229" s="3">
        <v>0</v>
      </c>
      <c r="V229" s="3">
        <v>0</v>
      </c>
      <c r="AA229" s="3" t="str">
        <f t="shared" si="1"/>
        <v>___</v>
      </c>
      <c r="AB229" s="3" t="str">
        <f t="shared" si="0"/>
        <v>____</v>
      </c>
    </row>
    <row r="230" spans="1:28" ht="12.5">
      <c r="A230" s="3">
        <v>229</v>
      </c>
      <c r="B230" s="12">
        <v>45482</v>
      </c>
      <c r="C230" s="3">
        <v>970</v>
      </c>
      <c r="D230" s="3">
        <v>42</v>
      </c>
      <c r="E230" s="3" t="s">
        <v>33</v>
      </c>
      <c r="F230" s="3"/>
      <c r="G230" s="3" t="s">
        <v>43</v>
      </c>
      <c r="H230" s="3" t="s">
        <v>40</v>
      </c>
      <c r="I230" s="3">
        <v>2</v>
      </c>
      <c r="J230" s="4">
        <v>45434</v>
      </c>
      <c r="K230" s="4">
        <v>45313</v>
      </c>
      <c r="L230" s="3">
        <v>5</v>
      </c>
      <c r="M230" s="3" t="s">
        <v>36</v>
      </c>
      <c r="N230" s="3">
        <v>59</v>
      </c>
      <c r="O230" s="3">
        <v>8</v>
      </c>
      <c r="P230" s="3">
        <v>8</v>
      </c>
      <c r="T230" s="3">
        <v>0</v>
      </c>
      <c r="U230" s="3">
        <v>0</v>
      </c>
      <c r="V230" s="3">
        <v>0</v>
      </c>
      <c r="AA230" s="3" t="str">
        <f t="shared" si="1"/>
        <v>970_42_T4-C-5_vm</v>
      </c>
      <c r="AB230" s="3" t="str">
        <f t="shared" si="0"/>
        <v>970_42_T4-C-5_vm_2</v>
      </c>
    </row>
    <row r="231" spans="1:28" ht="12.5">
      <c r="A231" s="3">
        <v>230</v>
      </c>
      <c r="F231" s="3"/>
      <c r="H231" s="3"/>
      <c r="M231" s="3" t="s">
        <v>38</v>
      </c>
      <c r="N231" s="3">
        <v>79</v>
      </c>
      <c r="O231" s="3">
        <v>0</v>
      </c>
      <c r="P231" s="3">
        <v>4</v>
      </c>
      <c r="Q231" s="3">
        <v>2</v>
      </c>
      <c r="R231" s="3">
        <v>2</v>
      </c>
      <c r="T231" s="3">
        <v>0</v>
      </c>
      <c r="U231" s="3">
        <v>0</v>
      </c>
      <c r="V231" s="3">
        <v>0</v>
      </c>
      <c r="AA231" s="3" t="str">
        <f t="shared" si="1"/>
        <v>___</v>
      </c>
      <c r="AB231" s="3" t="str">
        <f t="shared" si="0"/>
        <v>____</v>
      </c>
    </row>
    <row r="232" spans="1:28" ht="12.5">
      <c r="A232" s="3">
        <v>231</v>
      </c>
      <c r="F232" s="3"/>
      <c r="H232" s="3"/>
      <c r="M232" s="3" t="s">
        <v>39</v>
      </c>
      <c r="N232" s="3">
        <v>7</v>
      </c>
      <c r="O232" s="3">
        <v>0</v>
      </c>
      <c r="P232" s="3">
        <v>0</v>
      </c>
      <c r="Q232" s="3">
        <v>1</v>
      </c>
      <c r="R232" s="3">
        <v>1</v>
      </c>
      <c r="T232" s="3">
        <v>0</v>
      </c>
      <c r="U232" s="3">
        <v>0</v>
      </c>
      <c r="V232" s="3">
        <v>0</v>
      </c>
      <c r="AA232" s="3" t="str">
        <f t="shared" si="1"/>
        <v>___</v>
      </c>
      <c r="AB232" s="3" t="str">
        <f t="shared" si="0"/>
        <v>____</v>
      </c>
    </row>
    <row r="233" spans="1:28" ht="12.5">
      <c r="A233" s="3">
        <v>232</v>
      </c>
      <c r="B233" s="12">
        <v>45482</v>
      </c>
      <c r="C233" s="3">
        <v>970</v>
      </c>
      <c r="D233" s="3">
        <v>42</v>
      </c>
      <c r="E233" s="3" t="s">
        <v>33</v>
      </c>
      <c r="F233" s="3"/>
      <c r="G233" s="3" t="s">
        <v>43</v>
      </c>
      <c r="H233" s="3" t="s">
        <v>40</v>
      </c>
      <c r="I233" s="3">
        <v>3</v>
      </c>
      <c r="J233" s="3">
        <v>27</v>
      </c>
      <c r="K233" s="3">
        <v>30</v>
      </c>
      <c r="L233" s="3">
        <v>5</v>
      </c>
      <c r="M233" s="3" t="s">
        <v>36</v>
      </c>
      <c r="N233" s="3">
        <v>67</v>
      </c>
      <c r="O233" s="3">
        <v>8</v>
      </c>
      <c r="P233" s="3">
        <v>8</v>
      </c>
      <c r="AA233" s="3" t="str">
        <f t="shared" si="1"/>
        <v>970_42_T4-C-5_vm</v>
      </c>
      <c r="AB233" s="3" t="str">
        <f t="shared" si="0"/>
        <v>970_42_T4-C-5_vm_3</v>
      </c>
    </row>
    <row r="234" spans="1:28" ht="12.5">
      <c r="A234" s="3">
        <v>233</v>
      </c>
      <c r="F234" s="3"/>
      <c r="H234" s="3"/>
      <c r="M234" s="3" t="s">
        <v>38</v>
      </c>
      <c r="N234" s="3">
        <v>67</v>
      </c>
      <c r="O234" s="3">
        <v>0</v>
      </c>
      <c r="P234" s="3">
        <v>2</v>
      </c>
      <c r="Q234" s="3">
        <v>2</v>
      </c>
      <c r="R234" s="3">
        <v>2</v>
      </c>
      <c r="AA234" s="3" t="str">
        <f t="shared" si="1"/>
        <v>___</v>
      </c>
      <c r="AB234" s="3" t="str">
        <f t="shared" si="0"/>
        <v>____</v>
      </c>
    </row>
    <row r="235" spans="1:28" ht="12.5">
      <c r="A235" s="3">
        <v>234</v>
      </c>
      <c r="F235" s="3"/>
      <c r="H235" s="3"/>
      <c r="M235" s="3" t="s">
        <v>39</v>
      </c>
      <c r="N235" s="3">
        <v>37</v>
      </c>
      <c r="O235" s="3">
        <v>0</v>
      </c>
      <c r="P235" s="3">
        <v>2</v>
      </c>
      <c r="Q235" s="3">
        <v>1</v>
      </c>
      <c r="R235" s="3">
        <v>1</v>
      </c>
      <c r="AA235" s="3" t="str">
        <f t="shared" si="1"/>
        <v>___</v>
      </c>
      <c r="AB235" s="3" t="str">
        <f t="shared" si="0"/>
        <v>____</v>
      </c>
    </row>
    <row r="236" spans="1:28" ht="12.5">
      <c r="A236" s="3">
        <v>235</v>
      </c>
      <c r="B236" s="12">
        <v>45482</v>
      </c>
      <c r="C236" s="3">
        <v>970</v>
      </c>
      <c r="D236" s="3">
        <v>42</v>
      </c>
      <c r="E236" s="3" t="s">
        <v>33</v>
      </c>
      <c r="F236" s="3"/>
      <c r="G236" s="3" t="s">
        <v>43</v>
      </c>
      <c r="H236" s="3" t="s">
        <v>35</v>
      </c>
      <c r="I236" s="3">
        <v>1</v>
      </c>
      <c r="J236" s="3">
        <v>12</v>
      </c>
      <c r="K236" s="4">
        <v>45360</v>
      </c>
      <c r="L236" s="3">
        <v>4</v>
      </c>
      <c r="M236" s="3" t="s">
        <v>36</v>
      </c>
      <c r="N236" s="3">
        <v>29</v>
      </c>
      <c r="O236" s="3">
        <v>12</v>
      </c>
      <c r="P236" s="3">
        <v>12</v>
      </c>
      <c r="AA236" s="3" t="str">
        <f t="shared" si="1"/>
        <v>970_42_T4-C-5_vv</v>
      </c>
      <c r="AB236" s="3" t="str">
        <f t="shared" si="0"/>
        <v>970_42_T4-C-5_vv_1</v>
      </c>
    </row>
    <row r="237" spans="1:28" ht="12.5">
      <c r="A237" s="3">
        <v>236</v>
      </c>
      <c r="F237" s="3"/>
      <c r="H237" s="3"/>
      <c r="M237" s="3" t="s">
        <v>38</v>
      </c>
      <c r="N237" s="3">
        <v>36</v>
      </c>
      <c r="O237" s="3">
        <v>9</v>
      </c>
      <c r="P237" s="3">
        <v>13</v>
      </c>
      <c r="AA237" s="3" t="str">
        <f t="shared" si="1"/>
        <v>___</v>
      </c>
      <c r="AB237" s="3" t="str">
        <f t="shared" si="0"/>
        <v>____</v>
      </c>
    </row>
    <row r="238" spans="1:28" ht="12.5">
      <c r="A238" s="3">
        <v>237</v>
      </c>
      <c r="F238" s="3"/>
      <c r="H238" s="3"/>
      <c r="M238" s="3" t="s">
        <v>39</v>
      </c>
      <c r="N238" s="3">
        <v>22</v>
      </c>
      <c r="O238" s="3">
        <v>5</v>
      </c>
      <c r="P238" s="3">
        <v>7</v>
      </c>
      <c r="AA238" s="3" t="str">
        <f t="shared" si="1"/>
        <v>___</v>
      </c>
      <c r="AB238" s="3" t="str">
        <f t="shared" si="0"/>
        <v>____</v>
      </c>
    </row>
    <row r="239" spans="1:28" ht="12.5">
      <c r="A239" s="3">
        <v>238</v>
      </c>
      <c r="B239" s="12">
        <v>45482</v>
      </c>
      <c r="C239" s="3">
        <v>970</v>
      </c>
      <c r="D239" s="3">
        <v>42</v>
      </c>
      <c r="E239" s="3" t="s">
        <v>33</v>
      </c>
      <c r="F239" s="3"/>
      <c r="G239" s="3" t="s">
        <v>43</v>
      </c>
      <c r="H239" s="3" t="s">
        <v>35</v>
      </c>
      <c r="I239" s="3">
        <v>2</v>
      </c>
      <c r="J239" s="3">
        <v>21</v>
      </c>
      <c r="K239" s="3">
        <v>24</v>
      </c>
      <c r="L239" s="3">
        <v>4</v>
      </c>
      <c r="M239" s="3" t="s">
        <v>36</v>
      </c>
      <c r="N239" s="3">
        <v>40</v>
      </c>
      <c r="O239" s="3">
        <v>14</v>
      </c>
      <c r="P239" s="3">
        <v>15</v>
      </c>
      <c r="AA239" s="3" t="str">
        <f t="shared" si="1"/>
        <v>970_42_T4-C-5_vv</v>
      </c>
      <c r="AB239" s="3" t="str">
        <f t="shared" si="0"/>
        <v>970_42_T4-C-5_vv_2</v>
      </c>
    </row>
    <row r="240" spans="1:28" ht="12.5">
      <c r="A240" s="3">
        <v>239</v>
      </c>
      <c r="F240" s="3"/>
      <c r="H240" s="3"/>
      <c r="M240" s="3" t="s">
        <v>38</v>
      </c>
      <c r="N240" s="3">
        <v>73</v>
      </c>
      <c r="O240" s="3">
        <v>12</v>
      </c>
      <c r="P240" s="3">
        <v>15</v>
      </c>
      <c r="AA240" s="3" t="str">
        <f t="shared" si="1"/>
        <v>___</v>
      </c>
      <c r="AB240" s="3" t="str">
        <f t="shared" si="0"/>
        <v>____</v>
      </c>
    </row>
    <row r="241" spans="1:28" ht="12.5">
      <c r="A241" s="3">
        <v>240</v>
      </c>
      <c r="F241" s="3"/>
      <c r="H241" s="3"/>
      <c r="M241" s="3" t="s">
        <v>39</v>
      </c>
      <c r="N241" s="3">
        <v>65</v>
      </c>
      <c r="O241" s="3">
        <v>11</v>
      </c>
      <c r="P241" s="3">
        <v>15</v>
      </c>
      <c r="AA241" s="3" t="str">
        <f t="shared" si="1"/>
        <v>___</v>
      </c>
      <c r="AB241" s="3" t="str">
        <f t="shared" si="0"/>
        <v>____</v>
      </c>
    </row>
    <row r="242" spans="1:28" ht="12.5">
      <c r="A242" s="3">
        <v>241</v>
      </c>
      <c r="B242" s="12">
        <v>45482</v>
      </c>
      <c r="C242" s="3">
        <v>970</v>
      </c>
      <c r="D242" s="3">
        <v>42</v>
      </c>
      <c r="E242" s="3" t="s">
        <v>33</v>
      </c>
      <c r="F242" s="3"/>
      <c r="G242" s="3" t="s">
        <v>43</v>
      </c>
      <c r="H242" s="3" t="s">
        <v>35</v>
      </c>
      <c r="I242" s="3">
        <v>3</v>
      </c>
      <c r="J242" s="4">
        <v>45521</v>
      </c>
      <c r="K242" s="4">
        <v>45368</v>
      </c>
      <c r="L242" s="3">
        <v>3</v>
      </c>
      <c r="M242" s="3" t="s">
        <v>36</v>
      </c>
      <c r="N242" s="3">
        <v>73</v>
      </c>
      <c r="O242" s="3">
        <v>15</v>
      </c>
      <c r="P242" s="3">
        <v>18</v>
      </c>
      <c r="AA242" s="3" t="str">
        <f t="shared" si="1"/>
        <v>970_42_T4-C-5_vv</v>
      </c>
      <c r="AB242" s="3" t="str">
        <f t="shared" si="0"/>
        <v>970_42_T4-C-5_vv_3</v>
      </c>
    </row>
    <row r="243" spans="1:28" ht="12.5">
      <c r="A243" s="3">
        <v>242</v>
      </c>
      <c r="F243" s="3"/>
      <c r="H243" s="3"/>
      <c r="M243" s="3" t="s">
        <v>38</v>
      </c>
      <c r="N243" s="3">
        <v>56</v>
      </c>
      <c r="O243" s="3">
        <v>8</v>
      </c>
      <c r="P243" s="3">
        <v>9</v>
      </c>
      <c r="AA243" s="3" t="str">
        <f t="shared" si="1"/>
        <v>___</v>
      </c>
      <c r="AB243" s="3" t="str">
        <f t="shared" si="0"/>
        <v>____</v>
      </c>
    </row>
    <row r="244" spans="1:28" ht="12.5">
      <c r="A244" s="3">
        <v>243</v>
      </c>
      <c r="F244" s="3"/>
      <c r="H244" s="3"/>
      <c r="M244" s="3" t="s">
        <v>39</v>
      </c>
      <c r="N244" s="3">
        <v>45</v>
      </c>
      <c r="O244" s="3">
        <v>0</v>
      </c>
      <c r="P244" s="3">
        <v>5</v>
      </c>
      <c r="AA244" s="3" t="str">
        <f t="shared" si="1"/>
        <v>___</v>
      </c>
      <c r="AB244" s="3" t="str">
        <f t="shared" si="0"/>
        <v>____</v>
      </c>
    </row>
    <row r="245" spans="1:28" ht="12.5">
      <c r="A245" s="3">
        <v>244</v>
      </c>
      <c r="B245" s="12">
        <v>45488</v>
      </c>
      <c r="C245" s="3" t="s">
        <v>66</v>
      </c>
      <c r="E245" s="3" t="s">
        <v>33</v>
      </c>
      <c r="F245" s="3" t="s">
        <v>42</v>
      </c>
      <c r="H245" s="3" t="s">
        <v>40</v>
      </c>
      <c r="I245" s="3">
        <v>1</v>
      </c>
      <c r="J245" s="4">
        <v>45433</v>
      </c>
      <c r="K245" s="4">
        <v>45405</v>
      </c>
      <c r="L245" s="3">
        <v>6</v>
      </c>
      <c r="M245" s="3" t="s">
        <v>36</v>
      </c>
      <c r="N245" s="3">
        <v>28</v>
      </c>
      <c r="O245" s="3">
        <v>6</v>
      </c>
      <c r="P245" s="3">
        <v>6</v>
      </c>
      <c r="T245" s="3">
        <v>0</v>
      </c>
      <c r="U245" s="3">
        <v>0</v>
      </c>
      <c r="V245" s="3">
        <v>0</v>
      </c>
      <c r="AA245" s="3" t="str">
        <f t="shared" si="1"/>
        <v>KA_F___vm</v>
      </c>
      <c r="AB245" s="3" t="str">
        <f t="shared" si="0"/>
        <v>KA_F___vm_1</v>
      </c>
    </row>
    <row r="246" spans="1:28" ht="12.5">
      <c r="A246" s="3">
        <v>245</v>
      </c>
      <c r="F246" s="3"/>
      <c r="H246" s="3"/>
      <c r="M246" s="3" t="s">
        <v>38</v>
      </c>
      <c r="N246" s="3">
        <v>14</v>
      </c>
      <c r="O246" s="3">
        <v>0</v>
      </c>
      <c r="P246" s="3">
        <v>1</v>
      </c>
      <c r="Q246" s="3">
        <v>1</v>
      </c>
      <c r="R246" s="3">
        <v>1</v>
      </c>
      <c r="AA246" s="3" t="str">
        <f t="shared" si="1"/>
        <v>___</v>
      </c>
      <c r="AB246" s="3" t="str">
        <f t="shared" si="0"/>
        <v>____</v>
      </c>
    </row>
    <row r="247" spans="1:28" ht="12.5">
      <c r="A247" s="3">
        <v>246</v>
      </c>
      <c r="F247" s="3"/>
      <c r="H247" s="3"/>
      <c r="M247" s="3" t="s">
        <v>39</v>
      </c>
      <c r="N247" s="3">
        <v>32</v>
      </c>
      <c r="O247" s="3">
        <v>0</v>
      </c>
      <c r="P247" s="3">
        <v>6</v>
      </c>
      <c r="Q247" s="3">
        <v>1</v>
      </c>
      <c r="R247" s="3">
        <v>1</v>
      </c>
      <c r="AA247" s="3" t="str">
        <f t="shared" si="1"/>
        <v>___</v>
      </c>
      <c r="AB247" s="3" t="str">
        <f t="shared" si="0"/>
        <v>____</v>
      </c>
    </row>
    <row r="248" spans="1:28" ht="12.5">
      <c r="A248" s="3">
        <v>247</v>
      </c>
      <c r="B248" s="12">
        <v>45488</v>
      </c>
      <c r="C248" s="3" t="s">
        <v>66</v>
      </c>
      <c r="E248" s="3" t="s">
        <v>33</v>
      </c>
      <c r="F248" s="3" t="s">
        <v>42</v>
      </c>
      <c r="H248" s="3" t="s">
        <v>40</v>
      </c>
      <c r="I248" s="3">
        <v>2</v>
      </c>
      <c r="J248" s="4">
        <v>45343</v>
      </c>
      <c r="K248" s="4">
        <v>45463</v>
      </c>
      <c r="L248" s="3">
        <v>6</v>
      </c>
      <c r="M248" s="3" t="s">
        <v>36</v>
      </c>
      <c r="N248" s="3">
        <v>55</v>
      </c>
      <c r="O248" s="3">
        <v>7</v>
      </c>
      <c r="P248" s="3">
        <v>7</v>
      </c>
      <c r="AA248" s="3" t="str">
        <f t="shared" si="1"/>
        <v>KA_F___vm</v>
      </c>
      <c r="AB248" s="3" t="str">
        <f t="shared" si="0"/>
        <v>KA_F___vm_2</v>
      </c>
    </row>
    <row r="249" spans="1:28" ht="12.5">
      <c r="A249" s="3">
        <v>248</v>
      </c>
      <c r="F249" s="3"/>
      <c r="H249" s="3"/>
      <c r="M249" s="3" t="s">
        <v>38</v>
      </c>
      <c r="N249" s="3">
        <v>51</v>
      </c>
      <c r="O249" s="3">
        <v>0</v>
      </c>
      <c r="P249" s="3">
        <v>4</v>
      </c>
      <c r="Q249" s="3">
        <v>2</v>
      </c>
      <c r="R249" s="3">
        <v>2</v>
      </c>
      <c r="AA249" s="3" t="str">
        <f t="shared" si="1"/>
        <v>___</v>
      </c>
      <c r="AB249" s="3" t="str">
        <f t="shared" si="0"/>
        <v>____</v>
      </c>
    </row>
    <row r="250" spans="1:28" ht="12.5">
      <c r="A250" s="3">
        <v>249</v>
      </c>
      <c r="F250" s="3"/>
      <c r="H250" s="3"/>
      <c r="M250" s="3" t="s">
        <v>39</v>
      </c>
      <c r="N250" s="3">
        <v>11</v>
      </c>
      <c r="O250" s="3">
        <v>0</v>
      </c>
      <c r="P250" s="3">
        <v>3</v>
      </c>
      <c r="AA250" s="3" t="str">
        <f t="shared" si="1"/>
        <v>___</v>
      </c>
      <c r="AB250" s="3" t="str">
        <f t="shared" si="0"/>
        <v>____</v>
      </c>
    </row>
    <row r="251" spans="1:28" ht="12.5">
      <c r="A251" s="3">
        <v>250</v>
      </c>
      <c r="B251" s="12">
        <v>45488</v>
      </c>
      <c r="C251" s="3" t="s">
        <v>66</v>
      </c>
      <c r="E251" s="3" t="s">
        <v>33</v>
      </c>
      <c r="F251" s="3" t="s">
        <v>42</v>
      </c>
      <c r="H251" s="3" t="s">
        <v>40</v>
      </c>
      <c r="I251" s="3">
        <v>3</v>
      </c>
      <c r="J251" s="4">
        <v>45310</v>
      </c>
      <c r="K251" s="4">
        <v>45436</v>
      </c>
      <c r="L251" s="3">
        <v>9</v>
      </c>
      <c r="M251" s="3" t="s">
        <v>36</v>
      </c>
      <c r="N251" s="3">
        <v>11</v>
      </c>
      <c r="O251" s="3">
        <v>3</v>
      </c>
      <c r="P251" s="3">
        <v>3</v>
      </c>
      <c r="AA251" s="3" t="str">
        <f t="shared" si="1"/>
        <v>KA_F___vm</v>
      </c>
      <c r="AB251" s="3" t="str">
        <f t="shared" si="0"/>
        <v>KA_F___vm_3</v>
      </c>
    </row>
    <row r="252" spans="1:28" ht="12.5">
      <c r="A252" s="3">
        <v>251</v>
      </c>
      <c r="F252" s="3"/>
      <c r="H252" s="3"/>
      <c r="M252" s="3" t="s">
        <v>38</v>
      </c>
      <c r="N252" s="3">
        <v>5</v>
      </c>
      <c r="O252" s="3">
        <v>0</v>
      </c>
      <c r="P252" s="3">
        <v>3</v>
      </c>
      <c r="Q252" s="3">
        <v>1</v>
      </c>
      <c r="R252" s="3">
        <v>1</v>
      </c>
      <c r="AA252" s="3" t="str">
        <f t="shared" si="1"/>
        <v>___</v>
      </c>
      <c r="AB252" s="3" t="str">
        <f t="shared" si="0"/>
        <v>____</v>
      </c>
    </row>
    <row r="253" spans="1:28" ht="12.5">
      <c r="A253" s="3">
        <v>252</v>
      </c>
      <c r="F253" s="3"/>
      <c r="H253" s="3"/>
      <c r="M253" s="3" t="s">
        <v>39</v>
      </c>
      <c r="N253" s="3">
        <v>24</v>
      </c>
      <c r="O253" s="3">
        <v>0</v>
      </c>
      <c r="P253" s="3">
        <v>4</v>
      </c>
      <c r="Q253" s="3">
        <v>1</v>
      </c>
      <c r="R253" s="3">
        <v>1</v>
      </c>
      <c r="AA253" s="3" t="str">
        <f t="shared" si="1"/>
        <v>___</v>
      </c>
      <c r="AB253" s="3" t="str">
        <f t="shared" si="0"/>
        <v>____</v>
      </c>
    </row>
    <row r="254" spans="1:28" ht="12.5">
      <c r="A254" s="3">
        <v>253</v>
      </c>
      <c r="B254" s="12">
        <v>45488</v>
      </c>
      <c r="C254" s="3" t="s">
        <v>66</v>
      </c>
      <c r="E254" s="3" t="s">
        <v>33</v>
      </c>
      <c r="F254" s="3" t="s">
        <v>42</v>
      </c>
      <c r="H254" s="3" t="s">
        <v>35</v>
      </c>
      <c r="I254" s="3">
        <v>1</v>
      </c>
      <c r="J254" s="4">
        <v>45345</v>
      </c>
      <c r="K254" s="4">
        <v>45492</v>
      </c>
      <c r="L254" s="3">
        <v>6</v>
      </c>
      <c r="M254" s="3" t="s">
        <v>36</v>
      </c>
      <c r="N254" s="3">
        <v>32</v>
      </c>
      <c r="O254" s="3">
        <v>11</v>
      </c>
      <c r="P254" s="3">
        <v>11</v>
      </c>
      <c r="AA254" s="3" t="str">
        <f t="shared" si="1"/>
        <v>KA_F___vv</v>
      </c>
      <c r="AB254" s="3" t="str">
        <f t="shared" si="0"/>
        <v>KA_F___vv_1</v>
      </c>
    </row>
    <row r="255" spans="1:28" ht="12.5">
      <c r="A255" s="3">
        <v>254</v>
      </c>
      <c r="F255" s="3"/>
      <c r="H255" s="3"/>
      <c r="M255" s="3" t="s">
        <v>38</v>
      </c>
      <c r="N255" s="3">
        <v>28</v>
      </c>
      <c r="O255" s="3">
        <v>0</v>
      </c>
      <c r="P255" s="3">
        <v>10</v>
      </c>
      <c r="AA255" s="3" t="str">
        <f t="shared" si="1"/>
        <v>___</v>
      </c>
      <c r="AB255" s="3" t="str">
        <f t="shared" si="0"/>
        <v>____</v>
      </c>
    </row>
    <row r="256" spans="1:28" ht="12.5">
      <c r="A256" s="3">
        <v>255</v>
      </c>
      <c r="F256" s="3"/>
      <c r="H256" s="3"/>
      <c r="M256" s="3" t="s">
        <v>39</v>
      </c>
      <c r="N256" s="3">
        <v>35</v>
      </c>
      <c r="O256" s="3">
        <v>0</v>
      </c>
      <c r="P256" s="3">
        <v>10</v>
      </c>
      <c r="AA256" s="3" t="str">
        <f t="shared" si="1"/>
        <v>___</v>
      </c>
      <c r="AB256" s="3" t="str">
        <f t="shared" si="0"/>
        <v>____</v>
      </c>
    </row>
    <row r="257" spans="1:28" ht="12.5">
      <c r="A257" s="3">
        <v>256</v>
      </c>
      <c r="B257" s="12">
        <v>45488</v>
      </c>
      <c r="C257" s="3" t="s">
        <v>66</v>
      </c>
      <c r="E257" s="3" t="s">
        <v>33</v>
      </c>
      <c r="F257" s="3" t="s">
        <v>42</v>
      </c>
      <c r="H257" s="3" t="s">
        <v>35</v>
      </c>
      <c r="I257" s="3">
        <v>2</v>
      </c>
      <c r="J257" s="4">
        <v>45464</v>
      </c>
      <c r="K257" s="4">
        <v>45367</v>
      </c>
      <c r="L257" s="3">
        <v>3</v>
      </c>
      <c r="M257" s="3" t="s">
        <v>36</v>
      </c>
      <c r="N257" s="3">
        <v>63</v>
      </c>
      <c r="O257" s="3">
        <v>14</v>
      </c>
      <c r="P257" s="3">
        <v>15</v>
      </c>
      <c r="AA257" s="3" t="str">
        <f t="shared" si="1"/>
        <v>KA_F___vv</v>
      </c>
      <c r="AB257" s="3" t="str">
        <f t="shared" ref="AB257:AB511" si="2">CONCATENATE(C257,"_",D257,"_",G257,"_",H257,"_",I257)</f>
        <v>KA_F___vv_2</v>
      </c>
    </row>
    <row r="258" spans="1:28" ht="12.5">
      <c r="A258" s="3">
        <v>257</v>
      </c>
      <c r="F258" s="3"/>
      <c r="H258" s="3"/>
      <c r="M258" s="3" t="s">
        <v>38</v>
      </c>
      <c r="N258" s="3">
        <v>45</v>
      </c>
      <c r="O258" s="3">
        <v>6</v>
      </c>
      <c r="P258" s="3">
        <v>16</v>
      </c>
      <c r="AA258" s="3" t="str">
        <f t="shared" ref="AA258:AA512" si="3">CONCATENATE(C258, "_",D258,"_",G258,"_",H258)</f>
        <v>___</v>
      </c>
      <c r="AB258" s="3" t="str">
        <f t="shared" si="2"/>
        <v>____</v>
      </c>
    </row>
    <row r="259" spans="1:28" ht="12.5">
      <c r="A259" s="3">
        <v>258</v>
      </c>
      <c r="F259" s="3"/>
      <c r="H259" s="3"/>
      <c r="M259" s="3" t="s">
        <v>39</v>
      </c>
      <c r="N259" s="3">
        <v>57</v>
      </c>
      <c r="O259" s="3">
        <v>0</v>
      </c>
      <c r="P259" s="3">
        <v>8</v>
      </c>
      <c r="AA259" s="3" t="str">
        <f t="shared" si="3"/>
        <v>___</v>
      </c>
      <c r="AB259" s="3" t="str">
        <f t="shared" si="2"/>
        <v>____</v>
      </c>
    </row>
    <row r="260" spans="1:28" ht="12.5">
      <c r="A260" s="3">
        <v>259</v>
      </c>
      <c r="B260" s="12">
        <v>45488</v>
      </c>
      <c r="C260" s="3" t="s">
        <v>66</v>
      </c>
      <c r="E260" s="3" t="s">
        <v>33</v>
      </c>
      <c r="F260" s="3" t="s">
        <v>42</v>
      </c>
      <c r="H260" s="3" t="s">
        <v>35</v>
      </c>
      <c r="I260" s="3">
        <v>3</v>
      </c>
      <c r="J260" s="4">
        <v>45461</v>
      </c>
      <c r="K260" s="4">
        <v>45460</v>
      </c>
      <c r="L260" s="3">
        <v>4</v>
      </c>
      <c r="M260" s="3" t="s">
        <v>36</v>
      </c>
      <c r="N260" s="3">
        <v>60</v>
      </c>
      <c r="O260" s="3">
        <v>12</v>
      </c>
      <c r="P260" s="3">
        <v>15</v>
      </c>
      <c r="AA260" s="3" t="str">
        <f t="shared" si="3"/>
        <v>KA_F___vv</v>
      </c>
      <c r="AB260" s="3" t="str">
        <f t="shared" si="2"/>
        <v>KA_F___vv_3</v>
      </c>
    </row>
    <row r="261" spans="1:28" ht="12.5">
      <c r="A261" s="3">
        <v>260</v>
      </c>
      <c r="F261" s="3"/>
      <c r="H261" s="3"/>
      <c r="M261" s="3" t="s">
        <v>38</v>
      </c>
      <c r="N261" s="3">
        <v>43</v>
      </c>
      <c r="O261" s="3">
        <v>7</v>
      </c>
      <c r="P261" s="3">
        <v>12</v>
      </c>
      <c r="AA261" s="3" t="str">
        <f t="shared" si="3"/>
        <v>___</v>
      </c>
      <c r="AB261" s="3" t="str">
        <f t="shared" si="2"/>
        <v>____</v>
      </c>
    </row>
    <row r="262" spans="1:28" ht="12.5">
      <c r="A262" s="3">
        <v>261</v>
      </c>
      <c r="F262" s="3"/>
      <c r="H262" s="3"/>
      <c r="M262" s="3" t="s">
        <v>39</v>
      </c>
      <c r="N262" s="3">
        <v>19</v>
      </c>
      <c r="O262" s="3">
        <v>0</v>
      </c>
      <c r="P262" s="3">
        <v>4</v>
      </c>
      <c r="AA262" s="3" t="str">
        <f t="shared" si="3"/>
        <v>___</v>
      </c>
      <c r="AB262" s="3" t="str">
        <f t="shared" si="2"/>
        <v>____</v>
      </c>
    </row>
    <row r="263" spans="1:28" ht="12.5">
      <c r="A263" s="3">
        <v>262</v>
      </c>
      <c r="B263" s="12">
        <v>45488</v>
      </c>
      <c r="C263" s="3" t="s">
        <v>67</v>
      </c>
      <c r="E263" s="3" t="s">
        <v>33</v>
      </c>
      <c r="F263" s="3" t="s">
        <v>34</v>
      </c>
      <c r="H263" s="3" t="s">
        <v>40</v>
      </c>
      <c r="I263" s="3">
        <v>1</v>
      </c>
      <c r="J263" s="4">
        <v>45426</v>
      </c>
      <c r="K263" s="4">
        <v>45401</v>
      </c>
      <c r="L263" s="3">
        <v>8</v>
      </c>
      <c r="M263" s="3" t="s">
        <v>36</v>
      </c>
      <c r="N263" s="3">
        <v>25</v>
      </c>
      <c r="O263" s="3">
        <v>6</v>
      </c>
      <c r="P263" s="3">
        <v>6</v>
      </c>
      <c r="AA263" s="3" t="str">
        <f t="shared" si="3"/>
        <v>KA_O___vm</v>
      </c>
      <c r="AB263" s="3" t="str">
        <f t="shared" si="2"/>
        <v>KA_O___vm_1</v>
      </c>
    </row>
    <row r="264" spans="1:28" ht="12.5">
      <c r="A264" s="3">
        <v>263</v>
      </c>
      <c r="F264" s="3"/>
      <c r="H264" s="3"/>
      <c r="M264" s="3" t="s">
        <v>38</v>
      </c>
      <c r="N264" s="3">
        <v>13</v>
      </c>
      <c r="O264" s="3">
        <v>0</v>
      </c>
      <c r="P264" s="3">
        <v>2</v>
      </c>
      <c r="AA264" s="3" t="str">
        <f t="shared" si="3"/>
        <v>___</v>
      </c>
      <c r="AB264" s="3" t="str">
        <f t="shared" si="2"/>
        <v>____</v>
      </c>
    </row>
    <row r="265" spans="1:28" ht="12.5">
      <c r="A265" s="3">
        <v>264</v>
      </c>
      <c r="F265" s="3"/>
      <c r="H265" s="3"/>
      <c r="M265" s="3" t="s">
        <v>39</v>
      </c>
      <c r="N265" s="3">
        <v>27</v>
      </c>
      <c r="O265" s="3">
        <v>0</v>
      </c>
      <c r="P265" s="3">
        <v>2</v>
      </c>
      <c r="Q265" s="3">
        <v>1</v>
      </c>
      <c r="R265" s="3">
        <v>1</v>
      </c>
      <c r="AA265" s="3" t="str">
        <f t="shared" si="3"/>
        <v>___</v>
      </c>
      <c r="AB265" s="3" t="str">
        <f t="shared" si="2"/>
        <v>____</v>
      </c>
    </row>
    <row r="266" spans="1:28" ht="12.5">
      <c r="A266" s="3">
        <v>265</v>
      </c>
      <c r="B266" s="12">
        <v>45488</v>
      </c>
      <c r="C266" s="3" t="s">
        <v>67</v>
      </c>
      <c r="E266" s="3" t="s">
        <v>33</v>
      </c>
      <c r="F266" s="3" t="s">
        <v>34</v>
      </c>
      <c r="H266" s="3" t="s">
        <v>40</v>
      </c>
      <c r="I266" s="3">
        <v>2</v>
      </c>
      <c r="J266" s="4">
        <v>45548</v>
      </c>
      <c r="K266" s="4">
        <v>45548</v>
      </c>
      <c r="L266" s="3">
        <v>5</v>
      </c>
      <c r="M266" s="3" t="s">
        <v>36</v>
      </c>
      <c r="N266" s="3">
        <v>36</v>
      </c>
      <c r="O266" s="3">
        <v>8</v>
      </c>
      <c r="P266" s="3">
        <v>8</v>
      </c>
      <c r="AA266" s="3" t="str">
        <f t="shared" si="3"/>
        <v>KA_O___vm</v>
      </c>
      <c r="AB266" s="3" t="str">
        <f t="shared" si="2"/>
        <v>KA_O___vm_2</v>
      </c>
    </row>
    <row r="267" spans="1:28" ht="12.5">
      <c r="A267" s="3">
        <v>266</v>
      </c>
      <c r="F267" s="3"/>
      <c r="H267" s="3"/>
      <c r="M267" s="3" t="s">
        <v>38</v>
      </c>
      <c r="N267" s="3">
        <v>37</v>
      </c>
      <c r="O267" s="3">
        <v>1</v>
      </c>
      <c r="P267" s="3">
        <v>2</v>
      </c>
      <c r="Q267" s="3">
        <v>2</v>
      </c>
      <c r="R267" s="3">
        <v>2</v>
      </c>
      <c r="AA267" s="3" t="str">
        <f t="shared" si="3"/>
        <v>___</v>
      </c>
      <c r="AB267" s="3" t="str">
        <f t="shared" si="2"/>
        <v>____</v>
      </c>
    </row>
    <row r="268" spans="1:28" ht="12.5">
      <c r="A268" s="3">
        <v>267</v>
      </c>
      <c r="F268" s="3"/>
      <c r="H268" s="3"/>
      <c r="M268" s="3" t="s">
        <v>39</v>
      </c>
      <c r="N268" s="3">
        <v>30</v>
      </c>
      <c r="O268" s="3">
        <v>0</v>
      </c>
      <c r="P268" s="3">
        <v>2</v>
      </c>
      <c r="Q268" s="3">
        <v>4</v>
      </c>
      <c r="R268" s="3">
        <v>2</v>
      </c>
      <c r="T268" s="3"/>
      <c r="U268" s="3"/>
      <c r="V268" s="3"/>
      <c r="W268" s="3"/>
      <c r="X268" s="3"/>
      <c r="Y268" s="3" t="s">
        <v>62</v>
      </c>
      <c r="AA268" s="3" t="str">
        <f t="shared" si="3"/>
        <v>___</v>
      </c>
      <c r="AB268" s="3" t="str">
        <f t="shared" si="2"/>
        <v>____</v>
      </c>
    </row>
    <row r="269" spans="1:28" ht="12.5">
      <c r="A269" s="3">
        <v>268</v>
      </c>
      <c r="B269" s="12">
        <v>45488</v>
      </c>
      <c r="C269" s="3" t="s">
        <v>67</v>
      </c>
      <c r="E269" s="3" t="s">
        <v>33</v>
      </c>
      <c r="F269" s="3" t="s">
        <v>34</v>
      </c>
      <c r="H269" s="3" t="s">
        <v>40</v>
      </c>
      <c r="I269" s="3">
        <v>3</v>
      </c>
      <c r="J269" s="4">
        <v>45462</v>
      </c>
      <c r="K269" s="4">
        <v>45340</v>
      </c>
      <c r="L269" s="3">
        <v>5</v>
      </c>
      <c r="M269" s="3" t="s">
        <v>36</v>
      </c>
      <c r="N269" s="3">
        <v>9</v>
      </c>
      <c r="O269" s="3">
        <v>10</v>
      </c>
      <c r="P269" s="3">
        <v>10</v>
      </c>
      <c r="AA269" s="3" t="str">
        <f t="shared" si="3"/>
        <v>KA_O___vm</v>
      </c>
      <c r="AB269" s="3" t="str">
        <f t="shared" si="2"/>
        <v>KA_O___vm_3</v>
      </c>
    </row>
    <row r="270" spans="1:28" ht="12.5">
      <c r="A270" s="3">
        <v>269</v>
      </c>
      <c r="F270" s="3"/>
      <c r="H270" s="3"/>
      <c r="M270" s="3" t="s">
        <v>38</v>
      </c>
      <c r="N270" s="3">
        <v>46</v>
      </c>
      <c r="O270" s="3">
        <v>0</v>
      </c>
      <c r="P270" s="3">
        <v>2</v>
      </c>
      <c r="Q270" s="3">
        <v>4</v>
      </c>
      <c r="R270" s="3">
        <v>4</v>
      </c>
      <c r="AA270" s="3" t="str">
        <f t="shared" si="3"/>
        <v>___</v>
      </c>
      <c r="AB270" s="3" t="str">
        <f t="shared" si="2"/>
        <v>____</v>
      </c>
    </row>
    <row r="271" spans="1:28" ht="12.5">
      <c r="A271" s="3">
        <v>270</v>
      </c>
      <c r="F271" s="3"/>
      <c r="H271" s="3"/>
      <c r="M271" s="3" t="s">
        <v>39</v>
      </c>
      <c r="N271" s="3">
        <v>35</v>
      </c>
      <c r="O271" s="3">
        <v>0</v>
      </c>
      <c r="P271" s="3">
        <v>7</v>
      </c>
      <c r="Q271" s="3">
        <v>2</v>
      </c>
      <c r="R271" s="3">
        <v>2</v>
      </c>
      <c r="AA271" s="3" t="str">
        <f t="shared" si="3"/>
        <v>___</v>
      </c>
      <c r="AB271" s="3" t="str">
        <f t="shared" si="2"/>
        <v>____</v>
      </c>
    </row>
    <row r="272" spans="1:28" ht="12.5">
      <c r="A272" s="3">
        <v>271</v>
      </c>
      <c r="B272" s="12">
        <v>45488</v>
      </c>
      <c r="C272" s="3" t="s">
        <v>67</v>
      </c>
      <c r="E272" s="3" t="s">
        <v>33</v>
      </c>
      <c r="F272" s="3" t="s">
        <v>34</v>
      </c>
      <c r="H272" s="3" t="s">
        <v>35</v>
      </c>
      <c r="I272" s="3">
        <v>1</v>
      </c>
      <c r="J272" s="4">
        <v>45458</v>
      </c>
      <c r="K272" s="4">
        <v>45396</v>
      </c>
      <c r="L272" s="3">
        <v>5</v>
      </c>
      <c r="M272" s="3" t="s">
        <v>36</v>
      </c>
      <c r="N272" s="3">
        <v>56</v>
      </c>
      <c r="O272" s="3">
        <v>16</v>
      </c>
      <c r="P272" s="3">
        <v>16</v>
      </c>
      <c r="AA272" s="3" t="str">
        <f t="shared" si="3"/>
        <v>KA_O___vv</v>
      </c>
      <c r="AB272" s="3" t="str">
        <f t="shared" si="2"/>
        <v>KA_O___vv_1</v>
      </c>
    </row>
    <row r="273" spans="1:30" ht="12.5">
      <c r="A273" s="3">
        <v>272</v>
      </c>
      <c r="F273" s="3"/>
      <c r="H273" s="3"/>
      <c r="M273" s="3" t="s">
        <v>38</v>
      </c>
      <c r="N273" s="3">
        <v>35</v>
      </c>
      <c r="O273" s="3">
        <v>12</v>
      </c>
      <c r="P273" s="3">
        <v>18</v>
      </c>
      <c r="AA273" s="3" t="str">
        <f t="shared" si="3"/>
        <v>___</v>
      </c>
      <c r="AB273" s="3" t="str">
        <f t="shared" si="2"/>
        <v>____</v>
      </c>
    </row>
    <row r="274" spans="1:30" ht="12.5">
      <c r="A274" s="3">
        <v>273</v>
      </c>
      <c r="F274" s="3"/>
      <c r="H274" s="3"/>
      <c r="M274" s="3" t="s">
        <v>39</v>
      </c>
      <c r="N274" s="3">
        <v>23</v>
      </c>
      <c r="O274" s="3">
        <v>5</v>
      </c>
      <c r="P274" s="3">
        <v>16</v>
      </c>
      <c r="AA274" s="3" t="str">
        <f t="shared" si="3"/>
        <v>___</v>
      </c>
      <c r="AB274" s="3" t="str">
        <f t="shared" si="2"/>
        <v>____</v>
      </c>
    </row>
    <row r="275" spans="1:30" ht="12.5">
      <c r="A275" s="3">
        <v>274</v>
      </c>
      <c r="B275" s="12">
        <v>45488</v>
      </c>
      <c r="C275" s="3" t="s">
        <v>67</v>
      </c>
      <c r="E275" s="3" t="s">
        <v>33</v>
      </c>
      <c r="F275" s="3" t="s">
        <v>34</v>
      </c>
      <c r="H275" s="3" t="s">
        <v>35</v>
      </c>
      <c r="I275" s="3">
        <v>2</v>
      </c>
      <c r="J275" s="4">
        <v>45484</v>
      </c>
      <c r="K275" s="4">
        <v>45422</v>
      </c>
      <c r="L275" s="3">
        <v>4</v>
      </c>
      <c r="M275" s="3" t="s">
        <v>36</v>
      </c>
      <c r="N275" s="3">
        <v>35</v>
      </c>
      <c r="O275" s="3">
        <v>13</v>
      </c>
      <c r="P275" s="3">
        <v>13</v>
      </c>
      <c r="AA275" s="3" t="str">
        <f t="shared" si="3"/>
        <v>KA_O___vv</v>
      </c>
      <c r="AB275" s="3" t="str">
        <f t="shared" si="2"/>
        <v>KA_O___vv_2</v>
      </c>
    </row>
    <row r="276" spans="1:30" ht="12.5">
      <c r="A276" s="3">
        <v>275</v>
      </c>
      <c r="F276" s="3"/>
      <c r="H276" s="3"/>
      <c r="M276" s="3" t="s">
        <v>38</v>
      </c>
      <c r="N276" s="3" t="s">
        <v>47</v>
      </c>
      <c r="O276" s="3" t="s">
        <v>47</v>
      </c>
      <c r="P276" s="3" t="s">
        <v>47</v>
      </c>
      <c r="T276" s="3"/>
      <c r="U276" s="3"/>
      <c r="V276" s="3"/>
      <c r="W276" s="3"/>
      <c r="X276" s="3"/>
      <c r="Y276" s="3" t="s">
        <v>68</v>
      </c>
      <c r="AA276" s="3" t="str">
        <f t="shared" si="3"/>
        <v>___</v>
      </c>
      <c r="AB276" s="3" t="str">
        <f t="shared" si="2"/>
        <v>____</v>
      </c>
    </row>
    <row r="277" spans="1:30" ht="12.5">
      <c r="A277" s="3">
        <v>276</v>
      </c>
      <c r="F277" s="3"/>
      <c r="H277" s="3"/>
      <c r="M277" s="3" t="s">
        <v>39</v>
      </c>
      <c r="N277" s="3">
        <v>35</v>
      </c>
      <c r="O277" s="3">
        <v>11</v>
      </c>
      <c r="P277" s="3">
        <v>17</v>
      </c>
      <c r="AA277" s="3" t="str">
        <f t="shared" si="3"/>
        <v>___</v>
      </c>
      <c r="AB277" s="3" t="str">
        <f t="shared" si="2"/>
        <v>____</v>
      </c>
    </row>
    <row r="278" spans="1:30" ht="12.5">
      <c r="A278" s="3">
        <v>277</v>
      </c>
      <c r="B278" s="12">
        <v>45488</v>
      </c>
      <c r="C278" s="3" t="s">
        <v>67</v>
      </c>
      <c r="E278" s="3" t="s">
        <v>33</v>
      </c>
      <c r="F278" s="3" t="s">
        <v>34</v>
      </c>
      <c r="H278" s="3" t="s">
        <v>35</v>
      </c>
      <c r="I278" s="3">
        <v>3</v>
      </c>
      <c r="J278" s="3">
        <v>11</v>
      </c>
      <c r="K278" s="4">
        <v>45545</v>
      </c>
      <c r="L278" s="3">
        <v>3</v>
      </c>
      <c r="M278" s="3" t="s">
        <v>36</v>
      </c>
      <c r="N278" s="3">
        <v>41</v>
      </c>
      <c r="O278" s="3">
        <v>13</v>
      </c>
      <c r="P278" s="3">
        <v>15</v>
      </c>
      <c r="AA278" s="3" t="str">
        <f t="shared" si="3"/>
        <v>KA_O___vv</v>
      </c>
      <c r="AB278" s="3" t="str">
        <f t="shared" si="2"/>
        <v>KA_O___vv_3</v>
      </c>
    </row>
    <row r="279" spans="1:30" ht="12.5">
      <c r="A279" s="3">
        <v>278</v>
      </c>
      <c r="F279" s="3"/>
      <c r="H279" s="3"/>
      <c r="M279" s="3" t="s">
        <v>38</v>
      </c>
      <c r="N279" s="3">
        <v>43</v>
      </c>
      <c r="O279" s="3">
        <v>5</v>
      </c>
      <c r="P279" s="3">
        <v>13</v>
      </c>
      <c r="AA279" s="3" t="str">
        <f t="shared" si="3"/>
        <v>___</v>
      </c>
      <c r="AB279" s="3" t="str">
        <f t="shared" si="2"/>
        <v>____</v>
      </c>
    </row>
    <row r="280" spans="1:30" ht="12.5">
      <c r="A280" s="3">
        <v>279</v>
      </c>
      <c r="F280" s="3"/>
      <c r="H280" s="3"/>
      <c r="M280" s="3" t="s">
        <v>39</v>
      </c>
      <c r="N280" s="3">
        <v>29</v>
      </c>
      <c r="O280" s="3">
        <v>0</v>
      </c>
      <c r="P280" s="3">
        <v>7</v>
      </c>
      <c r="AA280" s="3" t="str">
        <f t="shared" si="3"/>
        <v>___</v>
      </c>
      <c r="AB280" s="3" t="str">
        <f t="shared" si="2"/>
        <v>____</v>
      </c>
    </row>
    <row r="281" spans="1:30" ht="12.5">
      <c r="A281" s="3">
        <v>280</v>
      </c>
      <c r="B281" s="12">
        <v>45490</v>
      </c>
      <c r="C281" s="10">
        <v>472</v>
      </c>
      <c r="D281" s="10">
        <v>11</v>
      </c>
      <c r="E281" s="3" t="s">
        <v>33</v>
      </c>
      <c r="F281" s="3"/>
      <c r="H281" s="3" t="s">
        <v>40</v>
      </c>
      <c r="I281" s="3">
        <v>1</v>
      </c>
      <c r="J281" s="4">
        <v>45517</v>
      </c>
      <c r="K281" s="4">
        <v>45398</v>
      </c>
      <c r="L281" s="3">
        <v>3</v>
      </c>
      <c r="M281" s="3" t="s">
        <v>36</v>
      </c>
      <c r="N281" s="3">
        <v>54</v>
      </c>
      <c r="O281" s="3">
        <v>8</v>
      </c>
      <c r="P281" s="3">
        <v>8</v>
      </c>
      <c r="S281" s="3">
        <v>0</v>
      </c>
      <c r="T281" s="3">
        <v>3.61E-2</v>
      </c>
      <c r="U281" s="3">
        <v>2.862E-2</v>
      </c>
      <c r="V281" s="3">
        <v>0</v>
      </c>
      <c r="W281" s="3">
        <v>0</v>
      </c>
      <c r="X281" s="3"/>
      <c r="Y281" s="3" t="s">
        <v>69</v>
      </c>
      <c r="AA281" s="3" t="str">
        <f t="shared" si="3"/>
        <v>472_11__vm</v>
      </c>
      <c r="AB281" s="3" t="str">
        <f t="shared" si="2"/>
        <v>472_11__vm_1</v>
      </c>
      <c r="AD281" s="3" t="s">
        <v>37</v>
      </c>
    </row>
    <row r="282" spans="1:30" ht="12.5">
      <c r="A282" s="3">
        <v>281</v>
      </c>
      <c r="F282" s="3"/>
      <c r="H282" s="3"/>
      <c r="M282" s="3" t="s">
        <v>38</v>
      </c>
      <c r="N282" s="3">
        <v>74</v>
      </c>
      <c r="O282" s="3">
        <v>0</v>
      </c>
      <c r="P282" s="3">
        <v>5</v>
      </c>
      <c r="Q282" s="3">
        <v>3</v>
      </c>
      <c r="R282" s="3">
        <v>3</v>
      </c>
      <c r="S282" s="3">
        <v>0</v>
      </c>
      <c r="T282" s="3">
        <v>0</v>
      </c>
      <c r="U282" s="3">
        <v>7.9890000000000003E-2</v>
      </c>
      <c r="V282" s="3">
        <v>0.14704</v>
      </c>
      <c r="W282" s="3">
        <v>0</v>
      </c>
      <c r="AA282" s="3" t="str">
        <f t="shared" si="3"/>
        <v>___</v>
      </c>
      <c r="AB282" s="3" t="str">
        <f t="shared" si="2"/>
        <v>____</v>
      </c>
    </row>
    <row r="283" spans="1:30" ht="12.5">
      <c r="A283" s="3">
        <v>282</v>
      </c>
      <c r="F283" s="3"/>
      <c r="H283" s="3"/>
      <c r="M283" s="3" t="s">
        <v>39</v>
      </c>
      <c r="N283" s="3" t="s">
        <v>47</v>
      </c>
      <c r="O283" s="3" t="s">
        <v>47</v>
      </c>
      <c r="P283" s="3" t="s">
        <v>47</v>
      </c>
      <c r="AA283" s="3" t="str">
        <f t="shared" si="3"/>
        <v>___</v>
      </c>
      <c r="AB283" s="3" t="str">
        <f t="shared" si="2"/>
        <v>____</v>
      </c>
    </row>
    <row r="284" spans="1:30" ht="12.5">
      <c r="A284" s="3">
        <v>283</v>
      </c>
      <c r="B284" s="12">
        <v>45490</v>
      </c>
      <c r="C284" s="3">
        <v>472</v>
      </c>
      <c r="D284" s="3">
        <v>11</v>
      </c>
      <c r="E284" s="3" t="s">
        <v>33</v>
      </c>
      <c r="F284" s="3"/>
      <c r="H284" s="3" t="s">
        <v>40</v>
      </c>
      <c r="I284" s="3">
        <v>2</v>
      </c>
      <c r="J284" s="4">
        <v>45347</v>
      </c>
      <c r="K284" s="4">
        <v>45560</v>
      </c>
      <c r="L284" s="3">
        <v>6</v>
      </c>
      <c r="M284" s="3" t="s">
        <v>36</v>
      </c>
      <c r="N284" s="3">
        <v>59</v>
      </c>
      <c r="O284" s="3">
        <v>7</v>
      </c>
      <c r="P284" s="3">
        <v>7</v>
      </c>
      <c r="S284" s="3">
        <v>1</v>
      </c>
      <c r="T284" s="3">
        <v>4.5690000000000001E-2</v>
      </c>
      <c r="U284" s="3">
        <v>3.1460000000000002E-2</v>
      </c>
      <c r="V284" s="3">
        <v>0</v>
      </c>
      <c r="W284" s="3">
        <v>2.0200000000000001E-3</v>
      </c>
      <c r="AA284" s="3" t="str">
        <f t="shared" si="3"/>
        <v>472_11__vm</v>
      </c>
      <c r="AB284" s="3" t="str">
        <f t="shared" si="2"/>
        <v>472_11__vm_2</v>
      </c>
      <c r="AD284" s="3" t="s">
        <v>37</v>
      </c>
    </row>
    <row r="285" spans="1:30" ht="12.5">
      <c r="A285" s="3">
        <v>284</v>
      </c>
      <c r="F285" s="3"/>
      <c r="H285" s="3"/>
      <c r="M285" s="3" t="s">
        <v>38</v>
      </c>
      <c r="N285" s="3">
        <v>95</v>
      </c>
      <c r="O285" s="3">
        <v>0</v>
      </c>
      <c r="P285" s="3">
        <v>2</v>
      </c>
      <c r="Q285" s="3">
        <v>5</v>
      </c>
      <c r="R285" s="3">
        <v>5</v>
      </c>
      <c r="S285" s="3">
        <v>0</v>
      </c>
      <c r="T285" s="3">
        <v>0</v>
      </c>
      <c r="U285" s="3">
        <v>0.14097000000000001</v>
      </c>
      <c r="V285" s="3">
        <v>0</v>
      </c>
      <c r="W285" s="3">
        <v>0</v>
      </c>
      <c r="AA285" s="3" t="str">
        <f t="shared" si="3"/>
        <v>___</v>
      </c>
      <c r="AB285" s="3" t="str">
        <f t="shared" si="2"/>
        <v>____</v>
      </c>
    </row>
    <row r="286" spans="1:30" ht="12.5">
      <c r="A286" s="3">
        <v>285</v>
      </c>
      <c r="F286" s="3"/>
      <c r="H286" s="3"/>
      <c r="M286" s="3" t="s">
        <v>39</v>
      </c>
      <c r="N286" s="3">
        <v>24</v>
      </c>
      <c r="O286" s="3">
        <v>0</v>
      </c>
      <c r="P286" s="3">
        <v>0</v>
      </c>
      <c r="Q286" s="3">
        <v>1</v>
      </c>
      <c r="R286" s="3">
        <v>1</v>
      </c>
      <c r="S286" s="3">
        <v>0</v>
      </c>
      <c r="T286" s="3">
        <v>0</v>
      </c>
      <c r="U286" s="3">
        <v>0.11429</v>
      </c>
      <c r="V286" s="3">
        <v>0.22708</v>
      </c>
      <c r="W286" s="3">
        <v>0</v>
      </c>
      <c r="AA286" s="3" t="str">
        <f t="shared" si="3"/>
        <v>___</v>
      </c>
      <c r="AB286" s="3" t="str">
        <f t="shared" si="2"/>
        <v>____</v>
      </c>
    </row>
    <row r="287" spans="1:30" ht="12.5">
      <c r="A287" s="3">
        <v>286</v>
      </c>
      <c r="B287" s="12">
        <v>45490</v>
      </c>
      <c r="C287" s="3">
        <v>472</v>
      </c>
      <c r="D287" s="3">
        <v>11</v>
      </c>
      <c r="E287" s="3" t="s">
        <v>33</v>
      </c>
      <c r="F287" s="3"/>
      <c r="H287" s="3" t="s">
        <v>40</v>
      </c>
      <c r="I287" s="3">
        <v>3</v>
      </c>
      <c r="J287" s="4">
        <v>45464</v>
      </c>
      <c r="K287" s="4">
        <v>45557</v>
      </c>
      <c r="L287" s="3">
        <v>5</v>
      </c>
      <c r="M287" s="3" t="s">
        <v>36</v>
      </c>
      <c r="N287" s="3">
        <v>70</v>
      </c>
      <c r="O287" s="3">
        <v>9</v>
      </c>
      <c r="P287" s="3">
        <v>9</v>
      </c>
      <c r="S287" s="3">
        <v>1</v>
      </c>
      <c r="T287" s="3">
        <v>5.2429999999999997E-2</v>
      </c>
      <c r="U287" s="11">
        <v>4.48E-2</v>
      </c>
      <c r="V287" s="3">
        <v>0</v>
      </c>
      <c r="W287" s="3">
        <v>4.761E-2</v>
      </c>
      <c r="X287" s="3"/>
      <c r="Y287" s="3" t="s">
        <v>70</v>
      </c>
      <c r="AA287" s="3" t="str">
        <f t="shared" si="3"/>
        <v>472_11__vm</v>
      </c>
      <c r="AB287" s="3" t="str">
        <f t="shared" si="2"/>
        <v>472_11__vm_3</v>
      </c>
      <c r="AD287" s="3" t="s">
        <v>37</v>
      </c>
    </row>
    <row r="288" spans="1:30" ht="12.5">
      <c r="A288" s="3">
        <v>287</v>
      </c>
      <c r="F288" s="3"/>
      <c r="H288" s="3"/>
      <c r="M288" s="3" t="s">
        <v>38</v>
      </c>
      <c r="N288" s="3">
        <v>60</v>
      </c>
      <c r="O288" s="3">
        <v>0</v>
      </c>
      <c r="P288" s="3">
        <v>3</v>
      </c>
      <c r="Q288" s="3">
        <v>3</v>
      </c>
      <c r="R288" s="3">
        <v>2</v>
      </c>
      <c r="S288" s="3">
        <v>0</v>
      </c>
      <c r="T288" s="3">
        <v>0</v>
      </c>
      <c r="U288" s="3">
        <v>6.268E-2</v>
      </c>
      <c r="V288" s="3">
        <v>0.13300999999999999</v>
      </c>
      <c r="W288" s="3">
        <v>0</v>
      </c>
      <c r="X288" s="3"/>
      <c r="Y288" s="3" t="s">
        <v>60</v>
      </c>
      <c r="AA288" s="3" t="str">
        <f t="shared" si="3"/>
        <v>___</v>
      </c>
      <c r="AB288" s="3" t="str">
        <f t="shared" si="2"/>
        <v>____</v>
      </c>
    </row>
    <row r="289" spans="1:30" ht="12.5">
      <c r="A289" s="3">
        <v>288</v>
      </c>
      <c r="F289" s="3"/>
      <c r="H289" s="3"/>
      <c r="M289" s="3" t="s">
        <v>39</v>
      </c>
      <c r="N289" s="3">
        <v>67</v>
      </c>
      <c r="O289" s="3">
        <v>0</v>
      </c>
      <c r="P289" s="3">
        <v>4</v>
      </c>
      <c r="Q289" s="3">
        <v>4</v>
      </c>
      <c r="R289" s="3">
        <v>4</v>
      </c>
      <c r="S289" s="3">
        <v>0</v>
      </c>
      <c r="T289" s="3">
        <v>0</v>
      </c>
      <c r="U289" s="3">
        <v>0.14207</v>
      </c>
      <c r="V289" s="3">
        <v>0.64400999999999997</v>
      </c>
      <c r="W289" s="3">
        <v>0</v>
      </c>
      <c r="AA289" s="3" t="str">
        <f t="shared" si="3"/>
        <v>___</v>
      </c>
      <c r="AB289" s="3" t="str">
        <f t="shared" si="2"/>
        <v>____</v>
      </c>
    </row>
    <row r="290" spans="1:30" ht="12.5">
      <c r="A290" s="3">
        <v>289</v>
      </c>
      <c r="B290" s="12">
        <v>45490</v>
      </c>
      <c r="C290" s="3">
        <v>472</v>
      </c>
      <c r="D290" s="3">
        <v>11</v>
      </c>
      <c r="E290" s="3" t="s">
        <v>33</v>
      </c>
      <c r="F290" s="3"/>
      <c r="H290" s="3" t="s">
        <v>35</v>
      </c>
      <c r="I290" s="3">
        <v>1</v>
      </c>
      <c r="J290" s="4">
        <v>45517</v>
      </c>
      <c r="K290" s="4">
        <v>45424</v>
      </c>
      <c r="L290" s="3">
        <v>3</v>
      </c>
      <c r="M290" s="3" t="s">
        <v>36</v>
      </c>
      <c r="N290" s="3">
        <v>51</v>
      </c>
      <c r="O290" s="3">
        <v>10</v>
      </c>
      <c r="P290" s="3">
        <v>12</v>
      </c>
      <c r="S290" s="3">
        <v>0</v>
      </c>
      <c r="T290" s="3">
        <v>0.10858</v>
      </c>
      <c r="U290" s="3">
        <v>1.6820000000000002E-2</v>
      </c>
      <c r="V290" s="3">
        <v>0</v>
      </c>
      <c r="W290" s="3">
        <v>0</v>
      </c>
      <c r="AA290" s="3" t="str">
        <f t="shared" si="3"/>
        <v>472_11__vv</v>
      </c>
      <c r="AB290" s="3" t="str">
        <f t="shared" si="2"/>
        <v>472_11__vv_1</v>
      </c>
      <c r="AD290" s="3" t="s">
        <v>37</v>
      </c>
    </row>
    <row r="291" spans="1:30" ht="12.5">
      <c r="A291" s="3">
        <v>290</v>
      </c>
      <c r="F291" s="3"/>
      <c r="H291" s="3"/>
      <c r="M291" s="3" t="s">
        <v>38</v>
      </c>
      <c r="N291" s="3">
        <v>43</v>
      </c>
      <c r="O291" s="3">
        <v>6</v>
      </c>
      <c r="P291" s="3">
        <v>9</v>
      </c>
      <c r="S291" s="3">
        <v>0</v>
      </c>
      <c r="T291" s="3">
        <v>7.6700000000000004E-2</v>
      </c>
      <c r="U291" s="3">
        <v>2.162E-2</v>
      </c>
      <c r="V291" s="3">
        <v>0</v>
      </c>
      <c r="W291" s="3">
        <v>0</v>
      </c>
      <c r="AA291" s="3" t="str">
        <f t="shared" si="3"/>
        <v>___</v>
      </c>
      <c r="AB291" s="3" t="str">
        <f t="shared" si="2"/>
        <v>____</v>
      </c>
    </row>
    <row r="292" spans="1:30" ht="12.5">
      <c r="A292" s="3">
        <v>291</v>
      </c>
      <c r="F292" s="3"/>
      <c r="H292" s="3"/>
      <c r="M292" s="3" t="s">
        <v>39</v>
      </c>
      <c r="N292" s="3">
        <v>32</v>
      </c>
      <c r="O292" s="3">
        <v>0</v>
      </c>
      <c r="P292" s="3">
        <v>6</v>
      </c>
      <c r="S292" s="3">
        <v>0</v>
      </c>
      <c r="T292" s="3">
        <v>0</v>
      </c>
      <c r="U292" s="3">
        <v>1.635E-2</v>
      </c>
      <c r="V292" s="3">
        <v>0</v>
      </c>
      <c r="W292" s="3">
        <v>0</v>
      </c>
      <c r="AA292" s="3" t="str">
        <f t="shared" si="3"/>
        <v>___</v>
      </c>
      <c r="AB292" s="3" t="str">
        <f t="shared" si="2"/>
        <v>____</v>
      </c>
    </row>
    <row r="293" spans="1:30" ht="12.5">
      <c r="A293" s="3">
        <v>292</v>
      </c>
      <c r="B293" s="12">
        <v>45490</v>
      </c>
      <c r="C293" s="3">
        <v>472</v>
      </c>
      <c r="D293" s="3">
        <v>11</v>
      </c>
      <c r="E293" s="3" t="s">
        <v>33</v>
      </c>
      <c r="F293" s="3"/>
      <c r="H293" s="3" t="s">
        <v>35</v>
      </c>
      <c r="I293" s="3">
        <v>2</v>
      </c>
      <c r="J293" s="4">
        <v>45400</v>
      </c>
      <c r="K293" s="4">
        <v>45519</v>
      </c>
      <c r="L293" s="3">
        <v>3</v>
      </c>
      <c r="M293" s="3" t="s">
        <v>36</v>
      </c>
      <c r="N293" s="3">
        <v>59</v>
      </c>
      <c r="O293" s="3">
        <v>13</v>
      </c>
      <c r="P293" s="3">
        <v>15</v>
      </c>
      <c r="S293" s="3">
        <v>0</v>
      </c>
      <c r="T293" s="3">
        <v>0.17735000000000001</v>
      </c>
      <c r="U293" s="3">
        <v>2.5510000000000001E-2</v>
      </c>
      <c r="V293" s="3">
        <v>0</v>
      </c>
      <c r="W293" s="3">
        <v>0</v>
      </c>
      <c r="AA293" s="3" t="str">
        <f t="shared" si="3"/>
        <v>472_11__vv</v>
      </c>
      <c r="AB293" s="3" t="str">
        <f t="shared" si="2"/>
        <v>472_11__vv_2</v>
      </c>
      <c r="AD293" s="3" t="s">
        <v>37</v>
      </c>
    </row>
    <row r="294" spans="1:30" ht="12.5">
      <c r="A294" s="3">
        <v>293</v>
      </c>
      <c r="F294" s="3"/>
      <c r="H294" s="3"/>
      <c r="M294" s="3" t="s">
        <v>38</v>
      </c>
      <c r="N294" s="3">
        <v>44</v>
      </c>
      <c r="O294" s="3">
        <v>11</v>
      </c>
      <c r="P294" s="3">
        <v>12</v>
      </c>
      <c r="S294" s="3">
        <v>0</v>
      </c>
      <c r="T294" s="3">
        <v>0.23032</v>
      </c>
      <c r="U294" s="3">
        <v>3.4750000000000003E-2</v>
      </c>
      <c r="V294" s="3">
        <v>0</v>
      </c>
      <c r="W294" s="3">
        <v>0</v>
      </c>
      <c r="AA294" s="3" t="str">
        <f t="shared" si="3"/>
        <v>___</v>
      </c>
      <c r="AB294" s="3" t="str">
        <f t="shared" si="2"/>
        <v>____</v>
      </c>
    </row>
    <row r="295" spans="1:30" ht="12.5">
      <c r="A295" s="3">
        <v>294</v>
      </c>
      <c r="F295" s="3"/>
      <c r="H295" s="3"/>
      <c r="M295" s="3" t="s">
        <v>39</v>
      </c>
      <c r="N295" s="3">
        <v>60</v>
      </c>
      <c r="O295" s="3">
        <v>6</v>
      </c>
      <c r="P295" s="3">
        <v>11</v>
      </c>
      <c r="S295" s="3">
        <v>0</v>
      </c>
      <c r="T295" s="3">
        <v>0.28820000000000001</v>
      </c>
      <c r="U295" s="3">
        <v>5.3719999999999997E-2</v>
      </c>
      <c r="V295" s="3">
        <v>0</v>
      </c>
      <c r="W295" s="3">
        <v>0</v>
      </c>
      <c r="AA295" s="3" t="str">
        <f t="shared" si="3"/>
        <v>___</v>
      </c>
      <c r="AB295" s="3" t="str">
        <f t="shared" si="2"/>
        <v>____</v>
      </c>
    </row>
    <row r="296" spans="1:30" ht="12.5">
      <c r="A296" s="3">
        <v>295</v>
      </c>
      <c r="B296" s="12">
        <v>45490</v>
      </c>
      <c r="C296" s="3">
        <v>472</v>
      </c>
      <c r="D296" s="3">
        <v>11</v>
      </c>
      <c r="E296" s="3" t="s">
        <v>33</v>
      </c>
      <c r="F296" s="3"/>
      <c r="H296" s="3" t="s">
        <v>35</v>
      </c>
      <c r="I296" s="3">
        <v>3</v>
      </c>
      <c r="J296" s="4">
        <v>45368</v>
      </c>
      <c r="K296" s="4">
        <v>45370</v>
      </c>
      <c r="L296" s="3">
        <v>5</v>
      </c>
      <c r="M296" s="3" t="s">
        <v>36</v>
      </c>
      <c r="N296" s="3">
        <v>60</v>
      </c>
      <c r="O296" s="3">
        <v>13</v>
      </c>
      <c r="P296" s="3">
        <v>15</v>
      </c>
      <c r="S296" s="3">
        <v>0</v>
      </c>
      <c r="T296" s="3">
        <v>0.16816</v>
      </c>
      <c r="U296" s="3">
        <v>2.8000000000000001E-2</v>
      </c>
      <c r="V296" s="3">
        <v>0</v>
      </c>
      <c r="W296" s="3">
        <v>0</v>
      </c>
      <c r="AA296" s="3" t="str">
        <f t="shared" si="3"/>
        <v>472_11__vv</v>
      </c>
      <c r="AB296" s="3" t="str">
        <f t="shared" si="2"/>
        <v>472_11__vv_3</v>
      </c>
      <c r="AD296" s="3" t="s">
        <v>37</v>
      </c>
    </row>
    <row r="297" spans="1:30" ht="12.5">
      <c r="A297" s="3">
        <v>296</v>
      </c>
      <c r="F297" s="3"/>
      <c r="H297" s="3"/>
      <c r="M297" s="3" t="s">
        <v>38</v>
      </c>
      <c r="N297" s="3">
        <v>45</v>
      </c>
      <c r="O297" s="3">
        <v>9</v>
      </c>
      <c r="P297" s="3">
        <v>11</v>
      </c>
      <c r="S297" s="3">
        <v>0</v>
      </c>
      <c r="T297" s="3">
        <v>9.8750000000000004E-2</v>
      </c>
      <c r="U297" s="3">
        <v>2.7140000000000001E-2</v>
      </c>
      <c r="V297" s="3">
        <v>0</v>
      </c>
      <c r="W297" s="3">
        <v>0</v>
      </c>
      <c r="AA297" s="3" t="str">
        <f t="shared" si="3"/>
        <v>___</v>
      </c>
      <c r="AB297" s="3" t="str">
        <f t="shared" si="2"/>
        <v>____</v>
      </c>
    </row>
    <row r="298" spans="1:30" ht="12.5">
      <c r="A298" s="3">
        <v>297</v>
      </c>
      <c r="F298" s="3"/>
      <c r="H298" s="3"/>
      <c r="M298" s="3" t="s">
        <v>39</v>
      </c>
      <c r="N298" s="3">
        <v>45</v>
      </c>
      <c r="O298" s="3">
        <v>0</v>
      </c>
      <c r="P298" s="3">
        <v>7</v>
      </c>
      <c r="S298" s="3">
        <v>0</v>
      </c>
      <c r="T298" s="3">
        <v>0</v>
      </c>
      <c r="U298" s="3">
        <v>2.9139999999999999E-2</v>
      </c>
      <c r="V298" s="3">
        <v>0</v>
      </c>
      <c r="W298" s="3">
        <v>0</v>
      </c>
      <c r="AA298" s="3" t="str">
        <f t="shared" si="3"/>
        <v>___</v>
      </c>
      <c r="AB298" s="3" t="str">
        <f t="shared" si="2"/>
        <v>____</v>
      </c>
    </row>
    <row r="299" spans="1:30" ht="12.5">
      <c r="A299" s="3">
        <v>298</v>
      </c>
      <c r="B299" s="12">
        <v>45490</v>
      </c>
      <c r="C299" s="10">
        <v>472</v>
      </c>
      <c r="D299" s="10">
        <v>31</v>
      </c>
      <c r="E299" s="3" t="s">
        <v>33</v>
      </c>
      <c r="F299" s="3"/>
      <c r="H299" s="3" t="s">
        <v>40</v>
      </c>
      <c r="I299" s="3">
        <v>1</v>
      </c>
      <c r="J299" s="4">
        <v>45484</v>
      </c>
      <c r="K299" s="4">
        <v>45550</v>
      </c>
      <c r="L299" s="3">
        <v>5</v>
      </c>
      <c r="M299" s="3" t="s">
        <v>36</v>
      </c>
      <c r="N299" s="3">
        <v>10</v>
      </c>
      <c r="O299" s="3">
        <v>4</v>
      </c>
      <c r="P299" s="3">
        <v>4</v>
      </c>
      <c r="S299" s="3">
        <v>1</v>
      </c>
      <c r="T299" s="3">
        <v>1.09E-2</v>
      </c>
      <c r="U299" s="3">
        <v>1.8500000000000001E-3</v>
      </c>
      <c r="V299" s="3">
        <v>0</v>
      </c>
      <c r="W299" s="3">
        <v>2.1760000000000002E-2</v>
      </c>
      <c r="AA299" s="3" t="str">
        <f t="shared" si="3"/>
        <v>472_31__vm</v>
      </c>
      <c r="AB299" s="3" t="str">
        <f t="shared" si="2"/>
        <v>472_31__vm_1</v>
      </c>
      <c r="AD299" s="3" t="s">
        <v>37</v>
      </c>
    </row>
    <row r="300" spans="1:30" ht="12.5">
      <c r="A300" s="3">
        <v>299</v>
      </c>
      <c r="F300" s="3"/>
      <c r="H300" s="3"/>
      <c r="M300" s="3" t="s">
        <v>38</v>
      </c>
      <c r="N300" s="3">
        <v>20</v>
      </c>
      <c r="O300" s="3">
        <v>0</v>
      </c>
      <c r="P300" s="3">
        <v>4</v>
      </c>
      <c r="Q300" s="3">
        <v>1</v>
      </c>
      <c r="R300" s="3">
        <v>1</v>
      </c>
      <c r="S300" s="3">
        <v>0</v>
      </c>
      <c r="T300" s="3">
        <v>0</v>
      </c>
      <c r="U300" s="3">
        <v>7.7600000000000004E-3</v>
      </c>
      <c r="V300" s="3">
        <v>7.1599999999999997E-3</v>
      </c>
      <c r="W300" s="3">
        <v>0</v>
      </c>
      <c r="AA300" s="3" t="str">
        <f t="shared" si="3"/>
        <v>___</v>
      </c>
      <c r="AB300" s="3" t="str">
        <f t="shared" si="2"/>
        <v>____</v>
      </c>
    </row>
    <row r="301" spans="1:30" ht="12.5">
      <c r="A301" s="3">
        <v>300</v>
      </c>
      <c r="F301" s="3"/>
      <c r="H301" s="3"/>
      <c r="M301" s="3" t="s">
        <v>39</v>
      </c>
      <c r="N301" s="3">
        <v>33</v>
      </c>
      <c r="O301" s="3">
        <v>0</v>
      </c>
      <c r="P301" s="3">
        <v>3</v>
      </c>
      <c r="Q301" s="3">
        <v>3</v>
      </c>
      <c r="R301" s="3">
        <v>2</v>
      </c>
      <c r="S301" s="3">
        <v>0</v>
      </c>
      <c r="T301" s="3">
        <v>0</v>
      </c>
      <c r="U301" s="3">
        <v>2.0029999999999999E-2</v>
      </c>
      <c r="V301" s="3">
        <v>4.5109999999999997E-2</v>
      </c>
      <c r="W301" s="3">
        <v>0</v>
      </c>
      <c r="X301" s="3"/>
      <c r="Y301" s="3" t="s">
        <v>60</v>
      </c>
      <c r="AA301" s="3" t="str">
        <f t="shared" si="3"/>
        <v>___</v>
      </c>
      <c r="AB301" s="3" t="str">
        <f t="shared" si="2"/>
        <v>____</v>
      </c>
    </row>
    <row r="302" spans="1:30" ht="12.5">
      <c r="A302" s="3">
        <v>301</v>
      </c>
      <c r="B302" s="12">
        <v>45490</v>
      </c>
      <c r="C302" s="3">
        <v>472</v>
      </c>
      <c r="D302" s="3">
        <v>31</v>
      </c>
      <c r="E302" s="3" t="s">
        <v>33</v>
      </c>
      <c r="F302" s="3"/>
      <c r="H302" s="3" t="s">
        <v>40</v>
      </c>
      <c r="I302" s="3">
        <v>2</v>
      </c>
      <c r="J302" s="4">
        <v>45301</v>
      </c>
      <c r="K302" s="4">
        <v>45359</v>
      </c>
      <c r="L302" s="3">
        <v>2</v>
      </c>
      <c r="M302" s="3" t="s">
        <v>36</v>
      </c>
      <c r="N302" s="3">
        <v>31</v>
      </c>
      <c r="O302" s="3">
        <v>9</v>
      </c>
      <c r="P302" s="3">
        <v>9</v>
      </c>
      <c r="S302" s="3">
        <v>0</v>
      </c>
      <c r="T302" s="3">
        <v>2.537E-2</v>
      </c>
      <c r="U302" s="3">
        <v>1.2120000000000001E-2</v>
      </c>
      <c r="V302" s="3">
        <v>0</v>
      </c>
      <c r="W302" s="3">
        <v>0</v>
      </c>
      <c r="X302" s="3"/>
      <c r="Y302" s="3" t="s">
        <v>56</v>
      </c>
      <c r="AA302" s="3" t="str">
        <f t="shared" si="3"/>
        <v>472_31__vm</v>
      </c>
      <c r="AB302" s="3" t="str">
        <f t="shared" si="2"/>
        <v>472_31__vm_2</v>
      </c>
      <c r="AD302" s="3" t="s">
        <v>37</v>
      </c>
    </row>
    <row r="303" spans="1:30" ht="12.5">
      <c r="A303" s="3">
        <v>302</v>
      </c>
      <c r="F303" s="3"/>
      <c r="H303" s="3"/>
      <c r="M303" s="3" t="s">
        <v>38</v>
      </c>
      <c r="N303" s="3">
        <v>54</v>
      </c>
      <c r="O303" s="3">
        <v>0</v>
      </c>
      <c r="P303" s="3">
        <v>8</v>
      </c>
      <c r="Q303" s="3">
        <v>4</v>
      </c>
      <c r="R303" s="3">
        <v>4</v>
      </c>
      <c r="S303" s="3">
        <v>0</v>
      </c>
      <c r="T303" s="3">
        <v>0</v>
      </c>
      <c r="U303" s="3">
        <v>5.144E-2</v>
      </c>
      <c r="V303" s="3">
        <v>7.7530000000000002E-2</v>
      </c>
      <c r="W303" s="3">
        <v>0</v>
      </c>
      <c r="AA303" s="3" t="str">
        <f t="shared" si="3"/>
        <v>___</v>
      </c>
      <c r="AB303" s="3" t="str">
        <f t="shared" si="2"/>
        <v>____</v>
      </c>
    </row>
    <row r="304" spans="1:30" ht="12.5">
      <c r="A304" s="3">
        <v>303</v>
      </c>
      <c r="F304" s="3"/>
      <c r="H304" s="3"/>
      <c r="M304" s="3" t="s">
        <v>39</v>
      </c>
      <c r="N304" s="3" t="s">
        <v>47</v>
      </c>
      <c r="O304" s="3" t="s">
        <v>47</v>
      </c>
      <c r="P304" s="3" t="s">
        <v>47</v>
      </c>
      <c r="AA304" s="3" t="str">
        <f t="shared" si="3"/>
        <v>___</v>
      </c>
      <c r="AB304" s="3" t="str">
        <f t="shared" si="2"/>
        <v>____</v>
      </c>
    </row>
    <row r="305" spans="1:30" ht="12.5">
      <c r="A305" s="3">
        <v>304</v>
      </c>
      <c r="B305" s="12">
        <v>45490</v>
      </c>
      <c r="C305" s="3">
        <v>472</v>
      </c>
      <c r="D305" s="3">
        <v>31</v>
      </c>
      <c r="E305" s="3" t="s">
        <v>33</v>
      </c>
      <c r="F305" s="3"/>
      <c r="H305" s="3" t="s">
        <v>40</v>
      </c>
      <c r="I305" s="3">
        <v>3</v>
      </c>
      <c r="J305" s="4">
        <v>45424</v>
      </c>
      <c r="K305" s="3">
        <v>12</v>
      </c>
      <c r="L305" s="3">
        <v>5</v>
      </c>
      <c r="M305" s="3" t="s">
        <v>36</v>
      </c>
      <c r="N305" s="3">
        <v>14</v>
      </c>
      <c r="O305" s="3">
        <v>5</v>
      </c>
      <c r="P305" s="3">
        <v>5</v>
      </c>
      <c r="S305" s="3">
        <v>0</v>
      </c>
      <c r="T305" s="3">
        <v>1.427E-2</v>
      </c>
      <c r="U305" s="3">
        <v>3.81E-3</v>
      </c>
      <c r="V305" s="3">
        <v>0</v>
      </c>
      <c r="W305" s="3">
        <v>0</v>
      </c>
      <c r="AA305" s="3" t="str">
        <f t="shared" si="3"/>
        <v>472_31__vm</v>
      </c>
      <c r="AB305" s="3" t="str">
        <f t="shared" si="2"/>
        <v>472_31__vm_3</v>
      </c>
      <c r="AD305" s="3" t="s">
        <v>37</v>
      </c>
    </row>
    <row r="306" spans="1:30" ht="12.5">
      <c r="A306" s="3">
        <v>305</v>
      </c>
      <c r="F306" s="3"/>
      <c r="H306" s="3"/>
      <c r="M306" s="3" t="s">
        <v>38</v>
      </c>
      <c r="N306" s="3">
        <v>19</v>
      </c>
      <c r="O306" s="3">
        <v>0</v>
      </c>
      <c r="P306" s="3">
        <v>2</v>
      </c>
      <c r="Q306" s="3">
        <v>2</v>
      </c>
      <c r="R306" s="3">
        <v>2</v>
      </c>
      <c r="S306" s="3">
        <v>0</v>
      </c>
      <c r="T306" s="3">
        <v>0</v>
      </c>
      <c r="U306" s="3">
        <v>6.4900000000000001E-3</v>
      </c>
      <c r="V306" s="3">
        <v>1.154E-2</v>
      </c>
      <c r="W306" s="3">
        <v>0</v>
      </c>
      <c r="AA306" s="3" t="str">
        <f t="shared" si="3"/>
        <v>___</v>
      </c>
      <c r="AB306" s="3" t="str">
        <f t="shared" si="2"/>
        <v>____</v>
      </c>
    </row>
    <row r="307" spans="1:30" ht="12.5">
      <c r="A307" s="3">
        <v>306</v>
      </c>
      <c r="F307" s="3"/>
      <c r="H307" s="3"/>
      <c r="M307" s="3" t="s">
        <v>39</v>
      </c>
      <c r="N307" s="3">
        <v>36</v>
      </c>
      <c r="O307" s="3">
        <v>0</v>
      </c>
      <c r="P307" s="3">
        <v>3</v>
      </c>
      <c r="Q307" s="3">
        <v>4</v>
      </c>
      <c r="R307" s="3">
        <v>4</v>
      </c>
      <c r="S307" s="3">
        <v>0</v>
      </c>
      <c r="T307" s="3">
        <v>0</v>
      </c>
      <c r="U307" s="3">
        <v>2.5850000000000001E-2</v>
      </c>
      <c r="V307" s="3">
        <v>5.0770000000000003E-2</v>
      </c>
      <c r="W307" s="3">
        <v>0</v>
      </c>
      <c r="AA307" s="3" t="str">
        <f t="shared" si="3"/>
        <v>___</v>
      </c>
      <c r="AB307" s="3" t="str">
        <f t="shared" si="2"/>
        <v>____</v>
      </c>
    </row>
    <row r="308" spans="1:30" ht="12.5">
      <c r="A308" s="3">
        <v>307</v>
      </c>
      <c r="B308" s="12">
        <v>45490</v>
      </c>
      <c r="C308" s="3">
        <v>472</v>
      </c>
      <c r="D308" s="3">
        <v>31</v>
      </c>
      <c r="E308" s="3" t="s">
        <v>33</v>
      </c>
      <c r="F308" s="3"/>
      <c r="H308" s="3" t="s">
        <v>35</v>
      </c>
      <c r="I308" s="3">
        <v>1</v>
      </c>
      <c r="J308" s="4">
        <v>45451</v>
      </c>
      <c r="K308" s="4">
        <v>45359</v>
      </c>
      <c r="L308" s="3">
        <v>3</v>
      </c>
      <c r="M308" s="3" t="s">
        <v>36</v>
      </c>
      <c r="N308" s="3">
        <v>37</v>
      </c>
      <c r="O308" s="3">
        <v>13</v>
      </c>
      <c r="P308" s="3">
        <v>14</v>
      </c>
      <c r="S308" s="3">
        <v>0</v>
      </c>
      <c r="T308" s="3">
        <v>0.16597000000000001</v>
      </c>
      <c r="U308" s="3">
        <v>1.4120000000000001E-2</v>
      </c>
      <c r="V308" s="3">
        <v>0</v>
      </c>
      <c r="W308" s="3">
        <v>0</v>
      </c>
      <c r="AA308" s="3" t="str">
        <f t="shared" si="3"/>
        <v>472_31__vv</v>
      </c>
      <c r="AB308" s="3" t="str">
        <f t="shared" si="2"/>
        <v>472_31__vv_1</v>
      </c>
      <c r="AD308" s="3" t="s">
        <v>37</v>
      </c>
    </row>
    <row r="309" spans="1:30" ht="12.5">
      <c r="A309" s="3">
        <v>308</v>
      </c>
      <c r="F309" s="3"/>
      <c r="H309" s="3"/>
      <c r="M309" s="3" t="s">
        <v>38</v>
      </c>
      <c r="N309" s="3">
        <v>23</v>
      </c>
      <c r="O309" s="3">
        <v>7</v>
      </c>
      <c r="P309" s="3">
        <v>12</v>
      </c>
      <c r="S309" s="3">
        <v>0</v>
      </c>
      <c r="T309" s="3">
        <v>5.629E-2</v>
      </c>
      <c r="U309" s="3">
        <v>1.4E-2</v>
      </c>
      <c r="V309" s="3">
        <v>0</v>
      </c>
      <c r="W309" s="3">
        <v>0</v>
      </c>
      <c r="AA309" s="3" t="str">
        <f t="shared" si="3"/>
        <v>___</v>
      </c>
      <c r="AB309" s="3" t="str">
        <f t="shared" si="2"/>
        <v>____</v>
      </c>
    </row>
    <row r="310" spans="1:30" ht="12.5">
      <c r="A310" s="3">
        <v>309</v>
      </c>
      <c r="F310" s="3"/>
      <c r="H310" s="3"/>
      <c r="M310" s="3" t="s">
        <v>39</v>
      </c>
      <c r="N310" s="3">
        <v>21</v>
      </c>
      <c r="O310" s="3">
        <v>0</v>
      </c>
      <c r="P310" s="3">
        <v>5</v>
      </c>
      <c r="Q310" s="3">
        <v>2</v>
      </c>
      <c r="R310" s="3">
        <v>2</v>
      </c>
      <c r="S310" s="3">
        <v>0</v>
      </c>
      <c r="T310" s="3">
        <v>0</v>
      </c>
      <c r="U310" s="3">
        <v>2.9010000000000001E-2</v>
      </c>
      <c r="V310" s="3">
        <v>0.26386999999999999</v>
      </c>
      <c r="W310" s="3">
        <v>0</v>
      </c>
      <c r="AA310" s="3" t="str">
        <f t="shared" si="3"/>
        <v>___</v>
      </c>
      <c r="AB310" s="3" t="str">
        <f t="shared" si="2"/>
        <v>____</v>
      </c>
    </row>
    <row r="311" spans="1:30" ht="12.5">
      <c r="A311" s="3">
        <v>310</v>
      </c>
      <c r="B311" s="12">
        <v>45490</v>
      </c>
      <c r="C311" s="3">
        <v>472</v>
      </c>
      <c r="D311" s="3">
        <v>31</v>
      </c>
      <c r="E311" s="3" t="s">
        <v>33</v>
      </c>
      <c r="F311" s="3"/>
      <c r="H311" s="3" t="s">
        <v>35</v>
      </c>
      <c r="I311" s="3">
        <v>2</v>
      </c>
      <c r="J311" s="4">
        <v>45299</v>
      </c>
      <c r="K311" s="4">
        <v>45299</v>
      </c>
      <c r="L311" s="3">
        <v>5</v>
      </c>
      <c r="M311" s="3" t="s">
        <v>36</v>
      </c>
      <c r="N311" s="3">
        <v>27</v>
      </c>
      <c r="O311" s="3">
        <v>10</v>
      </c>
      <c r="P311" s="3">
        <v>12</v>
      </c>
      <c r="S311" s="3">
        <v>0</v>
      </c>
      <c r="T311" s="3">
        <v>8.3989999999999995E-2</v>
      </c>
      <c r="U311" s="3">
        <v>6.96E-3</v>
      </c>
      <c r="V311" s="3">
        <v>0</v>
      </c>
      <c r="W311" s="3">
        <v>0</v>
      </c>
      <c r="AA311" s="3" t="str">
        <f t="shared" si="3"/>
        <v>472_31__vv</v>
      </c>
      <c r="AB311" s="3" t="str">
        <f t="shared" si="2"/>
        <v>472_31__vv_2</v>
      </c>
      <c r="AD311" s="3" t="s">
        <v>37</v>
      </c>
    </row>
    <row r="312" spans="1:30" ht="12.5">
      <c r="A312" s="3">
        <v>311</v>
      </c>
      <c r="F312" s="3"/>
      <c r="H312" s="3"/>
      <c r="M312" s="3" t="s">
        <v>38</v>
      </c>
      <c r="N312" s="3">
        <v>14</v>
      </c>
      <c r="O312" s="3">
        <v>7</v>
      </c>
      <c r="P312" s="3">
        <v>9</v>
      </c>
      <c r="S312" s="3">
        <v>0</v>
      </c>
      <c r="T312" s="3">
        <v>4.9399999999999999E-2</v>
      </c>
      <c r="U312" s="3">
        <v>5.0000000000000001E-3</v>
      </c>
      <c r="V312" s="3">
        <v>0</v>
      </c>
      <c r="W312" s="3">
        <v>0</v>
      </c>
      <c r="AA312" s="3" t="str">
        <f t="shared" si="3"/>
        <v>___</v>
      </c>
      <c r="AB312" s="3" t="str">
        <f t="shared" si="2"/>
        <v>____</v>
      </c>
    </row>
    <row r="313" spans="1:30" ht="12.5">
      <c r="A313" s="3">
        <v>312</v>
      </c>
      <c r="F313" s="3"/>
      <c r="H313" s="3"/>
      <c r="M313" s="3" t="s">
        <v>39</v>
      </c>
      <c r="N313" s="3">
        <v>13</v>
      </c>
      <c r="O313" s="3">
        <v>7</v>
      </c>
      <c r="P313" s="3">
        <v>8</v>
      </c>
      <c r="S313" s="3">
        <v>0</v>
      </c>
      <c r="T313" s="3">
        <v>4.7719999999999999E-2</v>
      </c>
      <c r="U313" s="3">
        <v>4.96E-3</v>
      </c>
      <c r="V313" s="3">
        <v>0</v>
      </c>
      <c r="W313" s="3">
        <v>0</v>
      </c>
      <c r="AA313" s="3" t="str">
        <f t="shared" si="3"/>
        <v>___</v>
      </c>
      <c r="AB313" s="3" t="str">
        <f t="shared" si="2"/>
        <v>____</v>
      </c>
    </row>
    <row r="314" spans="1:30" ht="12.5">
      <c r="A314" s="3">
        <v>313</v>
      </c>
      <c r="B314" s="12">
        <v>45490</v>
      </c>
      <c r="C314" s="3">
        <v>472</v>
      </c>
      <c r="D314" s="3">
        <v>31</v>
      </c>
      <c r="E314" s="3" t="s">
        <v>33</v>
      </c>
      <c r="F314" s="3"/>
      <c r="H314" s="3" t="s">
        <v>35</v>
      </c>
      <c r="I314" s="3">
        <v>3</v>
      </c>
      <c r="J314" s="4">
        <v>45328</v>
      </c>
      <c r="K314" s="3">
        <v>7</v>
      </c>
      <c r="L314" s="3">
        <v>3</v>
      </c>
      <c r="M314" s="3" t="s">
        <v>36</v>
      </c>
      <c r="N314" s="3">
        <v>30</v>
      </c>
      <c r="O314" s="3">
        <v>9</v>
      </c>
      <c r="P314" s="3">
        <v>11</v>
      </c>
      <c r="S314" s="3">
        <v>0</v>
      </c>
      <c r="T314" s="3">
        <v>4.4889999999999999E-2</v>
      </c>
      <c r="U314" s="3">
        <v>5.6800000000000002E-3</v>
      </c>
      <c r="V314" s="3">
        <v>0</v>
      </c>
      <c r="W314" s="3">
        <v>0</v>
      </c>
      <c r="AA314" s="3" t="str">
        <f t="shared" si="3"/>
        <v>472_31__vv</v>
      </c>
      <c r="AB314" s="3" t="str">
        <f t="shared" si="2"/>
        <v>472_31__vv_3</v>
      </c>
      <c r="AD314" s="3" t="s">
        <v>37</v>
      </c>
    </row>
    <row r="315" spans="1:30" ht="12.5">
      <c r="A315" s="3">
        <v>314</v>
      </c>
      <c r="F315" s="3"/>
      <c r="H315" s="3"/>
      <c r="M315" s="3" t="s">
        <v>38</v>
      </c>
      <c r="N315" s="3">
        <v>33</v>
      </c>
      <c r="O315" s="3">
        <v>2</v>
      </c>
      <c r="P315" s="3">
        <v>8</v>
      </c>
      <c r="S315" s="3">
        <v>0</v>
      </c>
      <c r="T315" s="3">
        <v>8.6599999999999993E-3</v>
      </c>
      <c r="U315" s="3">
        <v>8.5400000000000007E-3</v>
      </c>
      <c r="V315" s="3">
        <v>0</v>
      </c>
      <c r="W315" s="3">
        <v>0</v>
      </c>
      <c r="AA315" s="3" t="str">
        <f t="shared" si="3"/>
        <v>___</v>
      </c>
      <c r="AB315" s="3" t="str">
        <f t="shared" si="2"/>
        <v>____</v>
      </c>
    </row>
    <row r="316" spans="1:30" ht="12.5">
      <c r="A316" s="3">
        <v>315</v>
      </c>
      <c r="F316" s="3"/>
      <c r="H316" s="3"/>
      <c r="M316" s="3" t="s">
        <v>39</v>
      </c>
      <c r="N316" s="3">
        <v>9</v>
      </c>
      <c r="O316" s="3">
        <v>0</v>
      </c>
      <c r="P316" s="3">
        <v>3</v>
      </c>
      <c r="S316" s="3">
        <v>0</v>
      </c>
      <c r="T316" s="3">
        <v>0</v>
      </c>
      <c r="U316" s="3">
        <v>2.2399999999999998E-3</v>
      </c>
      <c r="V316" s="3">
        <v>0</v>
      </c>
      <c r="W316" s="3">
        <v>0</v>
      </c>
      <c r="AA316" s="3" t="str">
        <f t="shared" si="3"/>
        <v>___</v>
      </c>
      <c r="AB316" s="3" t="str">
        <f t="shared" si="2"/>
        <v>____</v>
      </c>
    </row>
    <row r="317" spans="1:30" ht="12.5">
      <c r="A317" s="3">
        <v>316</v>
      </c>
      <c r="B317" s="12">
        <v>45490</v>
      </c>
      <c r="C317" s="10">
        <v>472</v>
      </c>
      <c r="D317" s="10">
        <v>33</v>
      </c>
      <c r="E317" s="3" t="s">
        <v>33</v>
      </c>
      <c r="F317" s="3"/>
      <c r="H317" s="3" t="s">
        <v>40</v>
      </c>
      <c r="I317" s="3">
        <v>1</v>
      </c>
      <c r="J317" s="4">
        <v>45428</v>
      </c>
      <c r="K317" s="4">
        <v>45309</v>
      </c>
      <c r="L317" s="3">
        <v>4</v>
      </c>
      <c r="M317" s="3" t="s">
        <v>36</v>
      </c>
      <c r="N317" s="3">
        <v>75</v>
      </c>
      <c r="O317" s="3">
        <v>8</v>
      </c>
      <c r="P317" s="3">
        <v>8</v>
      </c>
      <c r="S317" s="3">
        <v>0</v>
      </c>
      <c r="T317" s="8">
        <v>4.9099999999999998E-2</v>
      </c>
      <c r="U317" s="3">
        <v>4.2090000000000002E-2</v>
      </c>
      <c r="V317" s="3">
        <v>0</v>
      </c>
      <c r="W317" s="3">
        <v>0</v>
      </c>
      <c r="X317" s="3"/>
      <c r="Y317" s="3" t="s">
        <v>71</v>
      </c>
      <c r="AA317" s="3" t="str">
        <f t="shared" si="3"/>
        <v>472_33__vm</v>
      </c>
      <c r="AB317" s="3" t="str">
        <f t="shared" si="2"/>
        <v>472_33__vm_1</v>
      </c>
      <c r="AD317" s="3" t="s">
        <v>37</v>
      </c>
    </row>
    <row r="318" spans="1:30" ht="12.5">
      <c r="A318" s="3">
        <v>317</v>
      </c>
      <c r="F318" s="3"/>
      <c r="H318" s="3"/>
      <c r="M318" s="3" t="s">
        <v>38</v>
      </c>
      <c r="N318" s="3">
        <v>62</v>
      </c>
      <c r="O318" s="3">
        <v>0</v>
      </c>
      <c r="P318" s="3">
        <v>2</v>
      </c>
      <c r="Q318" s="3">
        <v>3</v>
      </c>
      <c r="R318" s="3">
        <v>3</v>
      </c>
      <c r="S318" s="3">
        <v>0</v>
      </c>
      <c r="T318" s="8">
        <v>0</v>
      </c>
      <c r="U318" s="3">
        <v>7.8350000000000003E-2</v>
      </c>
      <c r="V318" s="3">
        <v>0.17934</v>
      </c>
      <c r="W318" s="3">
        <v>0</v>
      </c>
      <c r="AA318" s="3" t="str">
        <f t="shared" si="3"/>
        <v>___</v>
      </c>
      <c r="AB318" s="3" t="str">
        <f t="shared" si="2"/>
        <v>____</v>
      </c>
    </row>
    <row r="319" spans="1:30" ht="12.5">
      <c r="A319" s="3">
        <v>318</v>
      </c>
      <c r="F319" s="3"/>
      <c r="H319" s="3"/>
      <c r="M319" s="3" t="s">
        <v>39</v>
      </c>
      <c r="N319" s="3">
        <v>23</v>
      </c>
      <c r="O319" s="3">
        <v>0</v>
      </c>
      <c r="P319" s="3">
        <v>3</v>
      </c>
      <c r="S319" s="3">
        <v>0</v>
      </c>
      <c r="T319" s="8">
        <v>0</v>
      </c>
      <c r="U319" s="3">
        <v>2.5579999999999999E-2</v>
      </c>
      <c r="V319" s="3">
        <v>0</v>
      </c>
      <c r="W319" s="3">
        <v>0</v>
      </c>
      <c r="AA319" s="3" t="str">
        <f t="shared" si="3"/>
        <v>___</v>
      </c>
      <c r="AB319" s="3" t="str">
        <f t="shared" si="2"/>
        <v>____</v>
      </c>
    </row>
    <row r="320" spans="1:30" ht="12.5">
      <c r="A320" s="3">
        <v>319</v>
      </c>
      <c r="B320" s="12">
        <v>45490</v>
      </c>
      <c r="C320" s="3">
        <v>472</v>
      </c>
      <c r="D320" s="3">
        <v>33</v>
      </c>
      <c r="E320" s="3" t="s">
        <v>33</v>
      </c>
      <c r="F320" s="3"/>
      <c r="H320" s="3" t="s">
        <v>40</v>
      </c>
      <c r="I320" s="3">
        <v>2</v>
      </c>
      <c r="J320" s="4">
        <v>45491</v>
      </c>
      <c r="K320" s="3">
        <v>24</v>
      </c>
      <c r="L320" s="3">
        <v>5</v>
      </c>
      <c r="M320" s="3" t="s">
        <v>36</v>
      </c>
      <c r="N320" s="3">
        <v>36</v>
      </c>
      <c r="O320" s="3">
        <v>6</v>
      </c>
      <c r="P320" s="3">
        <v>6</v>
      </c>
      <c r="S320" s="3">
        <v>0</v>
      </c>
      <c r="T320" s="3">
        <v>2.699E-2</v>
      </c>
      <c r="U320" s="3">
        <v>1.319E-2</v>
      </c>
      <c r="V320" s="3">
        <v>0</v>
      </c>
      <c r="W320" s="3">
        <v>0</v>
      </c>
      <c r="X320" s="3"/>
      <c r="Y320" s="3" t="s">
        <v>72</v>
      </c>
      <c r="AA320" s="3" t="str">
        <f t="shared" si="3"/>
        <v>472_33__vm</v>
      </c>
      <c r="AB320" s="3" t="str">
        <f t="shared" si="2"/>
        <v>472_33__vm_2</v>
      </c>
      <c r="AD320" s="3" t="s">
        <v>37</v>
      </c>
    </row>
    <row r="321" spans="1:30" ht="12.5">
      <c r="A321" s="3">
        <v>320</v>
      </c>
      <c r="F321" s="3"/>
      <c r="H321" s="3"/>
      <c r="M321" s="3" t="s">
        <v>38</v>
      </c>
      <c r="N321" s="3">
        <v>82</v>
      </c>
      <c r="O321" s="3">
        <v>0</v>
      </c>
      <c r="P321" s="3">
        <v>3</v>
      </c>
      <c r="Q321" s="3">
        <v>5</v>
      </c>
      <c r="R321" s="3">
        <v>5</v>
      </c>
      <c r="S321" s="3">
        <v>0</v>
      </c>
      <c r="T321" s="8">
        <v>0</v>
      </c>
      <c r="U321" s="3">
        <v>7.7619999999999995E-2</v>
      </c>
      <c r="V321" s="3">
        <v>0.12214</v>
      </c>
      <c r="W321" s="3">
        <v>0</v>
      </c>
      <c r="AA321" s="3" t="str">
        <f t="shared" si="3"/>
        <v>___</v>
      </c>
      <c r="AB321" s="3" t="str">
        <f t="shared" si="2"/>
        <v>____</v>
      </c>
    </row>
    <row r="322" spans="1:30" ht="12.5">
      <c r="A322" s="3">
        <v>321</v>
      </c>
      <c r="F322" s="3"/>
      <c r="H322" s="3"/>
      <c r="M322" s="3" t="s">
        <v>39</v>
      </c>
      <c r="N322" s="3">
        <v>34</v>
      </c>
      <c r="O322" s="3">
        <v>0</v>
      </c>
      <c r="P322" s="3">
        <v>3</v>
      </c>
      <c r="Q322" s="3">
        <v>1</v>
      </c>
      <c r="R322" s="3">
        <v>1</v>
      </c>
      <c r="S322" s="3">
        <v>0</v>
      </c>
      <c r="T322" s="8">
        <v>0</v>
      </c>
      <c r="U322" s="3">
        <v>4.1680000000000002E-2</v>
      </c>
      <c r="V322" s="3">
        <v>0.15140000000000001</v>
      </c>
      <c r="W322" s="3">
        <v>0</v>
      </c>
      <c r="AA322" s="3" t="str">
        <f t="shared" si="3"/>
        <v>___</v>
      </c>
      <c r="AB322" s="3" t="str">
        <f t="shared" si="2"/>
        <v>____</v>
      </c>
    </row>
    <row r="323" spans="1:30" ht="12.5">
      <c r="A323" s="3">
        <v>322</v>
      </c>
      <c r="B323" s="12">
        <v>45490</v>
      </c>
      <c r="C323" s="3">
        <v>472</v>
      </c>
      <c r="D323" s="3">
        <v>33</v>
      </c>
      <c r="E323" s="3" t="s">
        <v>33</v>
      </c>
      <c r="F323" s="3"/>
      <c r="H323" s="3" t="s">
        <v>40</v>
      </c>
      <c r="I323" s="3">
        <v>3</v>
      </c>
      <c r="J323" s="4">
        <v>45516</v>
      </c>
      <c r="K323" s="4">
        <v>45528</v>
      </c>
      <c r="L323" s="3">
        <v>7</v>
      </c>
      <c r="M323" s="3" t="s">
        <v>36</v>
      </c>
      <c r="N323" s="3">
        <v>8</v>
      </c>
      <c r="O323" s="3">
        <v>5</v>
      </c>
      <c r="P323" s="3">
        <v>5</v>
      </c>
      <c r="S323" s="3">
        <v>0</v>
      </c>
      <c r="T323" s="3">
        <v>6.9300000000000004E-3</v>
      </c>
      <c r="U323" s="3">
        <v>1.17E-3</v>
      </c>
      <c r="V323" s="3">
        <v>0</v>
      </c>
      <c r="W323" s="3">
        <v>0</v>
      </c>
      <c r="AA323" s="3" t="str">
        <f t="shared" si="3"/>
        <v>472_33__vm</v>
      </c>
      <c r="AB323" s="3" t="str">
        <f t="shared" si="2"/>
        <v>472_33__vm_3</v>
      </c>
      <c r="AD323" s="3" t="s">
        <v>37</v>
      </c>
    </row>
    <row r="324" spans="1:30" ht="12.5">
      <c r="A324" s="3">
        <v>323</v>
      </c>
      <c r="F324" s="3"/>
      <c r="H324" s="3"/>
      <c r="M324" s="3" t="s">
        <v>38</v>
      </c>
      <c r="N324" s="3">
        <v>10</v>
      </c>
      <c r="O324" s="3">
        <v>0</v>
      </c>
      <c r="P324" s="3">
        <v>3</v>
      </c>
      <c r="S324" s="3">
        <v>0</v>
      </c>
      <c r="T324" s="8">
        <v>0</v>
      </c>
      <c r="U324" s="3">
        <v>2.0999999999999999E-3</v>
      </c>
      <c r="V324" s="3">
        <v>0</v>
      </c>
      <c r="W324" s="3">
        <v>0</v>
      </c>
      <c r="AA324" s="3" t="str">
        <f t="shared" si="3"/>
        <v>___</v>
      </c>
      <c r="AB324" s="3" t="str">
        <f t="shared" si="2"/>
        <v>____</v>
      </c>
    </row>
    <row r="325" spans="1:30" ht="12.5">
      <c r="A325" s="3">
        <v>324</v>
      </c>
      <c r="F325" s="3"/>
      <c r="H325" s="3"/>
      <c r="M325" s="3" t="s">
        <v>39</v>
      </c>
      <c r="N325" s="3">
        <v>12</v>
      </c>
      <c r="O325" s="3">
        <v>0</v>
      </c>
      <c r="P325" s="3">
        <v>2</v>
      </c>
      <c r="Q325" s="3">
        <v>1</v>
      </c>
      <c r="R325" s="3">
        <v>0</v>
      </c>
      <c r="S325" s="3">
        <v>0</v>
      </c>
      <c r="T325" s="8">
        <v>0</v>
      </c>
      <c r="U325" s="3">
        <v>3.8800000000000002E-3</v>
      </c>
      <c r="V325" s="3">
        <v>0</v>
      </c>
      <c r="W325" s="3">
        <v>0</v>
      </c>
      <c r="X325" s="3"/>
      <c r="Y325" s="3" t="s">
        <v>60</v>
      </c>
      <c r="AA325" s="3" t="str">
        <f t="shared" si="3"/>
        <v>___</v>
      </c>
      <c r="AB325" s="3" t="str">
        <f t="shared" si="2"/>
        <v>____</v>
      </c>
    </row>
    <row r="326" spans="1:30" ht="12.5">
      <c r="A326" s="3">
        <v>325</v>
      </c>
      <c r="B326" s="12">
        <v>45490</v>
      </c>
      <c r="C326" s="3">
        <v>472</v>
      </c>
      <c r="D326" s="3">
        <v>33</v>
      </c>
      <c r="E326" s="3" t="s">
        <v>33</v>
      </c>
      <c r="F326" s="3"/>
      <c r="H326" s="3" t="s">
        <v>35</v>
      </c>
      <c r="I326" s="3">
        <v>1</v>
      </c>
      <c r="J326" s="4">
        <v>45521</v>
      </c>
      <c r="K326" s="4">
        <v>45338</v>
      </c>
      <c r="L326" s="3">
        <v>4</v>
      </c>
      <c r="M326" s="3" t="s">
        <v>36</v>
      </c>
      <c r="N326" s="3">
        <v>28</v>
      </c>
      <c r="O326" s="3">
        <v>11</v>
      </c>
      <c r="P326" s="3">
        <v>11</v>
      </c>
      <c r="S326" s="3">
        <v>0</v>
      </c>
      <c r="T326" s="3">
        <v>8.2949999999999996E-2</v>
      </c>
      <c r="U326" s="3">
        <v>5.9899999999999997E-3</v>
      </c>
      <c r="V326" s="3">
        <v>0</v>
      </c>
      <c r="W326" s="3">
        <v>0</v>
      </c>
      <c r="AA326" s="3" t="str">
        <f t="shared" si="3"/>
        <v>472_33__vv</v>
      </c>
      <c r="AB326" s="3" t="str">
        <f t="shared" si="2"/>
        <v>472_33__vv_1</v>
      </c>
      <c r="AD326" s="3" t="s">
        <v>37</v>
      </c>
    </row>
    <row r="327" spans="1:30" ht="12.5">
      <c r="A327" s="3">
        <v>326</v>
      </c>
      <c r="F327" s="3"/>
      <c r="H327" s="3"/>
      <c r="M327" s="3" t="s">
        <v>38</v>
      </c>
      <c r="N327" s="3">
        <v>24</v>
      </c>
      <c r="O327" s="3">
        <v>7</v>
      </c>
      <c r="P327" s="3">
        <v>8</v>
      </c>
      <c r="S327" s="3">
        <v>0</v>
      </c>
      <c r="T327" s="3">
        <v>8.2309999999999994E-2</v>
      </c>
      <c r="U327" s="3">
        <v>9.8799999999999999E-3</v>
      </c>
      <c r="V327" s="3">
        <v>0</v>
      </c>
      <c r="W327" s="3">
        <v>0</v>
      </c>
      <c r="AA327" s="3" t="str">
        <f t="shared" si="3"/>
        <v>___</v>
      </c>
      <c r="AB327" s="3" t="str">
        <f t="shared" si="2"/>
        <v>____</v>
      </c>
    </row>
    <row r="328" spans="1:30" ht="12.5">
      <c r="A328" s="3">
        <v>327</v>
      </c>
      <c r="F328" s="3"/>
      <c r="H328" s="3"/>
      <c r="M328" s="3" t="s">
        <v>39</v>
      </c>
      <c r="N328" s="3">
        <v>36</v>
      </c>
      <c r="O328" s="3">
        <v>7</v>
      </c>
      <c r="P328" s="3">
        <v>11</v>
      </c>
      <c r="S328" s="3">
        <v>0</v>
      </c>
      <c r="T328" s="3">
        <v>4.632E-2</v>
      </c>
      <c r="U328" s="3">
        <v>0.16120000000000001</v>
      </c>
      <c r="V328" s="3">
        <v>0</v>
      </c>
      <c r="W328" s="3">
        <v>0</v>
      </c>
      <c r="AA328" s="3" t="str">
        <f t="shared" si="3"/>
        <v>___</v>
      </c>
      <c r="AB328" s="3" t="str">
        <f t="shared" si="2"/>
        <v>____</v>
      </c>
    </row>
    <row r="329" spans="1:30" ht="12.5">
      <c r="A329" s="3">
        <v>328</v>
      </c>
      <c r="B329" s="12">
        <v>45490</v>
      </c>
      <c r="C329" s="3">
        <v>472</v>
      </c>
      <c r="D329" s="3">
        <v>33</v>
      </c>
      <c r="E329" s="3" t="s">
        <v>33</v>
      </c>
      <c r="F329" s="3"/>
      <c r="H329" s="3" t="s">
        <v>35</v>
      </c>
      <c r="I329" s="3">
        <v>2</v>
      </c>
      <c r="J329" s="3">
        <v>11</v>
      </c>
      <c r="K329" s="3">
        <v>14</v>
      </c>
      <c r="L329" s="3">
        <v>6</v>
      </c>
      <c r="M329" s="3" t="s">
        <v>36</v>
      </c>
      <c r="N329" s="3">
        <v>27</v>
      </c>
      <c r="O329" s="3">
        <v>11</v>
      </c>
      <c r="P329" s="3">
        <v>12</v>
      </c>
      <c r="S329" s="3">
        <v>0</v>
      </c>
      <c r="T329" s="3">
        <v>8.2580000000000001E-2</v>
      </c>
      <c r="U329" s="3">
        <v>7.5900000000000004E-3</v>
      </c>
      <c r="V329" s="3">
        <v>0</v>
      </c>
      <c r="W329" s="3">
        <v>0</v>
      </c>
      <c r="AA329" s="3" t="str">
        <f t="shared" si="3"/>
        <v>472_33__vv</v>
      </c>
      <c r="AB329" s="3" t="str">
        <f t="shared" si="2"/>
        <v>472_33__vv_2</v>
      </c>
      <c r="AD329" s="3" t="s">
        <v>37</v>
      </c>
    </row>
    <row r="330" spans="1:30" ht="12.5">
      <c r="A330" s="3">
        <v>329</v>
      </c>
      <c r="F330" s="3"/>
      <c r="H330" s="3"/>
      <c r="M330" s="3" t="s">
        <v>38</v>
      </c>
      <c r="N330" s="3">
        <v>26</v>
      </c>
      <c r="O330" s="3">
        <v>11</v>
      </c>
      <c r="P330" s="3">
        <v>12</v>
      </c>
      <c r="S330" s="3">
        <v>0</v>
      </c>
      <c r="T330" s="3">
        <v>0.11124000000000001</v>
      </c>
      <c r="U330" s="3">
        <v>1.1599999999999999E-2</v>
      </c>
      <c r="V330" s="3">
        <v>0</v>
      </c>
      <c r="W330" s="3">
        <v>0</v>
      </c>
      <c r="AA330" s="3" t="str">
        <f t="shared" si="3"/>
        <v>___</v>
      </c>
      <c r="AB330" s="3" t="str">
        <f t="shared" si="2"/>
        <v>____</v>
      </c>
    </row>
    <row r="331" spans="1:30" ht="12.5">
      <c r="A331" s="3">
        <v>330</v>
      </c>
      <c r="F331" s="3"/>
      <c r="H331" s="3"/>
      <c r="M331" s="3" t="s">
        <v>39</v>
      </c>
      <c r="N331" s="3">
        <v>27</v>
      </c>
      <c r="O331" s="3">
        <v>4</v>
      </c>
      <c r="P331" s="3">
        <v>9</v>
      </c>
      <c r="S331" s="3">
        <v>0</v>
      </c>
      <c r="T331" s="3">
        <v>5.6189999999999997E-2</v>
      </c>
      <c r="U331" s="3">
        <v>1.5939999999999999E-2</v>
      </c>
      <c r="V331" s="3">
        <v>0</v>
      </c>
      <c r="W331" s="3">
        <v>0</v>
      </c>
      <c r="AA331" s="3" t="str">
        <f t="shared" si="3"/>
        <v>___</v>
      </c>
      <c r="AB331" s="3" t="str">
        <f t="shared" si="2"/>
        <v>____</v>
      </c>
    </row>
    <row r="332" spans="1:30" ht="12.5">
      <c r="A332" s="3">
        <v>331</v>
      </c>
      <c r="B332" s="12">
        <v>45490</v>
      </c>
      <c r="C332" s="3">
        <v>472</v>
      </c>
      <c r="D332" s="3">
        <v>33</v>
      </c>
      <c r="E332" s="3" t="s">
        <v>33</v>
      </c>
      <c r="F332" s="3"/>
      <c r="H332" s="3" t="s">
        <v>35</v>
      </c>
      <c r="I332" s="3">
        <v>3</v>
      </c>
      <c r="J332" s="4">
        <v>45516</v>
      </c>
      <c r="K332" s="4">
        <v>45425</v>
      </c>
      <c r="L332" s="3">
        <v>4</v>
      </c>
      <c r="M332" s="3" t="s">
        <v>36</v>
      </c>
      <c r="N332" s="3">
        <v>52</v>
      </c>
      <c r="O332" s="3">
        <v>11</v>
      </c>
      <c r="P332" s="3">
        <v>13</v>
      </c>
      <c r="S332" s="3">
        <v>0</v>
      </c>
      <c r="T332" s="3">
        <v>0.10756</v>
      </c>
      <c r="U332" s="3">
        <v>1.8360000000000001E-2</v>
      </c>
      <c r="V332" s="3">
        <v>0</v>
      </c>
      <c r="W332" s="3">
        <v>0</v>
      </c>
      <c r="AA332" s="3" t="str">
        <f t="shared" si="3"/>
        <v>472_33__vv</v>
      </c>
      <c r="AB332" s="3" t="str">
        <f t="shared" si="2"/>
        <v>472_33__vv_3</v>
      </c>
      <c r="AD332" s="3" t="s">
        <v>37</v>
      </c>
    </row>
    <row r="333" spans="1:30" ht="12.5">
      <c r="A333" s="3">
        <v>332</v>
      </c>
      <c r="F333" s="3"/>
      <c r="H333" s="3"/>
      <c r="M333" s="3" t="s">
        <v>38</v>
      </c>
      <c r="N333" s="3">
        <v>32</v>
      </c>
      <c r="O333" s="3">
        <v>7</v>
      </c>
      <c r="P333" s="3">
        <v>11</v>
      </c>
      <c r="S333" s="3">
        <v>0</v>
      </c>
      <c r="T333" s="3">
        <v>6.157E-2</v>
      </c>
      <c r="U333" s="3">
        <v>1.7399999999999999E-2</v>
      </c>
      <c r="V333" s="3">
        <v>0</v>
      </c>
      <c r="W333" s="3">
        <v>0</v>
      </c>
      <c r="AA333" s="3" t="str">
        <f t="shared" si="3"/>
        <v>___</v>
      </c>
      <c r="AB333" s="3" t="str">
        <f t="shared" si="2"/>
        <v>____</v>
      </c>
    </row>
    <row r="334" spans="1:30" ht="12.5">
      <c r="A334" s="3">
        <v>333</v>
      </c>
      <c r="F334" s="3"/>
      <c r="H334" s="3"/>
      <c r="M334" s="3" t="s">
        <v>39</v>
      </c>
      <c r="N334" s="3">
        <v>10</v>
      </c>
      <c r="O334" s="3">
        <v>0</v>
      </c>
      <c r="P334" s="3">
        <v>3</v>
      </c>
      <c r="S334" s="3">
        <v>0</v>
      </c>
      <c r="T334" s="8">
        <v>0</v>
      </c>
      <c r="U334" s="3">
        <v>5.3099999999999996E-3</v>
      </c>
      <c r="V334" s="3">
        <v>0</v>
      </c>
      <c r="W334" s="3">
        <v>0</v>
      </c>
      <c r="AA334" s="3" t="str">
        <f t="shared" si="3"/>
        <v>___</v>
      </c>
      <c r="AB334" s="3" t="str">
        <f t="shared" si="2"/>
        <v>____</v>
      </c>
    </row>
    <row r="335" spans="1:30" ht="12.5">
      <c r="A335" s="3">
        <v>334</v>
      </c>
      <c r="B335" s="12">
        <v>45489</v>
      </c>
      <c r="C335" s="10">
        <v>517</v>
      </c>
      <c r="D335" s="10">
        <v>53</v>
      </c>
      <c r="E335" s="3" t="s">
        <v>33</v>
      </c>
      <c r="F335" s="3"/>
      <c r="H335" s="3" t="s">
        <v>40</v>
      </c>
      <c r="I335" s="3">
        <v>1</v>
      </c>
      <c r="J335" s="4">
        <v>45476</v>
      </c>
      <c r="K335" s="3">
        <v>5</v>
      </c>
      <c r="L335" s="3">
        <v>6</v>
      </c>
      <c r="M335" s="3" t="s">
        <v>36</v>
      </c>
      <c r="N335" s="3">
        <v>11</v>
      </c>
      <c r="O335" s="3">
        <v>5</v>
      </c>
      <c r="P335" s="3">
        <v>5</v>
      </c>
      <c r="S335" s="3">
        <v>0</v>
      </c>
      <c r="T335" s="3">
        <v>9.8499999999999994E-3</v>
      </c>
      <c r="U335" s="3">
        <v>1.9400000000000001E-3</v>
      </c>
      <c r="V335" s="3">
        <v>0</v>
      </c>
      <c r="W335" s="3">
        <v>0</v>
      </c>
      <c r="AA335" s="3" t="str">
        <f t="shared" si="3"/>
        <v>517_53__vm</v>
      </c>
      <c r="AB335" s="3" t="str">
        <f t="shared" si="2"/>
        <v>517_53__vm_1</v>
      </c>
      <c r="AD335" s="3" t="s">
        <v>37</v>
      </c>
    </row>
    <row r="336" spans="1:30" ht="12.5">
      <c r="A336" s="3">
        <v>335</v>
      </c>
      <c r="F336" s="3"/>
      <c r="H336" s="3"/>
      <c r="M336" s="3" t="s">
        <v>38</v>
      </c>
      <c r="N336" s="3">
        <v>13</v>
      </c>
      <c r="O336" s="3">
        <v>0</v>
      </c>
      <c r="P336" s="3">
        <v>2</v>
      </c>
      <c r="Q336" s="3">
        <v>2</v>
      </c>
      <c r="R336" s="3">
        <v>2</v>
      </c>
      <c r="S336" s="3">
        <v>0</v>
      </c>
      <c r="T336" s="3">
        <v>0</v>
      </c>
      <c r="U336" s="3">
        <v>3.3700000000000002E-3</v>
      </c>
      <c r="V336" s="3">
        <v>7.2899999999999996E-3</v>
      </c>
      <c r="W336" s="3">
        <v>0</v>
      </c>
      <c r="AA336" s="3" t="str">
        <f t="shared" si="3"/>
        <v>___</v>
      </c>
      <c r="AB336" s="3" t="str">
        <f t="shared" si="2"/>
        <v>____</v>
      </c>
    </row>
    <row r="337" spans="1:30" ht="12.5">
      <c r="A337" s="3">
        <v>336</v>
      </c>
      <c r="F337" s="3"/>
      <c r="H337" s="3"/>
      <c r="M337" s="3" t="s">
        <v>39</v>
      </c>
      <c r="N337" s="3">
        <v>20</v>
      </c>
      <c r="O337" s="3">
        <v>0</v>
      </c>
      <c r="P337" s="3">
        <v>4</v>
      </c>
      <c r="Q337" s="3">
        <v>2</v>
      </c>
      <c r="R337" s="3">
        <v>2</v>
      </c>
      <c r="S337" s="3">
        <v>0</v>
      </c>
      <c r="T337" s="3">
        <v>0</v>
      </c>
      <c r="U337" s="3">
        <v>6.94E-3</v>
      </c>
      <c r="V337" s="3">
        <v>1.1520000000000001E-2</v>
      </c>
      <c r="W337" s="3">
        <v>0</v>
      </c>
      <c r="AA337" s="3" t="str">
        <f t="shared" si="3"/>
        <v>___</v>
      </c>
      <c r="AB337" s="3" t="str">
        <f t="shared" si="2"/>
        <v>____</v>
      </c>
    </row>
    <row r="338" spans="1:30" ht="12.5">
      <c r="A338" s="3">
        <v>337</v>
      </c>
      <c r="B338" s="12">
        <v>45489</v>
      </c>
      <c r="C338" s="3">
        <v>517</v>
      </c>
      <c r="D338" s="3">
        <v>53</v>
      </c>
      <c r="E338" s="3" t="s">
        <v>33</v>
      </c>
      <c r="F338" s="3"/>
      <c r="H338" s="3" t="s">
        <v>40</v>
      </c>
      <c r="I338" s="3">
        <v>2</v>
      </c>
      <c r="J338" s="4">
        <v>45549</v>
      </c>
      <c r="K338" s="4">
        <v>45426</v>
      </c>
      <c r="L338" s="3">
        <v>5</v>
      </c>
      <c r="M338" s="3" t="s">
        <v>36</v>
      </c>
      <c r="N338" s="3">
        <v>55</v>
      </c>
      <c r="O338" s="3">
        <v>9</v>
      </c>
      <c r="P338" s="3">
        <v>9</v>
      </c>
      <c r="S338" s="3">
        <v>0</v>
      </c>
      <c r="T338" s="3">
        <v>2.145E-2</v>
      </c>
      <c r="U338" s="3">
        <v>0.1002</v>
      </c>
      <c r="V338" s="3">
        <v>0</v>
      </c>
      <c r="W338" s="3">
        <v>0</v>
      </c>
      <c r="AA338" s="3" t="str">
        <f t="shared" si="3"/>
        <v>517_53__vm</v>
      </c>
      <c r="AB338" s="3" t="str">
        <f t="shared" si="2"/>
        <v>517_53__vm_2</v>
      </c>
      <c r="AD338" s="3" t="s">
        <v>37</v>
      </c>
    </row>
    <row r="339" spans="1:30" ht="12.5">
      <c r="A339" s="3">
        <v>338</v>
      </c>
      <c r="F339" s="3"/>
      <c r="H339" s="3"/>
      <c r="M339" s="3" t="s">
        <v>38</v>
      </c>
      <c r="N339" s="3">
        <v>40</v>
      </c>
      <c r="O339" s="3">
        <v>0</v>
      </c>
      <c r="P339" s="3">
        <v>1</v>
      </c>
      <c r="Q339" s="3">
        <v>2</v>
      </c>
      <c r="R339" s="3">
        <v>2</v>
      </c>
      <c r="S339" s="3">
        <v>0</v>
      </c>
      <c r="T339" s="3">
        <v>0</v>
      </c>
      <c r="U339" s="3">
        <v>1.804E-2</v>
      </c>
      <c r="V339" s="3">
        <v>1.6830000000000001E-2</v>
      </c>
      <c r="W339" s="3">
        <v>0</v>
      </c>
      <c r="AA339" s="3" t="str">
        <f t="shared" si="3"/>
        <v>___</v>
      </c>
      <c r="AB339" s="3" t="str">
        <f t="shared" si="2"/>
        <v>____</v>
      </c>
    </row>
    <row r="340" spans="1:30" ht="12.5">
      <c r="A340" s="3">
        <v>339</v>
      </c>
      <c r="F340" s="3"/>
      <c r="H340" s="3"/>
      <c r="M340" s="3" t="s">
        <v>39</v>
      </c>
      <c r="N340" s="3">
        <v>10</v>
      </c>
      <c r="O340" s="3">
        <v>0</v>
      </c>
      <c r="P340" s="3">
        <v>2</v>
      </c>
      <c r="S340" s="3">
        <v>0</v>
      </c>
      <c r="T340" s="3">
        <v>0</v>
      </c>
      <c r="U340" s="3">
        <v>1.4710000000000001E-2</v>
      </c>
      <c r="V340" s="3">
        <v>7.911E-2</v>
      </c>
      <c r="W340" s="3">
        <v>0</v>
      </c>
      <c r="AA340" s="3" t="str">
        <f t="shared" si="3"/>
        <v>___</v>
      </c>
      <c r="AB340" s="3" t="str">
        <f t="shared" si="2"/>
        <v>____</v>
      </c>
    </row>
    <row r="341" spans="1:30" ht="12.5">
      <c r="A341" s="3">
        <v>340</v>
      </c>
      <c r="B341" s="12">
        <v>45489</v>
      </c>
      <c r="C341" s="3">
        <v>517</v>
      </c>
      <c r="D341" s="3">
        <v>53</v>
      </c>
      <c r="E341" s="3" t="s">
        <v>33</v>
      </c>
      <c r="F341" s="3"/>
      <c r="H341" s="3" t="s">
        <v>40</v>
      </c>
      <c r="I341" s="3">
        <v>3</v>
      </c>
      <c r="J341" s="4">
        <v>45419</v>
      </c>
      <c r="K341" s="3">
        <v>11</v>
      </c>
      <c r="L341" s="3">
        <v>8</v>
      </c>
      <c r="M341" s="3" t="s">
        <v>36</v>
      </c>
      <c r="N341" s="3">
        <v>7</v>
      </c>
      <c r="O341" s="3">
        <v>4</v>
      </c>
      <c r="P341" s="3">
        <v>4</v>
      </c>
      <c r="S341" s="3">
        <v>0</v>
      </c>
      <c r="T341" s="3">
        <v>4.2300000000000003E-3</v>
      </c>
      <c r="U341" s="3">
        <v>1.34E-3</v>
      </c>
      <c r="V341" s="3">
        <v>0</v>
      </c>
      <c r="W341" s="3">
        <v>0</v>
      </c>
      <c r="AA341" s="3" t="str">
        <f t="shared" si="3"/>
        <v>517_53__vm</v>
      </c>
      <c r="AB341" s="3" t="str">
        <f t="shared" si="2"/>
        <v>517_53__vm_3</v>
      </c>
      <c r="AD341" s="3" t="s">
        <v>37</v>
      </c>
    </row>
    <row r="342" spans="1:30" ht="12.5">
      <c r="A342" s="3">
        <v>341</v>
      </c>
      <c r="F342" s="3"/>
      <c r="H342" s="3"/>
      <c r="M342" s="3" t="s">
        <v>38</v>
      </c>
      <c r="N342" s="3">
        <v>12</v>
      </c>
      <c r="O342" s="3">
        <v>0</v>
      </c>
      <c r="P342" s="3">
        <v>3</v>
      </c>
      <c r="Q342" s="3">
        <v>1</v>
      </c>
      <c r="R342" s="3">
        <v>1</v>
      </c>
      <c r="S342" s="3">
        <v>0</v>
      </c>
      <c r="T342" s="3">
        <v>0</v>
      </c>
      <c r="U342" s="3">
        <v>1.4499999999999999E-3</v>
      </c>
      <c r="V342" s="3">
        <v>0</v>
      </c>
      <c r="W342" s="3">
        <v>0</v>
      </c>
      <c r="AA342" s="3" t="str">
        <f t="shared" si="3"/>
        <v>___</v>
      </c>
      <c r="AB342" s="3" t="str">
        <f t="shared" si="2"/>
        <v>____</v>
      </c>
    </row>
    <row r="343" spans="1:30" ht="12.5">
      <c r="A343" s="3">
        <v>342</v>
      </c>
      <c r="F343" s="3"/>
      <c r="H343" s="3"/>
      <c r="M343" s="3" t="s">
        <v>39</v>
      </c>
      <c r="N343" s="3">
        <v>20</v>
      </c>
      <c r="O343" s="3">
        <v>0</v>
      </c>
      <c r="P343" s="3">
        <v>3</v>
      </c>
      <c r="Q343" s="3">
        <v>1</v>
      </c>
      <c r="R343" s="3">
        <v>1</v>
      </c>
      <c r="S343" s="3">
        <v>0</v>
      </c>
      <c r="T343" s="3">
        <v>0</v>
      </c>
      <c r="U343" s="3">
        <v>6.8199999999999997E-3</v>
      </c>
      <c r="V343" s="3">
        <v>4.5300000000000002E-3</v>
      </c>
      <c r="W343" s="3">
        <v>0</v>
      </c>
      <c r="AA343" s="3" t="str">
        <f t="shared" si="3"/>
        <v>___</v>
      </c>
      <c r="AB343" s="3" t="str">
        <f t="shared" si="2"/>
        <v>____</v>
      </c>
    </row>
    <row r="344" spans="1:30" ht="12.5">
      <c r="A344" s="3">
        <v>343</v>
      </c>
      <c r="B344" s="12">
        <v>45489</v>
      </c>
      <c r="C344" s="3">
        <v>517</v>
      </c>
      <c r="D344" s="3">
        <v>53</v>
      </c>
      <c r="E344" s="3" t="s">
        <v>33</v>
      </c>
      <c r="F344" s="3"/>
      <c r="H344" s="3" t="s">
        <v>35</v>
      </c>
      <c r="I344" s="3">
        <v>1</v>
      </c>
      <c r="J344" s="4">
        <v>45538</v>
      </c>
      <c r="K344" s="4">
        <v>45357</v>
      </c>
      <c r="L344" s="3">
        <v>6</v>
      </c>
      <c r="M344" s="3" t="s">
        <v>36</v>
      </c>
      <c r="N344" s="3">
        <v>14</v>
      </c>
      <c r="O344" s="3">
        <v>10</v>
      </c>
      <c r="P344" s="3">
        <v>10</v>
      </c>
      <c r="S344" s="3">
        <v>0</v>
      </c>
      <c r="T344" s="3">
        <v>2.358E-2</v>
      </c>
      <c r="U344" s="3">
        <v>3.2399999999999998E-3</v>
      </c>
      <c r="V344" s="3">
        <v>0</v>
      </c>
      <c r="W344" s="3">
        <v>0</v>
      </c>
      <c r="AA344" s="3" t="str">
        <f t="shared" si="3"/>
        <v>517_53__vv</v>
      </c>
      <c r="AB344" s="3" t="str">
        <f t="shared" si="2"/>
        <v>517_53__vv_1</v>
      </c>
      <c r="AD344" s="3" t="s">
        <v>37</v>
      </c>
    </row>
    <row r="345" spans="1:30" ht="12.5">
      <c r="A345" s="3">
        <v>344</v>
      </c>
      <c r="F345" s="3"/>
      <c r="H345" s="3"/>
      <c r="M345" s="3" t="s">
        <v>38</v>
      </c>
      <c r="N345" s="3">
        <v>10</v>
      </c>
      <c r="O345" s="3">
        <v>7</v>
      </c>
      <c r="P345" s="3">
        <v>8</v>
      </c>
      <c r="S345" s="3">
        <v>0</v>
      </c>
      <c r="T345" s="3">
        <v>2.349E-2</v>
      </c>
      <c r="U345" s="3">
        <v>2.9499999999999999E-3</v>
      </c>
      <c r="V345" s="3">
        <v>0</v>
      </c>
      <c r="W345" s="3">
        <v>0</v>
      </c>
      <c r="AA345" s="3" t="str">
        <f t="shared" si="3"/>
        <v>___</v>
      </c>
      <c r="AB345" s="3" t="str">
        <f t="shared" si="2"/>
        <v>____</v>
      </c>
    </row>
    <row r="346" spans="1:30" ht="12.5">
      <c r="A346" s="3">
        <v>345</v>
      </c>
      <c r="F346" s="3"/>
      <c r="H346" s="3"/>
      <c r="M346" s="3" t="s">
        <v>39</v>
      </c>
      <c r="N346" s="3">
        <v>11</v>
      </c>
      <c r="O346" s="3">
        <v>3</v>
      </c>
      <c r="P346" s="3">
        <v>5</v>
      </c>
      <c r="S346" s="3">
        <v>0</v>
      </c>
      <c r="T346" s="3">
        <v>6.11E-3</v>
      </c>
      <c r="U346" s="3">
        <v>2.97E-3</v>
      </c>
      <c r="V346" s="3">
        <v>0</v>
      </c>
      <c r="W346" s="3">
        <v>0</v>
      </c>
      <c r="AA346" s="3" t="str">
        <f t="shared" si="3"/>
        <v>___</v>
      </c>
      <c r="AB346" s="3" t="str">
        <f t="shared" si="2"/>
        <v>____</v>
      </c>
    </row>
    <row r="347" spans="1:30" ht="12.5">
      <c r="A347" s="3">
        <v>346</v>
      </c>
      <c r="B347" s="12">
        <v>45489</v>
      </c>
      <c r="C347" s="3">
        <v>517</v>
      </c>
      <c r="D347" s="3">
        <v>53</v>
      </c>
      <c r="E347" s="3" t="s">
        <v>33</v>
      </c>
      <c r="F347" s="3"/>
      <c r="H347" s="3" t="s">
        <v>35</v>
      </c>
      <c r="I347" s="3">
        <v>2</v>
      </c>
      <c r="J347" s="4">
        <v>45475</v>
      </c>
      <c r="K347" s="4">
        <v>45506</v>
      </c>
      <c r="L347" s="3">
        <v>3</v>
      </c>
      <c r="M347" s="3" t="s">
        <v>36</v>
      </c>
      <c r="N347" s="3">
        <v>15</v>
      </c>
      <c r="O347" s="3">
        <v>8</v>
      </c>
      <c r="P347" s="3">
        <v>12</v>
      </c>
      <c r="S347" s="3">
        <v>0</v>
      </c>
      <c r="T347" s="3">
        <v>4.4179999999999997E-2</v>
      </c>
      <c r="U347" s="3">
        <v>3.8800000000000002E-3</v>
      </c>
      <c r="V347" s="3">
        <v>0</v>
      </c>
      <c r="W347" s="3">
        <v>0</v>
      </c>
      <c r="AA347" s="3" t="str">
        <f t="shared" si="3"/>
        <v>517_53__vv</v>
      </c>
      <c r="AB347" s="3" t="str">
        <f t="shared" si="2"/>
        <v>517_53__vv_2</v>
      </c>
      <c r="AD347" s="3" t="s">
        <v>37</v>
      </c>
    </row>
    <row r="348" spans="1:30" ht="12.5">
      <c r="A348" s="3">
        <v>347</v>
      </c>
      <c r="F348" s="3"/>
      <c r="H348" s="3"/>
      <c r="M348" s="3" t="s">
        <v>38</v>
      </c>
      <c r="N348" s="3">
        <v>7</v>
      </c>
      <c r="O348" s="3">
        <v>2</v>
      </c>
      <c r="P348" s="3">
        <v>7</v>
      </c>
      <c r="Q348" s="3">
        <v>1</v>
      </c>
      <c r="R348" s="3">
        <v>1</v>
      </c>
      <c r="S348" s="3">
        <v>0</v>
      </c>
      <c r="T348" s="3">
        <v>5.4670000000000003E-2</v>
      </c>
      <c r="U348" s="3">
        <v>7.0200000000000002E-3</v>
      </c>
      <c r="V348" s="3">
        <v>0</v>
      </c>
      <c r="W348" s="3">
        <v>0</v>
      </c>
      <c r="AA348" s="3" t="str">
        <f t="shared" si="3"/>
        <v>___</v>
      </c>
      <c r="AB348" s="3" t="str">
        <f t="shared" si="2"/>
        <v>____</v>
      </c>
    </row>
    <row r="349" spans="1:30" ht="12.5">
      <c r="A349" s="3">
        <v>348</v>
      </c>
      <c r="F349" s="3"/>
      <c r="H349" s="3"/>
      <c r="M349" s="3" t="s">
        <v>39</v>
      </c>
      <c r="N349" s="3">
        <v>12</v>
      </c>
      <c r="O349" s="3">
        <v>0</v>
      </c>
      <c r="P349" s="3">
        <v>4</v>
      </c>
      <c r="S349" s="3">
        <v>0</v>
      </c>
      <c r="T349" s="3">
        <v>1.8489999999999999E-2</v>
      </c>
      <c r="U349" s="3">
        <v>1.831E-2</v>
      </c>
      <c r="V349" s="3">
        <v>0</v>
      </c>
      <c r="W349" s="3">
        <v>0</v>
      </c>
      <c r="AA349" s="3" t="str">
        <f t="shared" si="3"/>
        <v>___</v>
      </c>
      <c r="AB349" s="3" t="str">
        <f t="shared" si="2"/>
        <v>____</v>
      </c>
    </row>
    <row r="350" spans="1:30" ht="12.5">
      <c r="A350" s="3">
        <v>349</v>
      </c>
      <c r="B350" s="12">
        <v>45489</v>
      </c>
      <c r="C350" s="3">
        <v>517</v>
      </c>
      <c r="D350" s="3">
        <v>53</v>
      </c>
      <c r="E350" s="3" t="s">
        <v>33</v>
      </c>
      <c r="F350" s="3"/>
      <c r="H350" s="3" t="s">
        <v>35</v>
      </c>
      <c r="I350" s="3">
        <v>3</v>
      </c>
      <c r="J350" s="4">
        <v>45297</v>
      </c>
      <c r="K350" s="4">
        <v>45417</v>
      </c>
      <c r="L350" s="3">
        <v>3</v>
      </c>
      <c r="M350" s="3" t="s">
        <v>36</v>
      </c>
      <c r="N350" s="3">
        <v>15</v>
      </c>
      <c r="O350" s="3">
        <v>7</v>
      </c>
      <c r="P350" s="3">
        <v>8</v>
      </c>
      <c r="S350" s="3">
        <v>0</v>
      </c>
      <c r="T350" s="3">
        <v>3.8449999999999998E-2</v>
      </c>
      <c r="U350" s="3">
        <v>4.45E-3</v>
      </c>
      <c r="V350" s="3">
        <v>0</v>
      </c>
      <c r="W350" s="3">
        <v>0</v>
      </c>
      <c r="AA350" s="3" t="str">
        <f t="shared" si="3"/>
        <v>517_53__vv</v>
      </c>
      <c r="AB350" s="3" t="str">
        <f t="shared" si="2"/>
        <v>517_53__vv_3</v>
      </c>
      <c r="AD350" s="3" t="s">
        <v>37</v>
      </c>
    </row>
    <row r="351" spans="1:30" ht="12.5">
      <c r="A351" s="3">
        <v>350</v>
      </c>
      <c r="F351" s="3"/>
      <c r="H351" s="3"/>
      <c r="M351" s="3" t="s">
        <v>38</v>
      </c>
      <c r="N351" s="3">
        <v>27</v>
      </c>
      <c r="O351" s="3">
        <v>7</v>
      </c>
      <c r="P351" s="3">
        <v>12</v>
      </c>
      <c r="S351" s="3">
        <v>0</v>
      </c>
      <c r="T351" s="3">
        <v>3.6479999999999999E-2</v>
      </c>
      <c r="U351" s="3">
        <v>1.1939999999999999E-2</v>
      </c>
      <c r="V351" s="3">
        <v>0</v>
      </c>
      <c r="W351" s="3">
        <v>0</v>
      </c>
      <c r="AA351" s="3" t="str">
        <f t="shared" si="3"/>
        <v>___</v>
      </c>
      <c r="AB351" s="3" t="str">
        <f t="shared" si="2"/>
        <v>____</v>
      </c>
    </row>
    <row r="352" spans="1:30" ht="12.5">
      <c r="A352" s="3">
        <v>351</v>
      </c>
      <c r="F352" s="3"/>
      <c r="H352" s="3"/>
      <c r="M352" s="3" t="s">
        <v>39</v>
      </c>
      <c r="N352" s="3">
        <v>12</v>
      </c>
      <c r="O352" s="3">
        <v>0</v>
      </c>
      <c r="P352" s="3">
        <v>3</v>
      </c>
      <c r="S352" s="3">
        <v>0</v>
      </c>
      <c r="T352" s="3">
        <v>0</v>
      </c>
      <c r="U352" s="3">
        <v>1.25E-3</v>
      </c>
      <c r="V352" s="3">
        <v>0</v>
      </c>
      <c r="W352" s="3">
        <v>0</v>
      </c>
      <c r="AA352" s="3" t="str">
        <f t="shared" si="3"/>
        <v>___</v>
      </c>
      <c r="AB352" s="3" t="str">
        <f t="shared" si="2"/>
        <v>____</v>
      </c>
    </row>
    <row r="353" spans="1:30" ht="12.5">
      <c r="A353" s="3">
        <v>352</v>
      </c>
      <c r="B353" s="12">
        <v>45489</v>
      </c>
      <c r="C353" s="10">
        <v>517</v>
      </c>
      <c r="D353" s="10">
        <v>46</v>
      </c>
      <c r="E353" s="3" t="s">
        <v>33</v>
      </c>
      <c r="F353" s="3"/>
      <c r="H353" s="3" t="s">
        <v>40</v>
      </c>
      <c r="I353" s="3">
        <v>1</v>
      </c>
      <c r="J353" s="3">
        <v>8</v>
      </c>
      <c r="K353" s="3">
        <v>11</v>
      </c>
      <c r="L353" s="3">
        <v>5</v>
      </c>
      <c r="M353" s="3" t="s">
        <v>36</v>
      </c>
      <c r="N353" s="3">
        <v>6</v>
      </c>
      <c r="O353" s="3">
        <v>4</v>
      </c>
      <c r="P353" s="3">
        <v>4</v>
      </c>
      <c r="S353" s="3">
        <v>1</v>
      </c>
      <c r="T353" s="3">
        <v>5.3299999999999997E-3</v>
      </c>
      <c r="U353" s="3">
        <v>5.4000000000000001E-4</v>
      </c>
      <c r="V353" s="3">
        <v>0</v>
      </c>
      <c r="W353" s="3">
        <v>2.2699999999999999E-3</v>
      </c>
      <c r="AA353" s="3" t="str">
        <f t="shared" si="3"/>
        <v>517_46__vm</v>
      </c>
      <c r="AB353" s="3" t="str">
        <f t="shared" si="2"/>
        <v>517_46__vm_1</v>
      </c>
      <c r="AD353" s="3" t="s">
        <v>37</v>
      </c>
    </row>
    <row r="354" spans="1:30" ht="12.5">
      <c r="A354" s="3">
        <v>353</v>
      </c>
      <c r="C354" s="3"/>
      <c r="D354" s="3"/>
      <c r="E354" s="3"/>
      <c r="F354" s="3"/>
      <c r="H354" s="3"/>
      <c r="I354" s="3"/>
      <c r="J354" s="4"/>
      <c r="K354" s="4"/>
      <c r="L354" s="3"/>
      <c r="M354" s="3" t="s">
        <v>38</v>
      </c>
      <c r="N354" s="3">
        <v>34</v>
      </c>
      <c r="O354" s="3">
        <v>0</v>
      </c>
      <c r="P354" s="3">
        <v>1</v>
      </c>
      <c r="Q354" s="3">
        <v>4</v>
      </c>
      <c r="R354" s="3">
        <v>4</v>
      </c>
      <c r="S354" s="3">
        <v>1</v>
      </c>
      <c r="T354" s="3">
        <v>0</v>
      </c>
      <c r="U354" s="3">
        <v>2.1170000000000001E-2</v>
      </c>
      <c r="V354" s="3">
        <v>8.3899999999999999E-3</v>
      </c>
      <c r="W354" s="3">
        <v>2.1399999999999999E-2</v>
      </c>
      <c r="AA354" s="3" t="str">
        <f t="shared" si="3"/>
        <v>___</v>
      </c>
      <c r="AB354" s="3" t="str">
        <f t="shared" si="2"/>
        <v>____</v>
      </c>
    </row>
    <row r="355" spans="1:30" ht="12.5">
      <c r="A355" s="3">
        <v>354</v>
      </c>
      <c r="C355" s="3"/>
      <c r="D355" s="3"/>
      <c r="E355" s="3"/>
      <c r="F355" s="3"/>
      <c r="H355" s="3"/>
      <c r="I355" s="3"/>
      <c r="J355" s="4"/>
      <c r="K355" s="4"/>
      <c r="L355" s="3"/>
      <c r="M355" s="3" t="s">
        <v>39</v>
      </c>
      <c r="N355" s="3">
        <v>12</v>
      </c>
      <c r="O355" s="3">
        <v>0</v>
      </c>
      <c r="P355" s="3">
        <v>4</v>
      </c>
      <c r="S355" s="3">
        <v>0</v>
      </c>
      <c r="T355" s="3">
        <v>0</v>
      </c>
      <c r="U355" s="3">
        <v>4.19E-2</v>
      </c>
      <c r="V355" s="3">
        <v>0</v>
      </c>
      <c r="W355" s="3">
        <v>0</v>
      </c>
      <c r="AA355" s="3" t="str">
        <f t="shared" si="3"/>
        <v>___</v>
      </c>
      <c r="AB355" s="3" t="str">
        <f t="shared" si="2"/>
        <v>____</v>
      </c>
    </row>
    <row r="356" spans="1:30" ht="12.5">
      <c r="A356" s="3">
        <v>355</v>
      </c>
      <c r="B356" s="12">
        <v>45489</v>
      </c>
      <c r="C356" s="3">
        <v>517</v>
      </c>
      <c r="D356" s="3">
        <v>46</v>
      </c>
      <c r="E356" s="3" t="s">
        <v>33</v>
      </c>
      <c r="F356" s="3"/>
      <c r="H356" s="3" t="s">
        <v>40</v>
      </c>
      <c r="I356" s="3">
        <v>2</v>
      </c>
      <c r="J356" s="4">
        <v>45297</v>
      </c>
      <c r="K356" s="3">
        <v>7</v>
      </c>
      <c r="L356" s="3">
        <v>3</v>
      </c>
      <c r="M356" s="3" t="s">
        <v>36</v>
      </c>
      <c r="N356" s="3">
        <v>29</v>
      </c>
      <c r="O356" s="3">
        <v>7</v>
      </c>
      <c r="P356" s="3">
        <v>7</v>
      </c>
      <c r="S356" s="3">
        <v>0</v>
      </c>
      <c r="T356" s="3">
        <v>4.895E-2</v>
      </c>
      <c r="U356" s="3">
        <v>3.4439999999999998E-2</v>
      </c>
      <c r="V356" s="3">
        <v>0</v>
      </c>
      <c r="W356" s="3">
        <v>0</v>
      </c>
      <c r="AA356" s="3" t="str">
        <f t="shared" si="3"/>
        <v>517_46__vm</v>
      </c>
      <c r="AB356" s="3" t="str">
        <f t="shared" si="2"/>
        <v>517_46__vm_2</v>
      </c>
      <c r="AD356" s="3" t="s">
        <v>37</v>
      </c>
    </row>
    <row r="357" spans="1:30" ht="12.5">
      <c r="A357" s="3">
        <v>356</v>
      </c>
      <c r="C357" s="3"/>
      <c r="D357" s="3"/>
      <c r="E357" s="3"/>
      <c r="F357" s="3"/>
      <c r="H357" s="3"/>
      <c r="I357" s="3"/>
      <c r="J357" s="4"/>
      <c r="K357" s="4"/>
      <c r="L357" s="3"/>
      <c r="M357" s="3" t="s">
        <v>38</v>
      </c>
      <c r="N357" s="3">
        <v>35</v>
      </c>
      <c r="O357" s="3">
        <v>0</v>
      </c>
      <c r="P357" s="3">
        <v>4</v>
      </c>
      <c r="Q357" s="3">
        <v>2</v>
      </c>
      <c r="R357" s="3">
        <v>2</v>
      </c>
      <c r="S357" s="3">
        <v>0</v>
      </c>
      <c r="T357" s="3">
        <v>0</v>
      </c>
      <c r="U357" s="3">
        <v>4.7750000000000001E-2</v>
      </c>
      <c r="V357" s="3">
        <v>4.342E-2</v>
      </c>
      <c r="W357" s="3">
        <v>0</v>
      </c>
      <c r="AA357" s="3" t="str">
        <f t="shared" si="3"/>
        <v>___</v>
      </c>
      <c r="AB357" s="3" t="str">
        <f t="shared" si="2"/>
        <v>____</v>
      </c>
    </row>
    <row r="358" spans="1:30" ht="12.5">
      <c r="A358" s="3">
        <v>357</v>
      </c>
      <c r="C358" s="3"/>
      <c r="D358" s="3"/>
      <c r="E358" s="3"/>
      <c r="F358" s="3"/>
      <c r="H358" s="3"/>
      <c r="I358" s="3"/>
      <c r="J358" s="4"/>
      <c r="K358" s="4"/>
      <c r="L358" s="3"/>
      <c r="M358" s="3" t="s">
        <v>39</v>
      </c>
      <c r="N358" s="3">
        <v>16</v>
      </c>
      <c r="O358" s="3">
        <v>0</v>
      </c>
      <c r="P358" s="3">
        <v>1</v>
      </c>
      <c r="Q358" s="3">
        <v>4</v>
      </c>
      <c r="R358" s="3">
        <v>4</v>
      </c>
      <c r="S358" s="3">
        <v>0</v>
      </c>
      <c r="T358" s="3">
        <v>0</v>
      </c>
      <c r="U358" s="3">
        <v>1.217E-2</v>
      </c>
      <c r="V358" s="3">
        <v>0</v>
      </c>
      <c r="W358" s="3">
        <v>0</v>
      </c>
      <c r="AA358" s="3" t="str">
        <f t="shared" si="3"/>
        <v>___</v>
      </c>
      <c r="AB358" s="3" t="str">
        <f t="shared" si="2"/>
        <v>____</v>
      </c>
    </row>
    <row r="359" spans="1:30" ht="12.5">
      <c r="A359" s="3">
        <v>358</v>
      </c>
      <c r="B359" s="12">
        <v>45489</v>
      </c>
      <c r="C359" s="3">
        <v>517</v>
      </c>
      <c r="D359" s="3">
        <v>46</v>
      </c>
      <c r="E359" s="3" t="s">
        <v>33</v>
      </c>
      <c r="F359" s="3"/>
      <c r="H359" s="3" t="s">
        <v>40</v>
      </c>
      <c r="I359" s="3">
        <v>3</v>
      </c>
      <c r="J359" s="4">
        <v>45297</v>
      </c>
      <c r="K359" s="3">
        <v>8</v>
      </c>
      <c r="L359" s="3">
        <v>5</v>
      </c>
      <c r="M359" s="3" t="s">
        <v>36</v>
      </c>
      <c r="N359" s="3">
        <v>9</v>
      </c>
      <c r="O359" s="3">
        <v>4</v>
      </c>
      <c r="P359" s="3">
        <v>4</v>
      </c>
      <c r="S359" s="3">
        <v>0</v>
      </c>
      <c r="T359" s="3">
        <v>5.8500000000000002E-3</v>
      </c>
      <c r="U359" s="3">
        <v>1.0399999999999999E-3</v>
      </c>
      <c r="V359" s="3">
        <v>0</v>
      </c>
      <c r="W359" s="3">
        <v>0</v>
      </c>
      <c r="AA359" s="3" t="str">
        <f t="shared" si="3"/>
        <v>517_46__vm</v>
      </c>
      <c r="AB359" s="3" t="str">
        <f t="shared" si="2"/>
        <v>517_46__vm_3</v>
      </c>
      <c r="AD359" s="3" t="s">
        <v>37</v>
      </c>
    </row>
    <row r="360" spans="1:30" ht="12.5">
      <c r="A360" s="3">
        <v>359</v>
      </c>
      <c r="C360" s="3"/>
      <c r="D360" s="3"/>
      <c r="E360" s="3"/>
      <c r="F360" s="3"/>
      <c r="H360" s="3"/>
      <c r="I360" s="3"/>
      <c r="J360" s="4"/>
      <c r="K360" s="4"/>
      <c r="L360" s="3"/>
      <c r="M360" s="3" t="s">
        <v>38</v>
      </c>
      <c r="N360" s="3">
        <v>6</v>
      </c>
      <c r="O360" s="3">
        <v>0</v>
      </c>
      <c r="P360" s="3">
        <v>2</v>
      </c>
      <c r="S360" s="3">
        <v>0</v>
      </c>
      <c r="T360" s="3">
        <v>0</v>
      </c>
      <c r="U360" s="3">
        <v>3.5100000000000001E-3</v>
      </c>
      <c r="V360" s="3">
        <v>6.0400000000000002E-3</v>
      </c>
      <c r="W360" s="3">
        <v>0</v>
      </c>
      <c r="AA360" s="3" t="str">
        <f t="shared" si="3"/>
        <v>___</v>
      </c>
      <c r="AB360" s="3" t="str">
        <f t="shared" si="2"/>
        <v>____</v>
      </c>
    </row>
    <row r="361" spans="1:30" ht="12.5">
      <c r="A361" s="3">
        <v>360</v>
      </c>
      <c r="C361" s="3"/>
      <c r="D361" s="3"/>
      <c r="E361" s="3"/>
      <c r="F361" s="3"/>
      <c r="H361" s="3"/>
      <c r="I361" s="3"/>
      <c r="J361" s="4"/>
      <c r="K361" s="4"/>
      <c r="L361" s="3"/>
      <c r="M361" s="3" t="s">
        <v>39</v>
      </c>
      <c r="N361" s="3">
        <v>17</v>
      </c>
      <c r="O361" s="3">
        <v>0</v>
      </c>
      <c r="P361" s="3">
        <v>2</v>
      </c>
      <c r="Q361" s="3">
        <v>3</v>
      </c>
      <c r="R361" s="3">
        <v>2</v>
      </c>
      <c r="S361" s="3">
        <v>0</v>
      </c>
      <c r="T361" s="3">
        <v>0</v>
      </c>
      <c r="U361" s="3">
        <v>8.2199999999999999E-3</v>
      </c>
      <c r="V361" s="3">
        <v>8.2400000000000008E-3</v>
      </c>
      <c r="W361" s="3">
        <v>0</v>
      </c>
      <c r="X361" s="3"/>
      <c r="Y361" s="3" t="s">
        <v>60</v>
      </c>
      <c r="AA361" s="3" t="str">
        <f t="shared" si="3"/>
        <v>___</v>
      </c>
      <c r="AB361" s="3" t="str">
        <f t="shared" si="2"/>
        <v>____</v>
      </c>
    </row>
    <row r="362" spans="1:30" ht="12.5">
      <c r="A362" s="3">
        <v>361</v>
      </c>
      <c r="B362" s="12">
        <v>45489</v>
      </c>
      <c r="C362" s="3">
        <v>517</v>
      </c>
      <c r="D362" s="3">
        <v>46</v>
      </c>
      <c r="E362" s="3" t="s">
        <v>33</v>
      </c>
      <c r="F362" s="3"/>
      <c r="H362" s="3" t="s">
        <v>35</v>
      </c>
      <c r="I362" s="3">
        <v>1</v>
      </c>
      <c r="J362" s="4">
        <v>45297</v>
      </c>
      <c r="K362" s="4">
        <v>45327</v>
      </c>
      <c r="L362" s="3">
        <v>2</v>
      </c>
      <c r="M362" s="3" t="s">
        <v>36</v>
      </c>
      <c r="N362" s="3">
        <v>11</v>
      </c>
      <c r="O362" s="3">
        <v>7</v>
      </c>
      <c r="P362" s="3">
        <v>8</v>
      </c>
      <c r="S362" s="3">
        <v>0</v>
      </c>
      <c r="T362" s="3">
        <v>3.3399999999999999E-2</v>
      </c>
      <c r="U362" s="3">
        <v>2.3E-3</v>
      </c>
      <c r="V362" s="3">
        <v>0</v>
      </c>
      <c r="W362" s="3">
        <v>0</v>
      </c>
      <c r="X362" s="3"/>
      <c r="Y362" s="3" t="s">
        <v>56</v>
      </c>
      <c r="AA362" s="3" t="str">
        <f t="shared" si="3"/>
        <v>517_46__vv</v>
      </c>
      <c r="AB362" s="3" t="str">
        <f t="shared" si="2"/>
        <v>517_46__vv_1</v>
      </c>
      <c r="AD362" s="3" t="s">
        <v>37</v>
      </c>
    </row>
    <row r="363" spans="1:30" ht="12.5">
      <c r="A363" s="3">
        <v>362</v>
      </c>
      <c r="C363" s="3"/>
      <c r="D363" s="3"/>
      <c r="E363" s="3"/>
      <c r="F363" s="3"/>
      <c r="H363" s="3"/>
      <c r="I363" s="3"/>
      <c r="J363" s="4"/>
      <c r="K363" s="4"/>
      <c r="L363" s="3"/>
      <c r="M363" s="3" t="s">
        <v>38</v>
      </c>
      <c r="N363" s="3">
        <v>42</v>
      </c>
      <c r="O363" s="3">
        <v>4</v>
      </c>
      <c r="P363" s="3">
        <v>9</v>
      </c>
      <c r="Q363" s="3">
        <v>1</v>
      </c>
      <c r="R363" s="3">
        <v>1</v>
      </c>
      <c r="S363" s="3">
        <v>0</v>
      </c>
      <c r="T363" s="3">
        <v>1.329E-2</v>
      </c>
      <c r="U363" s="3">
        <v>1.423E-2</v>
      </c>
      <c r="V363" s="3">
        <v>1.307E-2</v>
      </c>
      <c r="W363" s="3">
        <v>0</v>
      </c>
      <c r="AA363" s="3" t="str">
        <f t="shared" si="3"/>
        <v>___</v>
      </c>
      <c r="AB363" s="3" t="str">
        <f t="shared" si="2"/>
        <v>____</v>
      </c>
    </row>
    <row r="364" spans="1:30" ht="12.5">
      <c r="A364" s="3">
        <v>363</v>
      </c>
      <c r="C364" s="3"/>
      <c r="D364" s="3"/>
      <c r="E364" s="3"/>
      <c r="F364" s="3"/>
      <c r="H364" s="3"/>
      <c r="I364" s="3"/>
      <c r="J364" s="4"/>
      <c r="K364" s="4"/>
      <c r="L364" s="3"/>
      <c r="M364" s="3" t="s">
        <v>39</v>
      </c>
      <c r="N364" s="3" t="s">
        <v>47</v>
      </c>
      <c r="O364" s="3" t="s">
        <v>47</v>
      </c>
      <c r="P364" s="3" t="s">
        <v>47</v>
      </c>
      <c r="S364" s="3" t="s">
        <v>47</v>
      </c>
      <c r="T364" s="3" t="s">
        <v>47</v>
      </c>
      <c r="U364" s="3" t="s">
        <v>47</v>
      </c>
      <c r="V364" s="3" t="s">
        <v>47</v>
      </c>
      <c r="W364" s="3" t="s">
        <v>47</v>
      </c>
      <c r="AA364" s="3" t="str">
        <f t="shared" si="3"/>
        <v>___</v>
      </c>
      <c r="AB364" s="3" t="str">
        <f t="shared" si="2"/>
        <v>____</v>
      </c>
    </row>
    <row r="365" spans="1:30" ht="12.5">
      <c r="A365" s="3">
        <v>364</v>
      </c>
      <c r="B365" s="12">
        <v>45489</v>
      </c>
      <c r="C365" s="3">
        <v>517</v>
      </c>
      <c r="D365" s="3">
        <v>46</v>
      </c>
      <c r="E365" s="3" t="s">
        <v>33</v>
      </c>
      <c r="F365" s="3"/>
      <c r="H365" s="3" t="s">
        <v>35</v>
      </c>
      <c r="I365" s="3">
        <v>2</v>
      </c>
      <c r="J365" s="4">
        <v>45508</v>
      </c>
      <c r="K365" s="4">
        <v>45300</v>
      </c>
      <c r="L365" s="3">
        <v>3</v>
      </c>
      <c r="M365" s="3" t="s">
        <v>36</v>
      </c>
      <c r="N365" s="3">
        <v>15</v>
      </c>
      <c r="O365" s="3">
        <v>10</v>
      </c>
      <c r="P365" s="3">
        <v>11</v>
      </c>
      <c r="S365" s="3">
        <v>0</v>
      </c>
      <c r="T365" s="3">
        <v>3.8179999999999999E-2</v>
      </c>
      <c r="U365" s="3">
        <v>2.8600000000000001E-3</v>
      </c>
      <c r="V365" s="3">
        <v>0</v>
      </c>
      <c r="W365" s="3">
        <v>0</v>
      </c>
      <c r="AA365" s="3" t="str">
        <f t="shared" si="3"/>
        <v>517_46__vv</v>
      </c>
      <c r="AB365" s="3" t="str">
        <f t="shared" si="2"/>
        <v>517_46__vv_2</v>
      </c>
      <c r="AD365" s="3" t="s">
        <v>37</v>
      </c>
    </row>
    <row r="366" spans="1:30" ht="12.5">
      <c r="A366" s="3">
        <v>365</v>
      </c>
      <c r="C366" s="3"/>
      <c r="D366" s="3"/>
      <c r="E366" s="3"/>
      <c r="F366" s="3"/>
      <c r="H366" s="3"/>
      <c r="I366" s="3"/>
      <c r="J366" s="4"/>
      <c r="K366" s="4"/>
      <c r="L366" s="3"/>
      <c r="M366" s="3" t="s">
        <v>38</v>
      </c>
      <c r="N366" s="3">
        <v>20</v>
      </c>
      <c r="O366" s="3">
        <v>11</v>
      </c>
      <c r="P366" s="3">
        <v>11</v>
      </c>
      <c r="S366" s="3">
        <v>0</v>
      </c>
      <c r="T366" s="3">
        <v>8.7100000000000007E-3</v>
      </c>
      <c r="U366" s="3">
        <v>2.5600000000000002E-3</v>
      </c>
      <c r="V366" s="3">
        <v>1.227E-2</v>
      </c>
      <c r="W366" s="3">
        <v>0</v>
      </c>
      <c r="AA366" s="3" t="str">
        <f t="shared" si="3"/>
        <v>___</v>
      </c>
      <c r="AB366" s="3" t="str">
        <f t="shared" si="2"/>
        <v>____</v>
      </c>
    </row>
    <row r="367" spans="1:30" ht="12.5">
      <c r="A367" s="3">
        <v>366</v>
      </c>
      <c r="C367" s="3"/>
      <c r="D367" s="3"/>
      <c r="E367" s="3"/>
      <c r="F367" s="3"/>
      <c r="H367" s="3"/>
      <c r="I367" s="3"/>
      <c r="J367" s="4"/>
      <c r="K367" s="4"/>
      <c r="L367" s="3"/>
      <c r="M367" s="3" t="s">
        <v>39</v>
      </c>
      <c r="N367" s="3">
        <v>52</v>
      </c>
      <c r="O367" s="3">
        <v>4</v>
      </c>
      <c r="P367" s="3">
        <v>8</v>
      </c>
      <c r="S367" s="3">
        <v>0</v>
      </c>
      <c r="T367" s="3">
        <v>0</v>
      </c>
      <c r="U367" s="3">
        <v>2.5699999999999998E-3</v>
      </c>
      <c r="V367" s="3">
        <v>0</v>
      </c>
      <c r="W367" s="3">
        <v>0</v>
      </c>
      <c r="AA367" s="3" t="str">
        <f t="shared" si="3"/>
        <v>___</v>
      </c>
      <c r="AB367" s="3" t="str">
        <f t="shared" si="2"/>
        <v>____</v>
      </c>
    </row>
    <row r="368" spans="1:30" ht="12.5">
      <c r="A368" s="3">
        <v>367</v>
      </c>
      <c r="B368" s="12">
        <v>45489</v>
      </c>
      <c r="C368" s="3">
        <v>517</v>
      </c>
      <c r="D368" s="3">
        <v>46</v>
      </c>
      <c r="E368" s="3" t="s">
        <v>33</v>
      </c>
      <c r="F368" s="3"/>
      <c r="H368" s="3" t="s">
        <v>35</v>
      </c>
      <c r="I368" s="3">
        <v>3</v>
      </c>
      <c r="J368" s="4">
        <v>45508</v>
      </c>
      <c r="K368" s="4">
        <v>45478</v>
      </c>
      <c r="L368" s="3">
        <v>4</v>
      </c>
      <c r="M368" s="3" t="s">
        <v>36</v>
      </c>
      <c r="N368" s="3">
        <v>19</v>
      </c>
      <c r="O368" s="3">
        <v>8</v>
      </c>
      <c r="P368" s="3">
        <v>10</v>
      </c>
      <c r="S368" s="3">
        <v>0</v>
      </c>
      <c r="T368" s="3">
        <v>1.908E-2</v>
      </c>
      <c r="U368" s="3">
        <v>2.0799999999999998E-3</v>
      </c>
      <c r="V368" s="3">
        <v>0</v>
      </c>
      <c r="W368" s="3">
        <v>0</v>
      </c>
      <c r="AA368" s="3" t="str">
        <f t="shared" si="3"/>
        <v>517_46__vv</v>
      </c>
      <c r="AB368" s="3" t="str">
        <f t="shared" si="2"/>
        <v>517_46__vv_3</v>
      </c>
      <c r="AD368" s="3" t="s">
        <v>37</v>
      </c>
    </row>
    <row r="369" spans="1:30" ht="12.5">
      <c r="A369" s="3">
        <v>368</v>
      </c>
      <c r="C369" s="3"/>
      <c r="D369" s="3"/>
      <c r="E369" s="3"/>
      <c r="F369" s="3"/>
      <c r="H369" s="3"/>
      <c r="I369" s="3"/>
      <c r="J369" s="4"/>
      <c r="K369" s="4"/>
      <c r="L369" s="3"/>
      <c r="M369" s="3" t="s">
        <v>38</v>
      </c>
      <c r="N369" s="3">
        <v>32</v>
      </c>
      <c r="O369" s="3">
        <v>5</v>
      </c>
      <c r="P369" s="3">
        <v>10</v>
      </c>
      <c r="S369" s="3">
        <v>0</v>
      </c>
      <c r="T369" s="3">
        <v>3.2779999999999997E-2</v>
      </c>
      <c r="U369" s="3">
        <v>6.45E-3</v>
      </c>
      <c r="V369" s="3">
        <v>0</v>
      </c>
      <c r="W369" s="3">
        <v>0</v>
      </c>
      <c r="AA369" s="3" t="str">
        <f t="shared" si="3"/>
        <v>___</v>
      </c>
      <c r="AB369" s="3" t="str">
        <f t="shared" si="2"/>
        <v>____</v>
      </c>
    </row>
    <row r="370" spans="1:30" ht="12.5">
      <c r="A370" s="3">
        <v>369</v>
      </c>
      <c r="C370" s="3"/>
      <c r="D370" s="3"/>
      <c r="E370" s="3"/>
      <c r="F370" s="3"/>
      <c r="H370" s="3"/>
      <c r="I370" s="3"/>
      <c r="J370" s="4"/>
      <c r="K370" s="4"/>
      <c r="L370" s="3"/>
      <c r="M370" s="3" t="s">
        <v>39</v>
      </c>
      <c r="N370" s="3">
        <v>5</v>
      </c>
      <c r="O370" s="3">
        <v>0</v>
      </c>
      <c r="P370" s="3">
        <v>2</v>
      </c>
      <c r="S370" s="3">
        <v>0</v>
      </c>
      <c r="T370" s="3">
        <v>0</v>
      </c>
      <c r="U370" s="3">
        <v>2.4099999999999998E-3</v>
      </c>
      <c r="V370" s="3">
        <v>0</v>
      </c>
      <c r="W370" s="3">
        <v>0</v>
      </c>
      <c r="AA370" s="3" t="str">
        <f t="shared" si="3"/>
        <v>___</v>
      </c>
      <c r="AB370" s="3" t="str">
        <f t="shared" si="2"/>
        <v>____</v>
      </c>
    </row>
    <row r="371" spans="1:30" ht="12.5">
      <c r="A371" s="3">
        <v>370</v>
      </c>
      <c r="B371" s="12">
        <v>45490</v>
      </c>
      <c r="C371" s="6">
        <v>1485</v>
      </c>
      <c r="D371" s="6">
        <v>55</v>
      </c>
      <c r="E371" s="3" t="s">
        <v>33</v>
      </c>
      <c r="F371" s="3"/>
      <c r="H371" s="3" t="s">
        <v>40</v>
      </c>
      <c r="I371" s="3">
        <v>1</v>
      </c>
      <c r="J371" s="4">
        <v>45358</v>
      </c>
      <c r="K371" s="4">
        <v>45330</v>
      </c>
      <c r="L371" s="3">
        <v>4</v>
      </c>
      <c r="M371" s="3" t="s">
        <v>36</v>
      </c>
      <c r="N371" s="3">
        <v>16</v>
      </c>
      <c r="O371" s="3">
        <v>5</v>
      </c>
      <c r="P371" s="3">
        <v>5</v>
      </c>
      <c r="S371" s="3">
        <v>1</v>
      </c>
      <c r="T371" s="3">
        <v>1.486E-2</v>
      </c>
      <c r="U371" s="3">
        <v>4.45E-3</v>
      </c>
      <c r="V371" s="3">
        <v>0</v>
      </c>
      <c r="W371" s="3">
        <v>7.7400000000000004E-3</v>
      </c>
      <c r="AA371" s="3" t="str">
        <f t="shared" si="3"/>
        <v>1485_55__vm</v>
      </c>
      <c r="AB371" s="3" t="str">
        <f t="shared" si="2"/>
        <v>1485_55__vm_1</v>
      </c>
      <c r="AD371" s="3" t="s">
        <v>37</v>
      </c>
    </row>
    <row r="372" spans="1:30" ht="12.5">
      <c r="A372" s="3">
        <v>371</v>
      </c>
      <c r="F372" s="3"/>
      <c r="H372" s="3"/>
      <c r="M372" s="3" t="s">
        <v>38</v>
      </c>
      <c r="N372" s="3">
        <v>30</v>
      </c>
      <c r="O372" s="3">
        <v>0</v>
      </c>
      <c r="P372" s="3">
        <v>2</v>
      </c>
      <c r="Q372" s="3">
        <v>3</v>
      </c>
      <c r="R372" s="3">
        <v>3</v>
      </c>
      <c r="S372" s="3">
        <v>0</v>
      </c>
      <c r="T372" s="3">
        <v>0</v>
      </c>
      <c r="U372" s="3">
        <v>1.737E-2</v>
      </c>
      <c r="V372" s="3">
        <v>3.594E-2</v>
      </c>
      <c r="W372" s="3">
        <v>0</v>
      </c>
      <c r="AA372" s="3" t="str">
        <f t="shared" si="3"/>
        <v>___</v>
      </c>
      <c r="AB372" s="3" t="str">
        <f t="shared" si="2"/>
        <v>____</v>
      </c>
    </row>
    <row r="373" spans="1:30" ht="12.5">
      <c r="A373" s="3">
        <v>372</v>
      </c>
      <c r="F373" s="3"/>
      <c r="H373" s="3"/>
      <c r="M373" s="3" t="s">
        <v>39</v>
      </c>
      <c r="N373" s="3">
        <v>33</v>
      </c>
      <c r="O373" s="3">
        <v>0</v>
      </c>
      <c r="P373" s="3">
        <v>5</v>
      </c>
      <c r="Q373" s="3">
        <v>2</v>
      </c>
      <c r="R373" s="3">
        <v>1</v>
      </c>
      <c r="S373" s="3">
        <v>0</v>
      </c>
      <c r="T373" s="3">
        <v>0</v>
      </c>
      <c r="U373" s="3">
        <v>2.3619999999999999E-2</v>
      </c>
      <c r="V373" s="3">
        <v>0</v>
      </c>
      <c r="W373" s="3">
        <v>0</v>
      </c>
      <c r="X373" s="3"/>
      <c r="Y373" s="3" t="s">
        <v>60</v>
      </c>
      <c r="AA373" s="3" t="str">
        <f t="shared" si="3"/>
        <v>___</v>
      </c>
      <c r="AB373" s="3" t="str">
        <f t="shared" si="2"/>
        <v>____</v>
      </c>
    </row>
    <row r="374" spans="1:30" ht="12.5">
      <c r="A374" s="3">
        <v>373</v>
      </c>
      <c r="B374" s="12">
        <v>45490</v>
      </c>
      <c r="C374" s="3">
        <v>1485</v>
      </c>
      <c r="D374" s="3">
        <v>55</v>
      </c>
      <c r="E374" s="3" t="s">
        <v>33</v>
      </c>
      <c r="F374" s="3"/>
      <c r="H374" s="3" t="s">
        <v>40</v>
      </c>
      <c r="I374" s="3">
        <v>2</v>
      </c>
      <c r="J374" s="4">
        <v>45478</v>
      </c>
      <c r="K374" s="4">
        <v>45481</v>
      </c>
      <c r="L374" s="3">
        <v>4</v>
      </c>
      <c r="M374" s="3" t="s">
        <v>36</v>
      </c>
      <c r="N374" s="3">
        <v>25</v>
      </c>
      <c r="O374" s="3">
        <v>7</v>
      </c>
      <c r="P374" s="3">
        <v>7</v>
      </c>
      <c r="S374" s="3">
        <v>0</v>
      </c>
      <c r="T374" s="3">
        <v>2.3179999999999999E-2</v>
      </c>
      <c r="U374" s="3">
        <v>7.6E-3</v>
      </c>
      <c r="V374" s="3">
        <v>0</v>
      </c>
      <c r="W374" s="3">
        <v>0</v>
      </c>
      <c r="AA374" s="3" t="str">
        <f t="shared" si="3"/>
        <v>1485_55__vm</v>
      </c>
      <c r="AB374" s="3" t="str">
        <f t="shared" si="2"/>
        <v>1485_55__vm_2</v>
      </c>
      <c r="AD374" s="3" t="s">
        <v>37</v>
      </c>
    </row>
    <row r="375" spans="1:30" ht="12.5">
      <c r="A375" s="3">
        <v>374</v>
      </c>
      <c r="F375" s="3"/>
      <c r="H375" s="3"/>
      <c r="M375" s="3" t="s">
        <v>38</v>
      </c>
      <c r="N375" s="3">
        <v>27</v>
      </c>
      <c r="O375" s="3">
        <v>0</v>
      </c>
      <c r="P375" s="3">
        <v>2</v>
      </c>
      <c r="Q375" s="3">
        <v>2</v>
      </c>
      <c r="R375" s="3">
        <v>2</v>
      </c>
      <c r="S375" s="3">
        <v>0</v>
      </c>
      <c r="T375" s="3">
        <v>0</v>
      </c>
      <c r="U375" s="3">
        <v>7.7600000000000004E-3</v>
      </c>
      <c r="V375" s="3">
        <v>1.7819999999999999E-2</v>
      </c>
      <c r="W375" s="3">
        <v>0</v>
      </c>
      <c r="AA375" s="3" t="str">
        <f t="shared" si="3"/>
        <v>___</v>
      </c>
      <c r="AB375" s="3" t="str">
        <f t="shared" si="2"/>
        <v>____</v>
      </c>
    </row>
    <row r="376" spans="1:30" ht="12.5">
      <c r="A376" s="3">
        <v>375</v>
      </c>
      <c r="F376" s="3"/>
      <c r="H376" s="3"/>
      <c r="M376" s="3" t="s">
        <v>39</v>
      </c>
      <c r="N376" s="3">
        <v>14</v>
      </c>
      <c r="O376" s="3">
        <v>0</v>
      </c>
      <c r="P376" s="3">
        <v>2</v>
      </c>
      <c r="Q376" s="3">
        <v>1</v>
      </c>
      <c r="R376" s="3">
        <v>1</v>
      </c>
      <c r="S376" s="3">
        <v>0</v>
      </c>
      <c r="T376" s="3">
        <v>0</v>
      </c>
      <c r="U376" s="3">
        <v>8.4399999999999996E-3</v>
      </c>
      <c r="V376" s="3">
        <v>4.7649999999999998E-2</v>
      </c>
      <c r="W376" s="3">
        <v>0</v>
      </c>
      <c r="AA376" s="3" t="str">
        <f t="shared" si="3"/>
        <v>___</v>
      </c>
      <c r="AB376" s="3" t="str">
        <f t="shared" si="2"/>
        <v>____</v>
      </c>
    </row>
    <row r="377" spans="1:30" ht="12.5">
      <c r="A377" s="3">
        <v>376</v>
      </c>
      <c r="B377" s="12">
        <v>45490</v>
      </c>
      <c r="C377" s="3">
        <v>1485</v>
      </c>
      <c r="D377" s="3">
        <v>55</v>
      </c>
      <c r="E377" s="3" t="s">
        <v>33</v>
      </c>
      <c r="F377" s="3"/>
      <c r="H377" s="3" t="s">
        <v>40</v>
      </c>
      <c r="I377" s="3">
        <v>3</v>
      </c>
      <c r="J377" s="3">
        <v>8</v>
      </c>
      <c r="K377" s="4">
        <v>45543</v>
      </c>
      <c r="L377" s="3">
        <v>4</v>
      </c>
      <c r="M377" s="3" t="s">
        <v>36</v>
      </c>
      <c r="N377" s="3">
        <v>31</v>
      </c>
      <c r="O377" s="3">
        <v>6</v>
      </c>
      <c r="P377" s="3">
        <v>6</v>
      </c>
      <c r="S377" s="3">
        <v>0</v>
      </c>
      <c r="T377" s="3">
        <v>2.2839999999999999E-2</v>
      </c>
      <c r="U377" s="3">
        <v>1.077E-2</v>
      </c>
      <c r="V377" s="3">
        <v>0</v>
      </c>
      <c r="W377" s="3">
        <v>0</v>
      </c>
      <c r="AA377" s="3" t="str">
        <f t="shared" si="3"/>
        <v>1485_55__vm</v>
      </c>
      <c r="AB377" s="3" t="str">
        <f t="shared" si="2"/>
        <v>1485_55__vm_3</v>
      </c>
      <c r="AD377" s="3" t="s">
        <v>37</v>
      </c>
    </row>
    <row r="378" spans="1:30" ht="12.5">
      <c r="A378" s="3">
        <v>377</v>
      </c>
      <c r="F378" s="3"/>
      <c r="H378" s="3"/>
      <c r="M378" s="3" t="s">
        <v>38</v>
      </c>
      <c r="N378" s="3">
        <v>32</v>
      </c>
      <c r="O378" s="3">
        <v>0</v>
      </c>
      <c r="P378" s="3">
        <v>5</v>
      </c>
      <c r="Q378" s="3">
        <v>2</v>
      </c>
      <c r="R378" s="3">
        <v>2</v>
      </c>
      <c r="S378" s="3">
        <v>0</v>
      </c>
      <c r="T378" s="3">
        <v>0</v>
      </c>
      <c r="U378" s="3">
        <v>2.0330000000000001E-2</v>
      </c>
      <c r="V378" s="3">
        <v>2.8170000000000001E-2</v>
      </c>
      <c r="W378" s="3">
        <v>0</v>
      </c>
      <c r="AA378" s="3" t="str">
        <f t="shared" si="3"/>
        <v>___</v>
      </c>
      <c r="AB378" s="3" t="str">
        <f t="shared" si="2"/>
        <v>____</v>
      </c>
    </row>
    <row r="379" spans="1:30" ht="12.5">
      <c r="A379" s="3">
        <v>378</v>
      </c>
      <c r="F379" s="3"/>
      <c r="H379" s="3"/>
      <c r="M379" s="3" t="s">
        <v>39</v>
      </c>
      <c r="N379" s="3">
        <v>17</v>
      </c>
      <c r="O379" s="3">
        <v>0</v>
      </c>
      <c r="P379" s="3">
        <v>4</v>
      </c>
      <c r="Q379" s="3">
        <v>1</v>
      </c>
      <c r="R379" s="3">
        <v>1</v>
      </c>
      <c r="S379" s="3">
        <v>0</v>
      </c>
      <c r="T379" s="3">
        <v>0</v>
      </c>
      <c r="U379" s="3">
        <v>1.205E-2</v>
      </c>
      <c r="V379" s="3">
        <v>2.1700000000000001E-3</v>
      </c>
      <c r="W379" s="3">
        <v>0</v>
      </c>
      <c r="AA379" s="3" t="str">
        <f t="shared" si="3"/>
        <v>___</v>
      </c>
      <c r="AB379" s="3" t="str">
        <f t="shared" si="2"/>
        <v>____</v>
      </c>
    </row>
    <row r="380" spans="1:30" ht="12.5">
      <c r="A380" s="3">
        <v>379</v>
      </c>
      <c r="B380" s="12">
        <v>45490</v>
      </c>
      <c r="C380" s="3">
        <v>1485</v>
      </c>
      <c r="D380" s="3">
        <v>55</v>
      </c>
      <c r="E380" s="3" t="s">
        <v>33</v>
      </c>
      <c r="F380" s="3"/>
      <c r="H380" s="3" t="s">
        <v>35</v>
      </c>
      <c r="I380" s="3">
        <v>1</v>
      </c>
      <c r="J380" s="4">
        <v>45477</v>
      </c>
      <c r="K380" s="4">
        <v>45326</v>
      </c>
      <c r="L380" s="3">
        <v>3</v>
      </c>
      <c r="M380" s="3" t="s">
        <v>36</v>
      </c>
      <c r="N380" s="3">
        <v>12</v>
      </c>
      <c r="O380" s="3">
        <v>9</v>
      </c>
      <c r="P380" s="3">
        <v>9</v>
      </c>
      <c r="S380" s="3">
        <v>0</v>
      </c>
      <c r="T380" s="3">
        <v>4.3159999999999997E-2</v>
      </c>
      <c r="U380" s="3">
        <v>3.0400000000000002E-3</v>
      </c>
      <c r="V380" s="3">
        <v>0</v>
      </c>
      <c r="W380" s="3">
        <v>0</v>
      </c>
      <c r="AA380" s="3" t="str">
        <f t="shared" si="3"/>
        <v>1485_55__vv</v>
      </c>
      <c r="AB380" s="3" t="str">
        <f t="shared" si="2"/>
        <v>1485_55__vv_1</v>
      </c>
      <c r="AD380" s="3" t="s">
        <v>37</v>
      </c>
    </row>
    <row r="381" spans="1:30" ht="12.5">
      <c r="A381" s="3">
        <v>380</v>
      </c>
      <c r="F381" s="3"/>
      <c r="H381" s="3"/>
      <c r="M381" s="3" t="s">
        <v>38</v>
      </c>
      <c r="N381" s="3">
        <v>15</v>
      </c>
      <c r="O381" s="3">
        <v>5</v>
      </c>
      <c r="P381" s="3">
        <v>7</v>
      </c>
      <c r="S381" s="3">
        <v>0</v>
      </c>
      <c r="T381" s="3">
        <v>3.653E-2</v>
      </c>
      <c r="U381" s="3">
        <v>5.1799999999999997E-3</v>
      </c>
      <c r="V381" s="3">
        <v>0</v>
      </c>
      <c r="W381" s="3">
        <v>0</v>
      </c>
      <c r="AA381" s="3" t="str">
        <f t="shared" si="3"/>
        <v>___</v>
      </c>
      <c r="AB381" s="3" t="str">
        <f t="shared" si="2"/>
        <v>____</v>
      </c>
    </row>
    <row r="382" spans="1:30" ht="12.5">
      <c r="A382" s="3">
        <v>381</v>
      </c>
      <c r="F382" s="3"/>
      <c r="H382" s="3"/>
      <c r="M382" s="3" t="s">
        <v>39</v>
      </c>
      <c r="N382" s="3">
        <v>12</v>
      </c>
      <c r="O382" s="3">
        <v>2</v>
      </c>
      <c r="P382" s="3">
        <v>7</v>
      </c>
      <c r="S382" s="3">
        <v>0</v>
      </c>
      <c r="T382" s="3">
        <v>1.3089999999999999E-2</v>
      </c>
      <c r="U382" s="3">
        <v>6.4400000000000004E-3</v>
      </c>
      <c r="V382" s="3">
        <v>0</v>
      </c>
      <c r="W382" s="3">
        <v>0</v>
      </c>
      <c r="AA382" s="3" t="str">
        <f t="shared" si="3"/>
        <v>___</v>
      </c>
      <c r="AB382" s="3" t="str">
        <f t="shared" si="2"/>
        <v>____</v>
      </c>
    </row>
    <row r="383" spans="1:30" ht="12.5">
      <c r="A383" s="3">
        <v>382</v>
      </c>
      <c r="B383" s="12">
        <v>45490</v>
      </c>
      <c r="C383" s="3">
        <v>1485</v>
      </c>
      <c r="D383" s="3">
        <v>55</v>
      </c>
      <c r="E383" s="3" t="s">
        <v>33</v>
      </c>
      <c r="F383" s="3"/>
      <c r="H383" s="3" t="s">
        <v>35</v>
      </c>
      <c r="I383" s="3">
        <v>2</v>
      </c>
      <c r="J383" s="4">
        <v>45446</v>
      </c>
      <c r="K383" s="4">
        <v>45448</v>
      </c>
      <c r="L383" s="3">
        <v>4</v>
      </c>
      <c r="M383" s="3" t="s">
        <v>36</v>
      </c>
      <c r="N383" s="3">
        <v>13</v>
      </c>
      <c r="O383" s="3">
        <v>9</v>
      </c>
      <c r="P383" s="3">
        <v>9</v>
      </c>
      <c r="S383" s="3">
        <v>0</v>
      </c>
      <c r="T383" s="3">
        <v>4.2639999999999997E-2</v>
      </c>
      <c r="U383" s="3">
        <v>2.8999999999999998E-3</v>
      </c>
      <c r="V383" s="3">
        <v>0</v>
      </c>
      <c r="W383" s="3">
        <v>0</v>
      </c>
      <c r="AA383" s="3" t="str">
        <f t="shared" si="3"/>
        <v>1485_55__vv</v>
      </c>
      <c r="AB383" s="3" t="str">
        <f t="shared" si="2"/>
        <v>1485_55__vv_2</v>
      </c>
      <c r="AD383" s="3" t="s">
        <v>37</v>
      </c>
    </row>
    <row r="384" spans="1:30" ht="12.5">
      <c r="A384" s="3">
        <v>383</v>
      </c>
      <c r="F384" s="3"/>
      <c r="H384" s="3"/>
      <c r="M384" s="3" t="s">
        <v>38</v>
      </c>
      <c r="N384" s="3">
        <v>18</v>
      </c>
      <c r="O384" s="3">
        <v>7</v>
      </c>
      <c r="P384" s="3">
        <v>8</v>
      </c>
      <c r="S384" s="3">
        <v>0</v>
      </c>
      <c r="T384" s="3">
        <v>4.7120000000000002E-2</v>
      </c>
      <c r="U384" s="3">
        <v>5.9800000000000001E-3</v>
      </c>
      <c r="V384" s="3">
        <v>0</v>
      </c>
      <c r="W384" s="3">
        <v>0</v>
      </c>
      <c r="AA384" s="3" t="str">
        <f t="shared" si="3"/>
        <v>___</v>
      </c>
      <c r="AB384" s="3" t="str">
        <f t="shared" si="2"/>
        <v>____</v>
      </c>
    </row>
    <row r="385" spans="1:30" ht="12.5">
      <c r="A385" s="3">
        <v>384</v>
      </c>
      <c r="F385" s="3"/>
      <c r="H385" s="3"/>
      <c r="M385" s="3" t="s">
        <v>39</v>
      </c>
      <c r="N385" s="3">
        <v>10</v>
      </c>
      <c r="O385" s="3">
        <v>3</v>
      </c>
      <c r="P385" s="3">
        <v>5</v>
      </c>
      <c r="S385" s="3">
        <v>0</v>
      </c>
      <c r="T385" s="3">
        <v>1.315E-2</v>
      </c>
      <c r="U385" s="3">
        <v>3.9399999999999999E-3</v>
      </c>
      <c r="V385" s="3">
        <v>0</v>
      </c>
      <c r="W385" s="3">
        <v>0</v>
      </c>
      <c r="AA385" s="3" t="str">
        <f t="shared" si="3"/>
        <v>___</v>
      </c>
      <c r="AB385" s="3" t="str">
        <f t="shared" si="2"/>
        <v>____</v>
      </c>
    </row>
    <row r="386" spans="1:30" ht="12.5">
      <c r="A386" s="3">
        <v>385</v>
      </c>
      <c r="B386" s="12">
        <v>45490</v>
      </c>
      <c r="C386" s="3">
        <v>1485</v>
      </c>
      <c r="D386" s="3">
        <v>55</v>
      </c>
      <c r="E386" s="3" t="s">
        <v>33</v>
      </c>
      <c r="F386" s="3"/>
      <c r="H386" s="3" t="s">
        <v>35</v>
      </c>
      <c r="I386" s="3">
        <v>3</v>
      </c>
      <c r="J386" s="4">
        <v>45475</v>
      </c>
      <c r="K386" s="4">
        <v>45476</v>
      </c>
      <c r="L386" s="3">
        <v>4</v>
      </c>
      <c r="M386" s="3" t="s">
        <v>36</v>
      </c>
      <c r="N386" s="3">
        <v>7</v>
      </c>
      <c r="O386" s="3">
        <v>7</v>
      </c>
      <c r="P386" s="3">
        <v>7</v>
      </c>
      <c r="S386" s="3">
        <v>0</v>
      </c>
      <c r="T386" s="3">
        <v>1.2789999999999999E-2</v>
      </c>
      <c r="U386" s="3">
        <v>8.8000000000000003E-4</v>
      </c>
      <c r="V386" s="3">
        <v>0</v>
      </c>
      <c r="W386" s="3">
        <v>0</v>
      </c>
      <c r="AA386" s="3" t="str">
        <f t="shared" si="3"/>
        <v>1485_55__vv</v>
      </c>
      <c r="AB386" s="3" t="str">
        <f t="shared" si="2"/>
        <v>1485_55__vv_3</v>
      </c>
      <c r="AD386" s="3" t="s">
        <v>37</v>
      </c>
    </row>
    <row r="387" spans="1:30" ht="12.5">
      <c r="A387" s="3">
        <v>386</v>
      </c>
      <c r="F387" s="3"/>
      <c r="H387" s="3"/>
      <c r="M387" s="3" t="s">
        <v>38</v>
      </c>
      <c r="N387" s="3">
        <v>6</v>
      </c>
      <c r="O387" s="3">
        <v>8</v>
      </c>
      <c r="P387" s="3">
        <v>8</v>
      </c>
      <c r="S387" s="3">
        <v>0</v>
      </c>
      <c r="T387" s="3">
        <v>2.4740000000000002E-2</v>
      </c>
      <c r="U387" s="3">
        <v>1.4499999999999999E-3</v>
      </c>
      <c r="V387" s="3">
        <v>0</v>
      </c>
      <c r="W387" s="3">
        <v>0</v>
      </c>
      <c r="AA387" s="3" t="str">
        <f t="shared" si="3"/>
        <v>___</v>
      </c>
      <c r="AB387" s="3" t="str">
        <f t="shared" si="2"/>
        <v>____</v>
      </c>
    </row>
    <row r="388" spans="1:30" ht="12.5">
      <c r="A388" s="3">
        <v>387</v>
      </c>
      <c r="F388" s="3"/>
      <c r="H388" s="3"/>
      <c r="M388" s="3" t="s">
        <v>39</v>
      </c>
      <c r="N388" s="3">
        <v>11</v>
      </c>
      <c r="O388" s="3">
        <v>8</v>
      </c>
      <c r="P388" s="3">
        <v>10</v>
      </c>
      <c r="S388" s="3">
        <v>0</v>
      </c>
      <c r="T388" s="3">
        <v>2.8289999999999999E-2</v>
      </c>
      <c r="U388" s="3">
        <v>2.1299999999999999E-3</v>
      </c>
      <c r="V388" s="3">
        <v>0</v>
      </c>
      <c r="W388" s="3">
        <v>0</v>
      </c>
      <c r="AA388" s="3" t="str">
        <f t="shared" si="3"/>
        <v>___</v>
      </c>
      <c r="AB388" s="3" t="str">
        <f t="shared" si="2"/>
        <v>____</v>
      </c>
    </row>
    <row r="389" spans="1:30" ht="12.5">
      <c r="A389" s="3">
        <v>388</v>
      </c>
      <c r="B389" s="12">
        <v>45490</v>
      </c>
      <c r="C389" s="6">
        <v>1485</v>
      </c>
      <c r="D389" s="6">
        <v>62</v>
      </c>
      <c r="E389" s="3" t="s">
        <v>33</v>
      </c>
      <c r="F389" s="3"/>
      <c r="H389" s="3" t="s">
        <v>40</v>
      </c>
      <c r="I389" s="3">
        <v>1</v>
      </c>
      <c r="J389" s="3">
        <v>8</v>
      </c>
      <c r="K389" s="4">
        <v>45453</v>
      </c>
      <c r="L389" s="3">
        <v>6</v>
      </c>
      <c r="M389" s="3" t="s">
        <v>36</v>
      </c>
      <c r="N389" s="3">
        <v>24</v>
      </c>
      <c r="O389" s="3">
        <v>6</v>
      </c>
      <c r="P389" s="3">
        <v>7</v>
      </c>
      <c r="S389" s="3">
        <v>0</v>
      </c>
      <c r="T389" s="3">
        <v>2.1649999999999999E-2</v>
      </c>
      <c r="U389" s="3">
        <v>8.9899999999999997E-3</v>
      </c>
      <c r="V389" s="3">
        <v>0</v>
      </c>
      <c r="W389" s="3">
        <v>0</v>
      </c>
      <c r="AA389" s="3" t="str">
        <f t="shared" si="3"/>
        <v>1485_62__vm</v>
      </c>
      <c r="AB389" s="3" t="str">
        <f t="shared" si="2"/>
        <v>1485_62__vm_1</v>
      </c>
      <c r="AD389" s="3" t="s">
        <v>37</v>
      </c>
    </row>
    <row r="390" spans="1:30" ht="12.5">
      <c r="A390" s="3">
        <v>389</v>
      </c>
      <c r="F390" s="3"/>
      <c r="H390" s="3"/>
      <c r="M390" s="3" t="s">
        <v>38</v>
      </c>
      <c r="N390" s="3">
        <v>37</v>
      </c>
      <c r="O390" s="3">
        <v>0</v>
      </c>
      <c r="P390" s="3">
        <v>7</v>
      </c>
      <c r="Q390" s="3">
        <v>2</v>
      </c>
      <c r="R390" s="3">
        <v>2</v>
      </c>
      <c r="S390" s="3">
        <v>0</v>
      </c>
      <c r="T390" s="3">
        <v>0</v>
      </c>
      <c r="U390" s="3">
        <v>2.4279999999999999E-2</v>
      </c>
      <c r="V390" s="3">
        <v>3.7749999999999999E-2</v>
      </c>
      <c r="W390" s="3">
        <v>0</v>
      </c>
      <c r="AA390" s="3" t="str">
        <f t="shared" si="3"/>
        <v>___</v>
      </c>
      <c r="AB390" s="3" t="str">
        <f t="shared" si="2"/>
        <v>____</v>
      </c>
    </row>
    <row r="391" spans="1:30" ht="12.5">
      <c r="A391" s="3">
        <v>390</v>
      </c>
      <c r="F391" s="3"/>
      <c r="H391" s="3"/>
      <c r="M391" s="3" t="s">
        <v>39</v>
      </c>
      <c r="N391" s="3">
        <v>7</v>
      </c>
      <c r="O391" s="3">
        <v>0</v>
      </c>
      <c r="P391" s="3">
        <v>4</v>
      </c>
      <c r="S391" s="3">
        <v>0</v>
      </c>
      <c r="T391" s="3">
        <v>0</v>
      </c>
      <c r="U391" s="3">
        <v>6.9199999999999999E-3</v>
      </c>
      <c r="V391" s="3">
        <v>0</v>
      </c>
      <c r="W391" s="3">
        <v>0</v>
      </c>
      <c r="AA391" s="3" t="str">
        <f t="shared" si="3"/>
        <v>___</v>
      </c>
      <c r="AB391" s="3" t="str">
        <f t="shared" si="2"/>
        <v>____</v>
      </c>
    </row>
    <row r="392" spans="1:30" ht="12.5">
      <c r="A392" s="3">
        <v>391</v>
      </c>
      <c r="B392" s="12">
        <v>45490</v>
      </c>
      <c r="C392" s="3">
        <v>1485</v>
      </c>
      <c r="D392" s="3">
        <v>62</v>
      </c>
      <c r="E392" s="3" t="s">
        <v>33</v>
      </c>
      <c r="F392" s="3"/>
      <c r="H392" s="3" t="s">
        <v>40</v>
      </c>
      <c r="I392" s="3">
        <v>2</v>
      </c>
      <c r="J392" s="3">
        <v>8</v>
      </c>
      <c r="K392" s="4">
        <v>45543</v>
      </c>
      <c r="L392" s="3">
        <v>5</v>
      </c>
      <c r="M392" s="3" t="s">
        <v>36</v>
      </c>
      <c r="N392" s="3">
        <v>17</v>
      </c>
      <c r="O392" s="3">
        <v>5</v>
      </c>
      <c r="P392" s="3">
        <v>5</v>
      </c>
      <c r="S392" s="3">
        <v>0</v>
      </c>
      <c r="T392" s="3">
        <v>1.754E-2</v>
      </c>
      <c r="U392" s="3">
        <v>4.7699999999999999E-3</v>
      </c>
      <c r="V392" s="3">
        <v>0</v>
      </c>
      <c r="W392" s="3">
        <v>0</v>
      </c>
      <c r="AA392" s="3" t="str">
        <f t="shared" si="3"/>
        <v>1485_62__vm</v>
      </c>
      <c r="AB392" s="3" t="str">
        <f t="shared" si="2"/>
        <v>1485_62__vm_2</v>
      </c>
      <c r="AD392" s="3" t="s">
        <v>37</v>
      </c>
    </row>
    <row r="393" spans="1:30" ht="12.5">
      <c r="A393" s="3">
        <v>392</v>
      </c>
      <c r="F393" s="3"/>
      <c r="H393" s="3"/>
      <c r="M393" s="3" t="s">
        <v>38</v>
      </c>
      <c r="N393" s="3">
        <v>14</v>
      </c>
      <c r="O393" s="3">
        <v>0</v>
      </c>
      <c r="P393" s="3">
        <v>4</v>
      </c>
      <c r="Q393" s="3">
        <v>1</v>
      </c>
      <c r="R393" s="3">
        <v>1</v>
      </c>
      <c r="S393" s="3">
        <v>0</v>
      </c>
      <c r="T393" s="3">
        <v>0</v>
      </c>
      <c r="U393" s="3">
        <v>5.0400000000000002E-3</v>
      </c>
      <c r="V393" s="3">
        <v>8.5100000000000002E-3</v>
      </c>
      <c r="W393" s="3">
        <v>0</v>
      </c>
      <c r="AA393" s="3" t="str">
        <f t="shared" si="3"/>
        <v>___</v>
      </c>
      <c r="AB393" s="3" t="str">
        <f t="shared" si="2"/>
        <v>____</v>
      </c>
    </row>
    <row r="394" spans="1:30" ht="12.5">
      <c r="A394" s="3">
        <v>393</v>
      </c>
      <c r="F394" s="3"/>
      <c r="H394" s="3"/>
      <c r="M394" s="3" t="s">
        <v>39</v>
      </c>
      <c r="N394" s="3">
        <v>14</v>
      </c>
      <c r="O394" s="3">
        <v>0</v>
      </c>
      <c r="P394" s="3">
        <v>5</v>
      </c>
      <c r="Q394" s="3">
        <v>1</v>
      </c>
      <c r="R394" s="3">
        <v>1</v>
      </c>
      <c r="S394" s="3">
        <v>0</v>
      </c>
      <c r="T394" s="3">
        <v>0</v>
      </c>
      <c r="U394" s="3">
        <v>6.2199999999999998E-3</v>
      </c>
      <c r="V394" s="3">
        <v>1.01E-2</v>
      </c>
      <c r="W394" s="3">
        <v>0</v>
      </c>
      <c r="AA394" s="3" t="str">
        <f t="shared" si="3"/>
        <v>___</v>
      </c>
      <c r="AB394" s="3" t="str">
        <f t="shared" si="2"/>
        <v>____</v>
      </c>
    </row>
    <row r="395" spans="1:30" ht="12.5">
      <c r="A395" s="3">
        <v>394</v>
      </c>
      <c r="B395" s="12">
        <v>45490</v>
      </c>
      <c r="C395" s="3">
        <v>1485</v>
      </c>
      <c r="D395" s="3">
        <v>62</v>
      </c>
      <c r="E395" s="3" t="s">
        <v>33</v>
      </c>
      <c r="F395" s="3"/>
      <c r="H395" s="3" t="s">
        <v>40</v>
      </c>
      <c r="I395" s="3">
        <v>3</v>
      </c>
      <c r="J395" s="4">
        <v>45301</v>
      </c>
      <c r="K395" s="4">
        <v>45485</v>
      </c>
      <c r="L395" s="3">
        <v>5</v>
      </c>
      <c r="M395" s="3" t="s">
        <v>36</v>
      </c>
      <c r="N395" s="3">
        <v>46</v>
      </c>
      <c r="O395" s="3">
        <v>7</v>
      </c>
      <c r="P395" s="3">
        <v>8</v>
      </c>
      <c r="S395" s="3">
        <v>0</v>
      </c>
      <c r="T395" s="3">
        <v>4.3639999999999998E-2</v>
      </c>
      <c r="U395" s="3">
        <v>3.074E-2</v>
      </c>
      <c r="V395" s="3">
        <v>0</v>
      </c>
      <c r="W395" s="3">
        <v>0</v>
      </c>
      <c r="AA395" s="3" t="str">
        <f t="shared" si="3"/>
        <v>1485_62__vm</v>
      </c>
      <c r="AB395" s="3" t="str">
        <f t="shared" si="2"/>
        <v>1485_62__vm_3</v>
      </c>
      <c r="AD395" s="3" t="s">
        <v>37</v>
      </c>
    </row>
    <row r="396" spans="1:30" ht="12.5">
      <c r="A396" s="3">
        <v>395</v>
      </c>
      <c r="F396" s="3"/>
      <c r="H396" s="3"/>
      <c r="M396" s="3" t="s">
        <v>38</v>
      </c>
      <c r="N396" s="3">
        <v>41</v>
      </c>
      <c r="O396" s="3">
        <v>0</v>
      </c>
      <c r="P396" s="3">
        <v>5</v>
      </c>
      <c r="Q396" s="3">
        <v>2</v>
      </c>
      <c r="R396" s="3">
        <v>2</v>
      </c>
      <c r="S396" s="3">
        <v>0</v>
      </c>
      <c r="T396" s="3">
        <v>0</v>
      </c>
      <c r="U396" s="3">
        <v>3.4759999999999999E-2</v>
      </c>
      <c r="V396" s="3">
        <v>5.6219999999999999E-2</v>
      </c>
      <c r="W396" s="3">
        <v>0</v>
      </c>
      <c r="AA396" s="3" t="str">
        <f t="shared" si="3"/>
        <v>___</v>
      </c>
      <c r="AB396" s="3" t="str">
        <f t="shared" si="2"/>
        <v>____</v>
      </c>
    </row>
    <row r="397" spans="1:30" ht="12.5">
      <c r="A397" s="3">
        <v>396</v>
      </c>
      <c r="F397" s="3"/>
      <c r="H397" s="3"/>
      <c r="M397" s="3" t="s">
        <v>39</v>
      </c>
      <c r="N397" s="3">
        <v>37</v>
      </c>
      <c r="O397" s="3">
        <v>0</v>
      </c>
      <c r="P397" s="3">
        <v>8</v>
      </c>
      <c r="Q397" s="3">
        <v>3</v>
      </c>
      <c r="R397" s="3">
        <v>3</v>
      </c>
      <c r="S397" s="3">
        <v>0</v>
      </c>
      <c r="T397" s="3">
        <v>0</v>
      </c>
      <c r="U397" s="3">
        <v>4.512E-2</v>
      </c>
      <c r="V397" s="3">
        <v>0.13309000000000001</v>
      </c>
      <c r="W397" s="3">
        <v>0</v>
      </c>
      <c r="AA397" s="3" t="str">
        <f t="shared" si="3"/>
        <v>___</v>
      </c>
      <c r="AB397" s="3" t="str">
        <f t="shared" si="2"/>
        <v>____</v>
      </c>
    </row>
    <row r="398" spans="1:30" ht="12.5">
      <c r="A398" s="3">
        <v>397</v>
      </c>
      <c r="B398" s="12">
        <v>45490</v>
      </c>
      <c r="C398" s="3">
        <v>1485</v>
      </c>
      <c r="D398" s="3">
        <v>62</v>
      </c>
      <c r="E398" s="3" t="s">
        <v>33</v>
      </c>
      <c r="F398" s="3"/>
      <c r="H398" s="3" t="s">
        <v>35</v>
      </c>
      <c r="I398" s="3">
        <v>1</v>
      </c>
      <c r="J398" s="4">
        <v>45296</v>
      </c>
      <c r="K398" s="4">
        <v>45511</v>
      </c>
      <c r="L398" s="3">
        <v>4</v>
      </c>
      <c r="M398" s="3" t="s">
        <v>36</v>
      </c>
      <c r="N398" s="3">
        <v>15</v>
      </c>
      <c r="O398" s="3">
        <v>10</v>
      </c>
      <c r="P398" s="3">
        <v>12</v>
      </c>
      <c r="S398" s="3">
        <v>0</v>
      </c>
      <c r="T398" s="3">
        <v>6.7949999999999997E-2</v>
      </c>
      <c r="U398" s="3">
        <v>3.6700000000000001E-3</v>
      </c>
      <c r="V398" s="3">
        <v>0</v>
      </c>
      <c r="W398" s="3">
        <v>0</v>
      </c>
      <c r="AA398" s="3" t="str">
        <f t="shared" si="3"/>
        <v>1485_62__vv</v>
      </c>
      <c r="AB398" s="3" t="str">
        <f t="shared" si="2"/>
        <v>1485_62__vv_1</v>
      </c>
      <c r="AD398" s="3" t="s">
        <v>37</v>
      </c>
    </row>
    <row r="399" spans="1:30" ht="12.5">
      <c r="A399" s="3">
        <v>398</v>
      </c>
      <c r="F399" s="3"/>
      <c r="H399" s="3"/>
      <c r="M399" s="3" t="s">
        <v>38</v>
      </c>
      <c r="N399" s="3">
        <v>16</v>
      </c>
      <c r="O399" s="3">
        <v>6</v>
      </c>
      <c r="P399" s="3">
        <v>8</v>
      </c>
      <c r="S399" s="3">
        <v>0</v>
      </c>
      <c r="T399" s="3">
        <v>3.8059999999999997E-2</v>
      </c>
      <c r="U399" s="3">
        <v>6.0299999999999998E-3</v>
      </c>
      <c r="V399" s="3">
        <v>0</v>
      </c>
      <c r="W399" s="3">
        <v>0</v>
      </c>
      <c r="AA399" s="3" t="str">
        <f t="shared" si="3"/>
        <v>___</v>
      </c>
      <c r="AB399" s="3" t="str">
        <f t="shared" si="2"/>
        <v>____</v>
      </c>
    </row>
    <row r="400" spans="1:30" ht="12.5">
      <c r="A400" s="3">
        <v>399</v>
      </c>
      <c r="F400" s="3"/>
      <c r="H400" s="3"/>
      <c r="M400" s="3" t="s">
        <v>39</v>
      </c>
      <c r="N400" s="3">
        <v>19</v>
      </c>
      <c r="O400" s="3">
        <v>6</v>
      </c>
      <c r="P400" s="3">
        <v>9</v>
      </c>
      <c r="S400" s="3">
        <v>0</v>
      </c>
      <c r="T400" s="3">
        <v>2.4629999999999999E-2</v>
      </c>
      <c r="U400" s="3">
        <v>8.2299999999999995E-3</v>
      </c>
      <c r="V400" s="3">
        <v>0</v>
      </c>
      <c r="W400" s="3">
        <v>0</v>
      </c>
      <c r="AA400" s="3" t="str">
        <f t="shared" si="3"/>
        <v>___</v>
      </c>
      <c r="AB400" s="3" t="str">
        <f t="shared" si="2"/>
        <v>____</v>
      </c>
    </row>
    <row r="401" spans="1:30" ht="12.5">
      <c r="A401" s="3">
        <v>400</v>
      </c>
      <c r="B401" s="12">
        <v>45490</v>
      </c>
      <c r="C401" s="3">
        <v>1485</v>
      </c>
      <c r="D401" s="3">
        <v>62</v>
      </c>
      <c r="E401" s="3" t="s">
        <v>33</v>
      </c>
      <c r="F401" s="3"/>
      <c r="H401" s="3" t="s">
        <v>35</v>
      </c>
      <c r="I401" s="3">
        <v>2</v>
      </c>
      <c r="J401" s="4">
        <v>45386</v>
      </c>
      <c r="K401" s="4">
        <v>45387</v>
      </c>
      <c r="L401" s="3">
        <v>4</v>
      </c>
      <c r="M401" s="3" t="s">
        <v>36</v>
      </c>
      <c r="N401" s="3">
        <v>26</v>
      </c>
      <c r="O401" s="3">
        <v>9</v>
      </c>
      <c r="P401" s="3">
        <v>9</v>
      </c>
      <c r="S401" s="3">
        <v>0</v>
      </c>
      <c r="T401" s="3">
        <v>4.8390000000000002E-2</v>
      </c>
      <c r="U401" s="3">
        <v>5.5599999999999998E-3</v>
      </c>
      <c r="V401" s="3">
        <v>0</v>
      </c>
      <c r="W401" s="3">
        <v>0</v>
      </c>
      <c r="AA401" s="3" t="str">
        <f t="shared" si="3"/>
        <v>1485_62__vv</v>
      </c>
      <c r="AB401" s="3" t="str">
        <f t="shared" si="2"/>
        <v>1485_62__vv_2</v>
      </c>
      <c r="AD401" s="3" t="s">
        <v>37</v>
      </c>
    </row>
    <row r="402" spans="1:30" ht="12.5">
      <c r="A402" s="3">
        <v>401</v>
      </c>
      <c r="F402" s="3"/>
      <c r="H402" s="3"/>
      <c r="M402" s="3" t="s">
        <v>38</v>
      </c>
      <c r="N402" s="3">
        <v>19</v>
      </c>
      <c r="O402" s="3">
        <v>3</v>
      </c>
      <c r="P402" s="3">
        <v>7</v>
      </c>
      <c r="S402" s="3">
        <v>0</v>
      </c>
      <c r="T402" s="3">
        <v>6.2599999999999999E-3</v>
      </c>
      <c r="U402" s="3">
        <v>4.6299999999999996E-3</v>
      </c>
      <c r="V402" s="3">
        <v>0</v>
      </c>
      <c r="W402" s="3">
        <v>0</v>
      </c>
      <c r="AA402" s="3" t="str">
        <f t="shared" si="3"/>
        <v>___</v>
      </c>
      <c r="AB402" s="3" t="str">
        <f t="shared" si="2"/>
        <v>____</v>
      </c>
    </row>
    <row r="403" spans="1:30" ht="12.5">
      <c r="A403" s="3">
        <v>402</v>
      </c>
      <c r="F403" s="3"/>
      <c r="H403" s="3"/>
      <c r="M403" s="3" t="s">
        <v>39</v>
      </c>
      <c r="N403" s="3">
        <v>27</v>
      </c>
      <c r="O403" s="3">
        <v>0</v>
      </c>
      <c r="P403" s="3">
        <v>5</v>
      </c>
      <c r="S403" s="3">
        <v>0</v>
      </c>
      <c r="T403" s="3">
        <v>0</v>
      </c>
      <c r="U403" s="3">
        <v>7.1700000000000002E-3</v>
      </c>
      <c r="V403" s="3">
        <v>0</v>
      </c>
      <c r="W403" s="3">
        <v>0</v>
      </c>
      <c r="AA403" s="3" t="str">
        <f t="shared" si="3"/>
        <v>___</v>
      </c>
      <c r="AB403" s="3" t="str">
        <f t="shared" si="2"/>
        <v>____</v>
      </c>
    </row>
    <row r="404" spans="1:30" ht="12.5">
      <c r="A404" s="3">
        <v>403</v>
      </c>
      <c r="B404" s="12">
        <v>45490</v>
      </c>
      <c r="C404" s="3">
        <v>1485</v>
      </c>
      <c r="D404" s="3">
        <v>62</v>
      </c>
      <c r="E404" s="3" t="s">
        <v>33</v>
      </c>
      <c r="F404" s="3"/>
      <c r="H404" s="3" t="s">
        <v>35</v>
      </c>
      <c r="I404" s="3">
        <v>3</v>
      </c>
      <c r="J404" s="4">
        <v>45354</v>
      </c>
      <c r="K404" s="4">
        <v>45477</v>
      </c>
      <c r="L404" s="3">
        <v>3</v>
      </c>
      <c r="M404" s="3" t="s">
        <v>36</v>
      </c>
      <c r="N404" s="3">
        <v>20</v>
      </c>
      <c r="O404" s="3">
        <v>10</v>
      </c>
      <c r="P404" s="3">
        <v>11</v>
      </c>
      <c r="S404" s="3">
        <v>0</v>
      </c>
      <c r="T404" s="3">
        <v>6.2449999999999999E-2</v>
      </c>
      <c r="U404" s="3">
        <v>5.2900000000000004E-3</v>
      </c>
      <c r="V404" s="3">
        <v>0</v>
      </c>
      <c r="W404" s="3">
        <v>0</v>
      </c>
      <c r="AA404" s="3" t="str">
        <f t="shared" si="3"/>
        <v>1485_62__vv</v>
      </c>
      <c r="AB404" s="3" t="str">
        <f t="shared" si="2"/>
        <v>1485_62__vv_3</v>
      </c>
      <c r="AD404" s="3" t="s">
        <v>37</v>
      </c>
    </row>
    <row r="405" spans="1:30" ht="12.5">
      <c r="A405" s="3">
        <v>404</v>
      </c>
      <c r="F405" s="3"/>
      <c r="H405" s="3"/>
      <c r="M405" s="3" t="s">
        <v>38</v>
      </c>
      <c r="N405" s="3">
        <v>14</v>
      </c>
      <c r="O405" s="3">
        <v>7</v>
      </c>
      <c r="P405" s="3">
        <v>7</v>
      </c>
      <c r="S405" s="3">
        <v>0</v>
      </c>
      <c r="T405" s="3">
        <v>1.95E-2</v>
      </c>
      <c r="U405" s="3">
        <v>4.9300000000000004E-3</v>
      </c>
      <c r="V405" s="3">
        <v>0</v>
      </c>
      <c r="W405" s="3">
        <v>0</v>
      </c>
      <c r="AA405" s="3" t="str">
        <f t="shared" si="3"/>
        <v>___</v>
      </c>
      <c r="AB405" s="3" t="str">
        <f t="shared" si="2"/>
        <v>____</v>
      </c>
    </row>
    <row r="406" spans="1:30" ht="12.5">
      <c r="A406" s="3">
        <v>405</v>
      </c>
      <c r="F406" s="3"/>
      <c r="H406" s="3"/>
      <c r="M406" s="3" t="s">
        <v>39</v>
      </c>
      <c r="N406" s="3">
        <v>15</v>
      </c>
      <c r="O406" s="3">
        <v>0</v>
      </c>
      <c r="P406" s="3">
        <v>7</v>
      </c>
      <c r="S406" s="3">
        <v>0</v>
      </c>
      <c r="T406" s="3">
        <v>0</v>
      </c>
      <c r="U406" s="3">
        <v>4.0099999999999997E-3</v>
      </c>
      <c r="V406" s="3">
        <v>0</v>
      </c>
      <c r="W406" s="3">
        <v>0</v>
      </c>
      <c r="AA406" s="3" t="str">
        <f t="shared" si="3"/>
        <v>___</v>
      </c>
      <c r="AB406" s="3" t="str">
        <f t="shared" si="2"/>
        <v>____</v>
      </c>
    </row>
    <row r="407" spans="1:30" ht="12.5">
      <c r="A407" s="3">
        <v>406</v>
      </c>
      <c r="B407" s="12">
        <v>45490</v>
      </c>
      <c r="C407" s="10">
        <v>1544</v>
      </c>
      <c r="D407" s="10">
        <v>51</v>
      </c>
      <c r="E407" s="3" t="s">
        <v>33</v>
      </c>
      <c r="F407" s="3"/>
      <c r="H407" s="3" t="s">
        <v>35</v>
      </c>
      <c r="I407" s="3">
        <v>1</v>
      </c>
      <c r="J407" s="4">
        <v>45300</v>
      </c>
      <c r="K407" s="4">
        <v>45335</v>
      </c>
      <c r="L407" s="3">
        <v>3</v>
      </c>
      <c r="M407" s="3" t="s">
        <v>36</v>
      </c>
      <c r="N407" s="3">
        <v>51</v>
      </c>
      <c r="O407" s="3">
        <v>11</v>
      </c>
      <c r="P407" s="3">
        <v>13</v>
      </c>
      <c r="S407" s="3">
        <v>0</v>
      </c>
      <c r="T407" s="3">
        <v>0.10792</v>
      </c>
      <c r="U407" s="3">
        <v>1.6840000000000001E-2</v>
      </c>
      <c r="V407" s="3">
        <v>0</v>
      </c>
      <c r="W407" s="3">
        <v>0</v>
      </c>
      <c r="AA407" s="3" t="str">
        <f t="shared" si="3"/>
        <v>1544_51__vv</v>
      </c>
      <c r="AB407" s="3" t="str">
        <f t="shared" si="2"/>
        <v>1544_51__vv_1</v>
      </c>
      <c r="AD407" s="3" t="s">
        <v>37</v>
      </c>
    </row>
    <row r="408" spans="1:30" ht="12.5">
      <c r="A408" s="3">
        <v>407</v>
      </c>
      <c r="F408" s="3"/>
      <c r="H408" s="3"/>
      <c r="M408" s="3" t="s">
        <v>38</v>
      </c>
      <c r="N408" s="3">
        <v>44</v>
      </c>
      <c r="O408" s="3">
        <v>8</v>
      </c>
      <c r="P408" s="3">
        <v>11</v>
      </c>
      <c r="Q408" s="3">
        <v>1</v>
      </c>
      <c r="R408" s="3">
        <v>1</v>
      </c>
      <c r="S408" s="3">
        <v>0</v>
      </c>
      <c r="T408" s="3">
        <v>6.7110000000000003E-2</v>
      </c>
      <c r="U408" s="3">
        <v>2.6509999999999999E-2</v>
      </c>
      <c r="V408" s="3">
        <v>0</v>
      </c>
      <c r="W408" s="3">
        <v>0</v>
      </c>
      <c r="X408" s="3"/>
      <c r="Y408" s="3" t="s">
        <v>73</v>
      </c>
      <c r="AA408" s="3" t="str">
        <f t="shared" si="3"/>
        <v>___</v>
      </c>
      <c r="AB408" s="3" t="str">
        <f t="shared" si="2"/>
        <v>____</v>
      </c>
    </row>
    <row r="409" spans="1:30" ht="12.5">
      <c r="A409" s="3">
        <v>408</v>
      </c>
      <c r="F409" s="3"/>
      <c r="H409" s="3"/>
      <c r="M409" s="3" t="s">
        <v>39</v>
      </c>
      <c r="N409" s="3">
        <v>31</v>
      </c>
      <c r="O409" s="3">
        <v>0</v>
      </c>
      <c r="P409" s="3">
        <v>8</v>
      </c>
      <c r="S409" s="3">
        <v>0</v>
      </c>
      <c r="T409" s="3">
        <v>0</v>
      </c>
      <c r="U409" s="3">
        <v>1.5049999999999999E-2</v>
      </c>
      <c r="V409" s="3">
        <v>4.648E-2</v>
      </c>
      <c r="W409" s="3">
        <v>0</v>
      </c>
      <c r="AA409" s="3" t="str">
        <f t="shared" si="3"/>
        <v>___</v>
      </c>
      <c r="AB409" s="3" t="str">
        <f t="shared" si="2"/>
        <v>____</v>
      </c>
    </row>
    <row r="410" spans="1:30" ht="12.5">
      <c r="A410" s="3">
        <v>409</v>
      </c>
      <c r="B410" s="12">
        <v>45490</v>
      </c>
      <c r="C410" s="3">
        <v>1544</v>
      </c>
      <c r="D410" s="3">
        <v>51</v>
      </c>
      <c r="E410" s="3" t="s">
        <v>33</v>
      </c>
      <c r="F410" s="3"/>
      <c r="H410" s="3" t="s">
        <v>35</v>
      </c>
      <c r="I410" s="3">
        <v>2</v>
      </c>
      <c r="J410" s="4">
        <v>45334</v>
      </c>
      <c r="K410" s="4">
        <v>45334</v>
      </c>
      <c r="L410" s="3">
        <v>2</v>
      </c>
      <c r="M410" s="3" t="s">
        <v>36</v>
      </c>
      <c r="N410" s="3">
        <v>70</v>
      </c>
      <c r="O410" s="3">
        <v>15</v>
      </c>
      <c r="P410" s="3">
        <v>19</v>
      </c>
      <c r="S410" s="3">
        <v>0</v>
      </c>
      <c r="T410" s="3">
        <v>0.15454999999999999</v>
      </c>
      <c r="U410" s="3">
        <v>4.3709999999999999E-2</v>
      </c>
      <c r="V410" s="3">
        <v>0</v>
      </c>
      <c r="W410" s="3">
        <v>0</v>
      </c>
      <c r="X410" s="3"/>
      <c r="Y410" s="3" t="s">
        <v>56</v>
      </c>
      <c r="AA410" s="3" t="str">
        <f t="shared" si="3"/>
        <v>1544_51__vv</v>
      </c>
      <c r="AB410" s="3" t="str">
        <f t="shared" si="2"/>
        <v>1544_51__vv_2</v>
      </c>
      <c r="AD410" s="3" t="s">
        <v>37</v>
      </c>
    </row>
    <row r="411" spans="1:30" ht="12.5">
      <c r="A411" s="3">
        <v>410</v>
      </c>
      <c r="F411" s="3"/>
      <c r="H411" s="3"/>
      <c r="M411" s="3" t="s">
        <v>38</v>
      </c>
      <c r="N411" s="3">
        <v>55</v>
      </c>
      <c r="O411" s="3">
        <v>0</v>
      </c>
      <c r="P411" s="3">
        <v>11</v>
      </c>
      <c r="S411" s="3">
        <v>0</v>
      </c>
      <c r="T411" s="3">
        <v>0</v>
      </c>
      <c r="U411" s="3">
        <v>4.0460000000000003E-2</v>
      </c>
      <c r="V411" s="3">
        <v>0</v>
      </c>
      <c r="W411" s="3">
        <v>0</v>
      </c>
      <c r="AA411" s="3" t="str">
        <f t="shared" si="3"/>
        <v>___</v>
      </c>
      <c r="AB411" s="3" t="str">
        <f t="shared" si="2"/>
        <v>____</v>
      </c>
    </row>
    <row r="412" spans="1:30" ht="12.5">
      <c r="A412" s="3">
        <v>411</v>
      </c>
      <c r="F412" s="3"/>
      <c r="H412" s="3"/>
      <c r="M412" s="3" t="s">
        <v>39</v>
      </c>
      <c r="N412" s="3" t="s">
        <v>47</v>
      </c>
      <c r="O412" s="3" t="s">
        <v>47</v>
      </c>
      <c r="P412" s="3" t="s">
        <v>47</v>
      </c>
      <c r="S412" s="3" t="s">
        <v>47</v>
      </c>
      <c r="T412" s="7" t="s">
        <v>47</v>
      </c>
      <c r="U412" s="7" t="s">
        <v>47</v>
      </c>
      <c r="V412" s="7" t="s">
        <v>47</v>
      </c>
      <c r="W412" s="7" t="s">
        <v>47</v>
      </c>
      <c r="AA412" s="3" t="str">
        <f t="shared" si="3"/>
        <v>___</v>
      </c>
      <c r="AB412" s="3" t="str">
        <f t="shared" si="2"/>
        <v>____</v>
      </c>
    </row>
    <row r="413" spans="1:30" ht="12.5">
      <c r="A413" s="3">
        <v>412</v>
      </c>
      <c r="B413" s="12">
        <v>45490</v>
      </c>
      <c r="C413" s="3">
        <v>1544</v>
      </c>
      <c r="D413" s="3">
        <v>51</v>
      </c>
      <c r="E413" s="3" t="s">
        <v>33</v>
      </c>
      <c r="F413" s="3"/>
      <c r="H413" s="3" t="s">
        <v>35</v>
      </c>
      <c r="I413" s="3">
        <v>3</v>
      </c>
      <c r="J413" s="4">
        <v>45334</v>
      </c>
      <c r="K413" s="4">
        <v>45422</v>
      </c>
      <c r="L413" s="3">
        <v>2</v>
      </c>
      <c r="M413" s="3" t="s">
        <v>36</v>
      </c>
      <c r="N413" s="3">
        <v>50</v>
      </c>
      <c r="O413" s="3">
        <v>12</v>
      </c>
      <c r="P413" s="3">
        <v>14</v>
      </c>
      <c r="S413" s="3">
        <v>0</v>
      </c>
      <c r="T413" s="3">
        <v>0.22572999999999999</v>
      </c>
      <c r="U413" s="3">
        <v>2.4719999999999999E-2</v>
      </c>
      <c r="V413" s="3">
        <v>0</v>
      </c>
      <c r="W413" s="3">
        <v>0</v>
      </c>
      <c r="X413" s="3"/>
      <c r="Y413" s="3" t="s">
        <v>56</v>
      </c>
      <c r="AA413" s="3" t="str">
        <f t="shared" si="3"/>
        <v>1544_51__vv</v>
      </c>
      <c r="AB413" s="3" t="str">
        <f t="shared" si="2"/>
        <v>1544_51__vv_3</v>
      </c>
      <c r="AD413" s="3" t="s">
        <v>37</v>
      </c>
    </row>
    <row r="414" spans="1:30" ht="12.5">
      <c r="A414" s="3">
        <v>413</v>
      </c>
      <c r="F414" s="3"/>
      <c r="H414" s="3"/>
      <c r="M414" s="3" t="s">
        <v>38</v>
      </c>
      <c r="N414" s="3">
        <v>57</v>
      </c>
      <c r="O414" s="3">
        <v>5</v>
      </c>
      <c r="P414" s="3">
        <v>12</v>
      </c>
      <c r="S414" s="3">
        <v>0</v>
      </c>
      <c r="T414" s="3">
        <v>5.1090000000000003E-2</v>
      </c>
      <c r="U414" s="3">
        <v>4.6370000000000001E-2</v>
      </c>
      <c r="V414" s="3">
        <v>0</v>
      </c>
      <c r="W414" s="3">
        <v>0</v>
      </c>
      <c r="AA414" s="3" t="str">
        <f t="shared" si="3"/>
        <v>___</v>
      </c>
      <c r="AB414" s="3" t="str">
        <f t="shared" si="2"/>
        <v>____</v>
      </c>
    </row>
    <row r="415" spans="1:30" ht="12.5">
      <c r="A415" s="3">
        <v>414</v>
      </c>
      <c r="F415" s="3"/>
      <c r="H415" s="3"/>
      <c r="M415" s="3" t="s">
        <v>39</v>
      </c>
      <c r="N415" s="3" t="s">
        <v>47</v>
      </c>
      <c r="O415" s="3" t="s">
        <v>47</v>
      </c>
      <c r="P415" s="3" t="s">
        <v>47</v>
      </c>
      <c r="S415" s="3" t="s">
        <v>47</v>
      </c>
      <c r="T415" s="3" t="s">
        <v>47</v>
      </c>
      <c r="U415" s="3" t="s">
        <v>47</v>
      </c>
      <c r="V415" s="3" t="s">
        <v>47</v>
      </c>
      <c r="W415" s="3" t="s">
        <v>47</v>
      </c>
      <c r="AA415" s="3" t="str">
        <f t="shared" si="3"/>
        <v>___</v>
      </c>
      <c r="AB415" s="3" t="str">
        <f t="shared" si="2"/>
        <v>____</v>
      </c>
    </row>
    <row r="416" spans="1:30" ht="12.5">
      <c r="A416" s="3">
        <v>415</v>
      </c>
      <c r="B416" s="12">
        <v>45490</v>
      </c>
      <c r="C416" s="3">
        <v>1544</v>
      </c>
      <c r="D416" s="3">
        <v>51</v>
      </c>
      <c r="E416" s="3" t="s">
        <v>33</v>
      </c>
      <c r="F416" s="3"/>
      <c r="H416" s="3" t="s">
        <v>40</v>
      </c>
      <c r="I416" s="3">
        <v>1</v>
      </c>
      <c r="J416" s="4">
        <v>45305</v>
      </c>
      <c r="K416" s="4">
        <v>45432</v>
      </c>
      <c r="L416" s="3">
        <v>6</v>
      </c>
      <c r="M416" s="3" t="s">
        <v>36</v>
      </c>
      <c r="N416" s="3">
        <v>10</v>
      </c>
      <c r="O416" s="3">
        <v>4</v>
      </c>
      <c r="P416" s="3">
        <v>4</v>
      </c>
      <c r="S416" s="3">
        <v>0</v>
      </c>
      <c r="T416" s="3">
        <v>7.5100000000000002E-3</v>
      </c>
      <c r="U416" s="3">
        <v>1.74E-3</v>
      </c>
      <c r="V416" s="3">
        <v>0</v>
      </c>
      <c r="W416" s="3">
        <v>0</v>
      </c>
      <c r="AA416" s="3" t="str">
        <f t="shared" si="3"/>
        <v>1544_51__vm</v>
      </c>
      <c r="AB416" s="3" t="str">
        <f t="shared" si="2"/>
        <v>1544_51__vm_1</v>
      </c>
      <c r="AD416" s="3" t="s">
        <v>37</v>
      </c>
    </row>
    <row r="417" spans="1:30" ht="12.5">
      <c r="A417" s="3">
        <v>416</v>
      </c>
      <c r="F417" s="3"/>
      <c r="H417" s="3"/>
      <c r="M417" s="3" t="s">
        <v>38</v>
      </c>
      <c r="N417" s="3">
        <v>10</v>
      </c>
      <c r="O417" s="3">
        <v>0</v>
      </c>
      <c r="P417" s="3">
        <v>1</v>
      </c>
      <c r="Q417" s="3">
        <v>2</v>
      </c>
      <c r="R417" s="3">
        <v>0</v>
      </c>
      <c r="S417" s="3">
        <v>0</v>
      </c>
      <c r="T417" s="3">
        <v>0</v>
      </c>
      <c r="U417" s="3">
        <v>2.3600000000000001E-3</v>
      </c>
      <c r="V417" s="3">
        <v>0</v>
      </c>
      <c r="W417" s="3">
        <v>0</v>
      </c>
      <c r="X417" s="3"/>
      <c r="Y417" s="3" t="s">
        <v>62</v>
      </c>
      <c r="AA417" s="3" t="str">
        <f t="shared" si="3"/>
        <v>___</v>
      </c>
      <c r="AB417" s="3" t="str">
        <f t="shared" si="2"/>
        <v>____</v>
      </c>
    </row>
    <row r="418" spans="1:30" ht="12.5">
      <c r="A418" s="3">
        <v>417</v>
      </c>
      <c r="F418" s="3"/>
      <c r="H418" s="3"/>
      <c r="M418" s="3" t="s">
        <v>39</v>
      </c>
      <c r="N418" s="3">
        <v>35</v>
      </c>
      <c r="O418" s="3">
        <v>0</v>
      </c>
      <c r="P418" s="3">
        <v>1</v>
      </c>
      <c r="Q418" s="3">
        <v>4</v>
      </c>
      <c r="R418" s="3">
        <v>2</v>
      </c>
      <c r="S418" s="3">
        <v>0</v>
      </c>
      <c r="T418" s="3">
        <v>0</v>
      </c>
      <c r="U418" s="3">
        <v>1.9060000000000001E-2</v>
      </c>
      <c r="V418" s="3">
        <v>2.929E-2</v>
      </c>
      <c r="W418" s="3">
        <v>0</v>
      </c>
      <c r="X418" s="3"/>
      <c r="Y418" s="3" t="s">
        <v>62</v>
      </c>
      <c r="AA418" s="3" t="str">
        <f t="shared" si="3"/>
        <v>___</v>
      </c>
      <c r="AB418" s="3" t="str">
        <f t="shared" si="2"/>
        <v>____</v>
      </c>
    </row>
    <row r="419" spans="1:30" ht="12.5">
      <c r="A419" s="3">
        <v>418</v>
      </c>
      <c r="B419" s="12">
        <v>45490</v>
      </c>
      <c r="C419" s="3">
        <v>1544</v>
      </c>
      <c r="D419" s="3">
        <v>51</v>
      </c>
      <c r="E419" s="3" t="s">
        <v>33</v>
      </c>
      <c r="F419" s="3"/>
      <c r="H419" s="3" t="s">
        <v>40</v>
      </c>
      <c r="I419" s="3">
        <v>2</v>
      </c>
      <c r="J419" s="4">
        <v>45492</v>
      </c>
      <c r="K419" s="4">
        <v>45340</v>
      </c>
      <c r="L419" s="3">
        <v>5</v>
      </c>
      <c r="M419" s="3" t="s">
        <v>36</v>
      </c>
      <c r="N419" s="3">
        <v>56</v>
      </c>
      <c r="O419" s="3">
        <v>8</v>
      </c>
      <c r="P419" s="3">
        <v>8</v>
      </c>
      <c r="S419" s="3">
        <v>0</v>
      </c>
      <c r="T419" s="3">
        <v>4.9939999999999998E-2</v>
      </c>
      <c r="U419" s="3">
        <v>3.5389999999999998E-2</v>
      </c>
      <c r="V419" s="3">
        <v>0</v>
      </c>
      <c r="W419" s="3">
        <v>0</v>
      </c>
      <c r="X419" s="3"/>
      <c r="Y419" s="3" t="s">
        <v>74</v>
      </c>
      <c r="AA419" s="3" t="str">
        <f t="shared" si="3"/>
        <v>1544_51__vm</v>
      </c>
      <c r="AB419" s="3" t="str">
        <f t="shared" si="2"/>
        <v>1544_51__vm_2</v>
      </c>
      <c r="AD419" s="3" t="s">
        <v>37</v>
      </c>
    </row>
    <row r="420" spans="1:30" ht="12.5">
      <c r="A420" s="3">
        <v>419</v>
      </c>
      <c r="F420" s="3"/>
      <c r="H420" s="3"/>
      <c r="M420" s="3" t="s">
        <v>38</v>
      </c>
      <c r="N420" s="3">
        <v>45</v>
      </c>
      <c r="O420" s="3">
        <v>0</v>
      </c>
      <c r="P420" s="3">
        <v>3</v>
      </c>
      <c r="Q420" s="3">
        <v>3</v>
      </c>
      <c r="R420" s="3">
        <v>1</v>
      </c>
      <c r="S420" s="3">
        <v>0</v>
      </c>
      <c r="T420" s="3">
        <v>0</v>
      </c>
      <c r="U420" s="3">
        <v>4.5490000000000003E-2</v>
      </c>
      <c r="V420" s="3">
        <v>5.3339999999999999E-2</v>
      </c>
      <c r="W420" s="3">
        <v>0</v>
      </c>
      <c r="X420" s="3"/>
      <c r="Y420" s="3" t="s">
        <v>60</v>
      </c>
      <c r="AA420" s="3" t="str">
        <f t="shared" si="3"/>
        <v>___</v>
      </c>
      <c r="AB420" s="3" t="str">
        <f t="shared" si="2"/>
        <v>____</v>
      </c>
    </row>
    <row r="421" spans="1:30" ht="12.5">
      <c r="A421" s="3">
        <v>420</v>
      </c>
      <c r="F421" s="3"/>
      <c r="H421" s="3"/>
      <c r="M421" s="3" t="s">
        <v>39</v>
      </c>
      <c r="N421" s="3">
        <v>21</v>
      </c>
      <c r="O421" s="3">
        <v>0</v>
      </c>
      <c r="P421" s="3">
        <v>4</v>
      </c>
      <c r="S421" s="3">
        <v>0</v>
      </c>
      <c r="T421" s="3">
        <v>0</v>
      </c>
      <c r="U421" s="3">
        <v>2.3949999999999999E-2</v>
      </c>
      <c r="V421" s="3">
        <v>0</v>
      </c>
      <c r="W421" s="3">
        <v>0</v>
      </c>
      <c r="AA421" s="3" t="str">
        <f t="shared" si="3"/>
        <v>___</v>
      </c>
      <c r="AB421" s="3" t="str">
        <f t="shared" si="2"/>
        <v>____</v>
      </c>
    </row>
    <row r="422" spans="1:30" ht="12.5">
      <c r="A422" s="3">
        <v>421</v>
      </c>
      <c r="B422" s="12">
        <v>45490</v>
      </c>
      <c r="C422" s="3">
        <v>1544</v>
      </c>
      <c r="D422" s="3">
        <v>51</v>
      </c>
      <c r="E422" s="3" t="s">
        <v>33</v>
      </c>
      <c r="F422" s="3"/>
      <c r="H422" s="3" t="s">
        <v>40</v>
      </c>
      <c r="I422" s="3">
        <v>3</v>
      </c>
      <c r="J422" s="4">
        <v>45491</v>
      </c>
      <c r="K422" s="4">
        <v>45340</v>
      </c>
      <c r="L422" s="3">
        <v>7</v>
      </c>
      <c r="M422" s="3" t="s">
        <v>36</v>
      </c>
      <c r="N422" s="3">
        <v>30</v>
      </c>
      <c r="O422" s="3">
        <v>7</v>
      </c>
      <c r="P422" s="3">
        <v>7</v>
      </c>
      <c r="S422" s="3">
        <v>0</v>
      </c>
      <c r="T422" s="3">
        <v>0.2009</v>
      </c>
      <c r="U422" s="3">
        <v>1.0630000000000001E-2</v>
      </c>
      <c r="V422" s="3">
        <v>0</v>
      </c>
      <c r="W422" s="3">
        <v>0</v>
      </c>
      <c r="AA422" s="3" t="str">
        <f t="shared" si="3"/>
        <v>1544_51__vm</v>
      </c>
      <c r="AB422" s="3" t="str">
        <f t="shared" si="2"/>
        <v>1544_51__vm_3</v>
      </c>
      <c r="AD422" s="3" t="s">
        <v>37</v>
      </c>
    </row>
    <row r="423" spans="1:30" ht="12.5">
      <c r="A423" s="3">
        <v>422</v>
      </c>
      <c r="F423" s="3"/>
      <c r="H423" s="3"/>
      <c r="M423" s="3" t="s">
        <v>38</v>
      </c>
      <c r="N423" s="3">
        <v>32</v>
      </c>
      <c r="O423" s="3">
        <v>0</v>
      </c>
      <c r="P423" s="3">
        <v>2</v>
      </c>
      <c r="Q423" s="3">
        <v>3</v>
      </c>
      <c r="R423" s="3">
        <v>3</v>
      </c>
      <c r="S423" s="3">
        <v>0</v>
      </c>
      <c r="T423" s="3">
        <v>0</v>
      </c>
      <c r="U423" s="3">
        <v>2.1479999999999999E-2</v>
      </c>
      <c r="V423" s="3">
        <v>5.1990000000000001E-2</v>
      </c>
      <c r="W423" s="3">
        <v>0</v>
      </c>
      <c r="AA423" s="3" t="str">
        <f t="shared" si="3"/>
        <v>___</v>
      </c>
      <c r="AB423" s="3" t="str">
        <f t="shared" si="2"/>
        <v>____</v>
      </c>
    </row>
    <row r="424" spans="1:30" ht="12.5">
      <c r="A424" s="3">
        <v>423</v>
      </c>
      <c r="F424" s="3"/>
      <c r="H424" s="3"/>
      <c r="M424" s="3" t="s">
        <v>39</v>
      </c>
      <c r="N424" s="3">
        <v>42</v>
      </c>
      <c r="O424" s="3">
        <v>0</v>
      </c>
      <c r="P424" s="3">
        <v>3</v>
      </c>
      <c r="Q424" s="3">
        <v>2</v>
      </c>
      <c r="R424" s="3">
        <v>2</v>
      </c>
      <c r="S424" s="3">
        <v>0</v>
      </c>
      <c r="T424" s="3">
        <v>0</v>
      </c>
      <c r="U424" s="3">
        <v>4.4740000000000002E-2</v>
      </c>
      <c r="V424" s="3">
        <v>0.1046</v>
      </c>
      <c r="W424" s="3">
        <v>0</v>
      </c>
      <c r="AA424" s="3" t="str">
        <f t="shared" si="3"/>
        <v>___</v>
      </c>
      <c r="AB424" s="3" t="str">
        <f t="shared" si="2"/>
        <v>____</v>
      </c>
    </row>
    <row r="425" spans="1:30" ht="12.5">
      <c r="A425" s="3">
        <v>424</v>
      </c>
      <c r="B425" s="12">
        <v>45490</v>
      </c>
      <c r="C425" s="10">
        <v>1544</v>
      </c>
      <c r="D425" s="10">
        <v>53</v>
      </c>
      <c r="E425" s="3" t="s">
        <v>33</v>
      </c>
      <c r="F425" s="3"/>
      <c r="H425" s="3" t="s">
        <v>40</v>
      </c>
      <c r="I425" s="3">
        <v>1</v>
      </c>
      <c r="J425" s="4">
        <v>45305</v>
      </c>
      <c r="K425" s="4">
        <v>45308</v>
      </c>
      <c r="L425" s="3">
        <v>4</v>
      </c>
      <c r="M425" s="3" t="s">
        <v>36</v>
      </c>
      <c r="N425" s="3">
        <v>30</v>
      </c>
      <c r="O425" s="3">
        <v>5</v>
      </c>
      <c r="P425" s="3">
        <v>5</v>
      </c>
      <c r="S425" s="3">
        <v>1</v>
      </c>
      <c r="T425" s="3">
        <v>2.8490000000000001E-2</v>
      </c>
      <c r="U425" s="3">
        <v>1.1310000000000001E-2</v>
      </c>
      <c r="V425" s="3">
        <v>0</v>
      </c>
      <c r="W425" s="3">
        <v>3.39E-2</v>
      </c>
      <c r="AA425" s="3" t="str">
        <f t="shared" si="3"/>
        <v>1544_53__vm</v>
      </c>
      <c r="AB425" s="3" t="str">
        <f t="shared" si="2"/>
        <v>1544_53__vm_1</v>
      </c>
      <c r="AD425" s="3" t="s">
        <v>37</v>
      </c>
    </row>
    <row r="426" spans="1:30" ht="12.5">
      <c r="A426" s="3">
        <v>425</v>
      </c>
      <c r="F426" s="3"/>
      <c r="H426" s="3"/>
      <c r="M426" s="3" t="s">
        <v>38</v>
      </c>
      <c r="N426" s="3">
        <v>74</v>
      </c>
      <c r="O426" s="3">
        <v>0</v>
      </c>
      <c r="P426" s="3">
        <v>4</v>
      </c>
      <c r="Q426" s="3">
        <v>4</v>
      </c>
      <c r="R426" s="3">
        <v>4</v>
      </c>
      <c r="S426" s="3">
        <v>0</v>
      </c>
      <c r="T426" s="3">
        <v>0</v>
      </c>
      <c r="U426" s="3">
        <v>6.515E-2</v>
      </c>
      <c r="V426" s="3">
        <v>0.13699</v>
      </c>
      <c r="W426" s="3">
        <v>0</v>
      </c>
      <c r="AA426" s="3" t="str">
        <f t="shared" si="3"/>
        <v>___</v>
      </c>
      <c r="AB426" s="3" t="str">
        <f t="shared" si="2"/>
        <v>____</v>
      </c>
    </row>
    <row r="427" spans="1:30" ht="12.5">
      <c r="A427" s="3">
        <v>426</v>
      </c>
      <c r="F427" s="3"/>
      <c r="H427" s="3"/>
      <c r="M427" s="3" t="s">
        <v>39</v>
      </c>
      <c r="N427" s="3">
        <v>33</v>
      </c>
      <c r="O427" s="3">
        <v>5</v>
      </c>
      <c r="P427" s="3">
        <v>0</v>
      </c>
      <c r="Q427" s="3">
        <v>2</v>
      </c>
      <c r="R427" s="3">
        <v>2</v>
      </c>
      <c r="S427" s="3">
        <v>1</v>
      </c>
      <c r="T427" s="3">
        <v>0</v>
      </c>
      <c r="U427" s="3">
        <v>5.1429999999999997E-2</v>
      </c>
      <c r="V427" s="3">
        <v>0</v>
      </c>
      <c r="W427" s="3">
        <v>0.11659</v>
      </c>
      <c r="AA427" s="3" t="str">
        <f t="shared" si="3"/>
        <v>___</v>
      </c>
      <c r="AB427" s="3" t="str">
        <f t="shared" si="2"/>
        <v>____</v>
      </c>
    </row>
    <row r="428" spans="1:30" ht="12.5">
      <c r="A428" s="3">
        <v>427</v>
      </c>
      <c r="B428" s="12">
        <v>45490</v>
      </c>
      <c r="C428" s="3">
        <v>1544</v>
      </c>
      <c r="D428" s="3">
        <v>53</v>
      </c>
      <c r="E428" s="3" t="s">
        <v>33</v>
      </c>
      <c r="F428" s="3"/>
      <c r="H428" s="3" t="s">
        <v>40</v>
      </c>
      <c r="I428" s="3">
        <v>2</v>
      </c>
      <c r="J428" s="3" t="s">
        <v>47</v>
      </c>
      <c r="K428" s="3" t="s">
        <v>47</v>
      </c>
      <c r="L428" s="3" t="s">
        <v>47</v>
      </c>
      <c r="M428" s="3" t="s">
        <v>36</v>
      </c>
      <c r="N428" s="3" t="s">
        <v>47</v>
      </c>
      <c r="O428" s="3" t="s">
        <v>47</v>
      </c>
      <c r="P428" s="3" t="s">
        <v>47</v>
      </c>
      <c r="S428" s="3" t="s">
        <v>47</v>
      </c>
      <c r="T428" s="3" t="s">
        <v>47</v>
      </c>
      <c r="U428" s="3" t="s">
        <v>47</v>
      </c>
      <c r="V428" s="3" t="s">
        <v>47</v>
      </c>
      <c r="W428" s="3" t="s">
        <v>47</v>
      </c>
      <c r="X428" s="3"/>
      <c r="Y428" s="3" t="s">
        <v>75</v>
      </c>
      <c r="AA428" s="3" t="str">
        <f t="shared" si="3"/>
        <v>1544_53__vm</v>
      </c>
      <c r="AB428" s="3" t="str">
        <f t="shared" si="2"/>
        <v>1544_53__vm_2</v>
      </c>
      <c r="AD428" s="3" t="s">
        <v>37</v>
      </c>
    </row>
    <row r="429" spans="1:30" ht="12.5">
      <c r="A429" s="3">
        <v>428</v>
      </c>
      <c r="F429" s="3"/>
      <c r="H429" s="3"/>
      <c r="M429" s="3" t="s">
        <v>38</v>
      </c>
      <c r="N429" s="3" t="s">
        <v>47</v>
      </c>
      <c r="O429" s="3" t="s">
        <v>47</v>
      </c>
      <c r="P429" s="3" t="s">
        <v>47</v>
      </c>
      <c r="S429" s="3" t="s">
        <v>47</v>
      </c>
      <c r="T429" s="3" t="s">
        <v>47</v>
      </c>
      <c r="U429" s="3" t="s">
        <v>47</v>
      </c>
      <c r="V429" s="3" t="s">
        <v>47</v>
      </c>
      <c r="W429" s="3" t="s">
        <v>47</v>
      </c>
      <c r="AA429" s="3" t="str">
        <f t="shared" si="3"/>
        <v>___</v>
      </c>
      <c r="AB429" s="3" t="str">
        <f t="shared" si="2"/>
        <v>____</v>
      </c>
    </row>
    <row r="430" spans="1:30" ht="12.5">
      <c r="A430" s="3">
        <v>429</v>
      </c>
      <c r="F430" s="3"/>
      <c r="H430" s="3"/>
      <c r="M430" s="3" t="s">
        <v>39</v>
      </c>
      <c r="N430" s="3" t="s">
        <v>47</v>
      </c>
      <c r="O430" s="3" t="s">
        <v>47</v>
      </c>
      <c r="P430" s="3" t="s">
        <v>47</v>
      </c>
      <c r="S430" s="3" t="s">
        <v>47</v>
      </c>
      <c r="T430" s="3" t="s">
        <v>47</v>
      </c>
      <c r="U430" s="3" t="s">
        <v>47</v>
      </c>
      <c r="V430" s="3" t="s">
        <v>47</v>
      </c>
      <c r="W430" s="3" t="s">
        <v>47</v>
      </c>
      <c r="AA430" s="3" t="str">
        <f t="shared" si="3"/>
        <v>___</v>
      </c>
      <c r="AB430" s="3" t="str">
        <f t="shared" si="2"/>
        <v>____</v>
      </c>
    </row>
    <row r="431" spans="1:30" ht="12.5">
      <c r="A431" s="3">
        <v>430</v>
      </c>
      <c r="B431" s="12">
        <v>45490</v>
      </c>
      <c r="C431" s="3">
        <v>1544</v>
      </c>
      <c r="D431" s="3">
        <v>53</v>
      </c>
      <c r="E431" s="3" t="s">
        <v>33</v>
      </c>
      <c r="F431" s="3"/>
      <c r="H431" s="3" t="s">
        <v>40</v>
      </c>
      <c r="I431" s="3">
        <v>3</v>
      </c>
      <c r="J431" s="4">
        <v>45368</v>
      </c>
      <c r="K431" s="4">
        <v>45550</v>
      </c>
      <c r="L431" s="3">
        <v>5</v>
      </c>
      <c r="M431" s="3" t="s">
        <v>36</v>
      </c>
      <c r="N431" s="3">
        <v>36</v>
      </c>
      <c r="O431" s="3">
        <v>8</v>
      </c>
      <c r="P431" s="3">
        <v>8</v>
      </c>
      <c r="S431" s="3">
        <v>0</v>
      </c>
      <c r="T431" s="3">
        <v>2.963E-2</v>
      </c>
      <c r="U431" s="3">
        <v>1.421E-2</v>
      </c>
      <c r="V431" s="3">
        <v>0</v>
      </c>
      <c r="W431" s="3">
        <v>0</v>
      </c>
      <c r="AA431" s="3" t="str">
        <f t="shared" si="3"/>
        <v>1544_53__vm</v>
      </c>
      <c r="AB431" s="3" t="str">
        <f t="shared" si="2"/>
        <v>1544_53__vm_3</v>
      </c>
      <c r="AD431" s="3" t="s">
        <v>37</v>
      </c>
    </row>
    <row r="432" spans="1:30" ht="12.5">
      <c r="A432" s="3">
        <v>431</v>
      </c>
      <c r="F432" s="3"/>
      <c r="H432" s="3"/>
      <c r="M432" s="3" t="s">
        <v>38</v>
      </c>
      <c r="N432" s="3">
        <v>68</v>
      </c>
      <c r="O432" s="3">
        <v>0</v>
      </c>
      <c r="P432" s="3">
        <v>3</v>
      </c>
      <c r="Q432" s="3">
        <v>7</v>
      </c>
      <c r="R432" s="3">
        <v>6</v>
      </c>
      <c r="S432" s="3">
        <v>0</v>
      </c>
      <c r="T432" s="3">
        <v>0</v>
      </c>
      <c r="U432" s="3">
        <v>6.9580000000000003E-2</v>
      </c>
      <c r="V432" s="3">
        <v>0.13166</v>
      </c>
      <c r="W432" s="3">
        <v>0</v>
      </c>
      <c r="X432" s="3"/>
      <c r="Y432" s="3" t="s">
        <v>76</v>
      </c>
      <c r="AA432" s="3" t="str">
        <f t="shared" si="3"/>
        <v>___</v>
      </c>
      <c r="AB432" s="3" t="str">
        <f t="shared" si="2"/>
        <v>____</v>
      </c>
    </row>
    <row r="433" spans="1:30" ht="12.5">
      <c r="A433" s="3">
        <v>432</v>
      </c>
      <c r="F433" s="3"/>
      <c r="H433" s="3"/>
      <c r="M433" s="3" t="s">
        <v>39</v>
      </c>
      <c r="N433" s="3">
        <v>16</v>
      </c>
      <c r="O433" s="3">
        <v>0</v>
      </c>
      <c r="P433" s="3">
        <v>0</v>
      </c>
      <c r="Q433" s="3">
        <v>1</v>
      </c>
      <c r="R433" s="3">
        <v>1</v>
      </c>
      <c r="S433" s="3">
        <v>0</v>
      </c>
      <c r="T433" s="3">
        <v>0</v>
      </c>
      <c r="U433" s="3">
        <v>3.1399999999999997E-2</v>
      </c>
      <c r="V433" s="3">
        <v>5.8689999999999999E-2</v>
      </c>
      <c r="W433" s="3">
        <v>0</v>
      </c>
      <c r="AA433" s="3" t="str">
        <f t="shared" si="3"/>
        <v>___</v>
      </c>
      <c r="AB433" s="3" t="str">
        <f t="shared" si="2"/>
        <v>____</v>
      </c>
    </row>
    <row r="434" spans="1:30" ht="12.5">
      <c r="A434" s="3">
        <v>433</v>
      </c>
      <c r="B434" s="12">
        <v>45490</v>
      </c>
      <c r="C434" s="3">
        <v>1544</v>
      </c>
      <c r="D434" s="3">
        <v>53</v>
      </c>
      <c r="E434" s="3" t="s">
        <v>33</v>
      </c>
      <c r="F434" s="3"/>
      <c r="H434" s="3" t="s">
        <v>35</v>
      </c>
      <c r="I434" s="3">
        <v>1</v>
      </c>
      <c r="J434" s="4">
        <v>45304</v>
      </c>
      <c r="K434" s="4">
        <v>45546</v>
      </c>
      <c r="L434" s="3">
        <v>3</v>
      </c>
      <c r="M434" s="3" t="s">
        <v>36</v>
      </c>
      <c r="N434" s="3">
        <v>23</v>
      </c>
      <c r="O434" s="3">
        <v>11</v>
      </c>
      <c r="P434" s="3">
        <v>11</v>
      </c>
      <c r="S434" s="3">
        <v>0</v>
      </c>
      <c r="T434" s="3">
        <v>8.6190000000000003E-2</v>
      </c>
      <c r="U434" s="3">
        <v>6.6899999999999998E-3</v>
      </c>
      <c r="V434" s="3">
        <v>0</v>
      </c>
      <c r="W434" s="3">
        <v>0</v>
      </c>
      <c r="AA434" s="3" t="str">
        <f t="shared" si="3"/>
        <v>1544_53__vv</v>
      </c>
      <c r="AB434" s="3" t="str">
        <f t="shared" si="2"/>
        <v>1544_53__vv_1</v>
      </c>
      <c r="AD434" s="3" t="s">
        <v>37</v>
      </c>
    </row>
    <row r="435" spans="1:30" ht="12.5">
      <c r="A435" s="3">
        <v>434</v>
      </c>
      <c r="F435" s="3"/>
      <c r="H435" s="3"/>
      <c r="M435" s="3" t="s">
        <v>38</v>
      </c>
      <c r="N435" s="3">
        <v>64</v>
      </c>
      <c r="O435" s="3">
        <v>11</v>
      </c>
      <c r="P435" s="3">
        <v>16</v>
      </c>
      <c r="S435" s="3">
        <v>0</v>
      </c>
      <c r="T435" s="3">
        <v>0.20629</v>
      </c>
      <c r="U435" s="3">
        <v>5.7840000000000003E-2</v>
      </c>
      <c r="V435" s="3">
        <v>0</v>
      </c>
      <c r="W435" s="3">
        <v>0</v>
      </c>
      <c r="AA435" s="3" t="str">
        <f t="shared" si="3"/>
        <v>___</v>
      </c>
      <c r="AB435" s="3" t="str">
        <f t="shared" si="2"/>
        <v>____</v>
      </c>
    </row>
    <row r="436" spans="1:30" ht="12.5">
      <c r="A436" s="3">
        <v>435</v>
      </c>
      <c r="F436" s="3"/>
      <c r="H436" s="3"/>
      <c r="M436" s="3" t="s">
        <v>39</v>
      </c>
      <c r="N436" s="3">
        <v>32</v>
      </c>
      <c r="O436" s="3">
        <v>0</v>
      </c>
      <c r="P436" s="3">
        <v>10</v>
      </c>
      <c r="S436" s="3">
        <v>0</v>
      </c>
      <c r="T436" s="3">
        <v>0</v>
      </c>
      <c r="U436" s="3">
        <v>2.3779999999999999E-2</v>
      </c>
      <c r="V436" s="3">
        <v>0</v>
      </c>
      <c r="W436" s="3">
        <v>0</v>
      </c>
      <c r="AA436" s="3" t="str">
        <f t="shared" si="3"/>
        <v>___</v>
      </c>
      <c r="AB436" s="3" t="str">
        <f t="shared" si="2"/>
        <v>____</v>
      </c>
    </row>
    <row r="437" spans="1:30" ht="12.5">
      <c r="A437" s="3">
        <v>436</v>
      </c>
      <c r="B437" s="12">
        <v>45490</v>
      </c>
      <c r="C437" s="3">
        <v>1544</v>
      </c>
      <c r="D437" s="3">
        <v>53</v>
      </c>
      <c r="E437" s="3" t="s">
        <v>33</v>
      </c>
      <c r="F437" s="3"/>
      <c r="H437" s="3" t="s">
        <v>35</v>
      </c>
      <c r="I437" s="3">
        <v>2</v>
      </c>
      <c r="J437" s="4">
        <v>45456</v>
      </c>
      <c r="K437" s="4">
        <v>45422</v>
      </c>
      <c r="L437" s="3">
        <v>3</v>
      </c>
      <c r="M437" s="3" t="s">
        <v>36</v>
      </c>
      <c r="N437" s="3">
        <v>34</v>
      </c>
      <c r="O437" s="3">
        <v>11</v>
      </c>
      <c r="P437" s="3">
        <v>13</v>
      </c>
      <c r="S437" s="3">
        <v>0</v>
      </c>
      <c r="T437" s="3">
        <v>0.13657</v>
      </c>
      <c r="U437" s="3">
        <v>1.189E-2</v>
      </c>
      <c r="V437" s="3">
        <v>0</v>
      </c>
      <c r="W437" s="3">
        <v>0</v>
      </c>
      <c r="AA437" s="3" t="str">
        <f t="shared" si="3"/>
        <v>1544_53__vv</v>
      </c>
      <c r="AB437" s="3" t="str">
        <f t="shared" si="2"/>
        <v>1544_53__vv_2</v>
      </c>
      <c r="AD437" s="3" t="s">
        <v>37</v>
      </c>
    </row>
    <row r="438" spans="1:30" ht="12.5">
      <c r="A438" s="3">
        <v>437</v>
      </c>
      <c r="F438" s="3"/>
      <c r="H438" s="3"/>
      <c r="M438" s="3" t="s">
        <v>38</v>
      </c>
      <c r="N438" s="3">
        <v>39</v>
      </c>
      <c r="O438" s="3">
        <v>7</v>
      </c>
      <c r="P438" s="3">
        <v>12</v>
      </c>
      <c r="S438" s="3">
        <v>0</v>
      </c>
      <c r="T438" s="3">
        <v>4.6089999999999999E-2</v>
      </c>
      <c r="U438" s="3">
        <v>2.2669999999999999E-2</v>
      </c>
      <c r="V438" s="3">
        <v>0</v>
      </c>
      <c r="W438" s="3">
        <v>0</v>
      </c>
      <c r="AA438" s="3" t="str">
        <f t="shared" si="3"/>
        <v>___</v>
      </c>
      <c r="AB438" s="3" t="str">
        <f t="shared" si="2"/>
        <v>____</v>
      </c>
    </row>
    <row r="439" spans="1:30" ht="12.5">
      <c r="A439" s="3">
        <v>438</v>
      </c>
      <c r="F439" s="3"/>
      <c r="H439" s="3"/>
      <c r="M439" s="3" t="s">
        <v>39</v>
      </c>
      <c r="N439" s="3">
        <v>45</v>
      </c>
      <c r="O439" s="3">
        <v>0</v>
      </c>
      <c r="P439" s="3">
        <v>6</v>
      </c>
      <c r="Q439" s="3">
        <v>1</v>
      </c>
      <c r="R439" s="3">
        <v>1</v>
      </c>
      <c r="S439" s="3">
        <v>0</v>
      </c>
      <c r="T439" s="3">
        <v>0</v>
      </c>
      <c r="U439" s="3">
        <v>3.8359999999999998E-2</v>
      </c>
      <c r="V439" s="3">
        <v>0</v>
      </c>
      <c r="W439" s="3">
        <v>0</v>
      </c>
      <c r="AA439" s="3" t="str">
        <f t="shared" si="3"/>
        <v>___</v>
      </c>
      <c r="AB439" s="3" t="str">
        <f t="shared" si="2"/>
        <v>____</v>
      </c>
    </row>
    <row r="440" spans="1:30" ht="12.5">
      <c r="A440" s="3">
        <v>439</v>
      </c>
      <c r="B440" s="12">
        <v>45490</v>
      </c>
      <c r="C440" s="3">
        <v>1544</v>
      </c>
      <c r="D440" s="3">
        <v>53</v>
      </c>
      <c r="E440" s="3" t="s">
        <v>33</v>
      </c>
      <c r="F440" s="3"/>
      <c r="H440" s="3" t="s">
        <v>35</v>
      </c>
      <c r="I440" s="3">
        <v>3</v>
      </c>
      <c r="J440" s="3">
        <v>23</v>
      </c>
      <c r="K440" s="4">
        <v>45370</v>
      </c>
      <c r="L440" s="3">
        <v>4</v>
      </c>
      <c r="M440" s="3" t="s">
        <v>36</v>
      </c>
      <c r="N440" s="3">
        <v>49</v>
      </c>
      <c r="O440" s="3">
        <v>13</v>
      </c>
      <c r="P440" s="3">
        <v>15</v>
      </c>
      <c r="S440" s="3">
        <v>0</v>
      </c>
      <c r="T440" s="3">
        <v>0.28710999999999998</v>
      </c>
      <c r="U440" s="3">
        <v>2.349E-2</v>
      </c>
      <c r="V440" s="3">
        <v>0</v>
      </c>
      <c r="W440" s="3">
        <v>0</v>
      </c>
      <c r="AA440" s="3" t="str">
        <f t="shared" si="3"/>
        <v>1544_53__vv</v>
      </c>
      <c r="AB440" s="3" t="str">
        <f t="shared" si="2"/>
        <v>1544_53__vv_3</v>
      </c>
      <c r="AD440" s="3" t="s">
        <v>37</v>
      </c>
    </row>
    <row r="441" spans="1:30" ht="12.5">
      <c r="A441" s="3">
        <v>440</v>
      </c>
      <c r="F441" s="3"/>
      <c r="H441" s="3"/>
      <c r="M441" s="3" t="s">
        <v>38</v>
      </c>
      <c r="N441" s="3">
        <v>43</v>
      </c>
      <c r="O441" s="3">
        <v>0</v>
      </c>
      <c r="P441" s="3">
        <v>9</v>
      </c>
      <c r="S441" s="3">
        <v>0</v>
      </c>
      <c r="T441" s="3">
        <v>0</v>
      </c>
      <c r="U441" s="3">
        <v>0.44419999999999998</v>
      </c>
      <c r="V441" s="3">
        <v>0</v>
      </c>
      <c r="W441" s="3">
        <v>0</v>
      </c>
      <c r="AA441" s="3" t="str">
        <f t="shared" si="3"/>
        <v>___</v>
      </c>
      <c r="AB441" s="3" t="str">
        <f t="shared" si="2"/>
        <v>____</v>
      </c>
    </row>
    <row r="442" spans="1:30" ht="12.5">
      <c r="A442" s="3">
        <v>441</v>
      </c>
      <c r="F442" s="3"/>
      <c r="H442" s="3"/>
      <c r="M442" s="3" t="s">
        <v>39</v>
      </c>
      <c r="N442" s="3">
        <v>71</v>
      </c>
      <c r="O442" s="3">
        <v>11</v>
      </c>
      <c r="P442" s="3">
        <v>17</v>
      </c>
      <c r="S442" s="3">
        <v>0</v>
      </c>
      <c r="T442" s="3">
        <v>0.23075000000000001</v>
      </c>
      <c r="U442" s="3">
        <v>6.3689999999999997E-2</v>
      </c>
      <c r="V442" s="3">
        <v>0</v>
      </c>
      <c r="W442" s="3">
        <v>0</v>
      </c>
      <c r="AA442" s="3" t="str">
        <f t="shared" si="3"/>
        <v>___</v>
      </c>
      <c r="AB442" s="3" t="str">
        <f t="shared" si="2"/>
        <v>____</v>
      </c>
    </row>
    <row r="443" spans="1:30" ht="12.5">
      <c r="A443" s="3">
        <v>442</v>
      </c>
      <c r="B443" s="12">
        <v>45488</v>
      </c>
      <c r="C443" s="6">
        <v>833</v>
      </c>
      <c r="D443" s="6">
        <v>24</v>
      </c>
      <c r="F443" s="3"/>
      <c r="H443" s="3" t="s">
        <v>40</v>
      </c>
      <c r="I443" s="3">
        <v>1</v>
      </c>
      <c r="J443" s="4">
        <v>45421</v>
      </c>
      <c r="K443" s="4">
        <v>45361</v>
      </c>
      <c r="L443" s="3">
        <v>4</v>
      </c>
      <c r="M443" s="3" t="s">
        <v>36</v>
      </c>
      <c r="N443" s="3">
        <v>32</v>
      </c>
      <c r="O443" s="3">
        <v>6</v>
      </c>
      <c r="P443" s="3">
        <v>6</v>
      </c>
      <c r="S443" s="3">
        <v>0</v>
      </c>
      <c r="T443" s="3">
        <v>2.4039999999999999E-2</v>
      </c>
      <c r="U443" s="3">
        <v>1.2359999999999999E-2</v>
      </c>
      <c r="V443" s="3">
        <v>0</v>
      </c>
      <c r="W443" s="3">
        <v>0</v>
      </c>
      <c r="AA443" s="3" t="str">
        <f t="shared" si="3"/>
        <v>833_24__vm</v>
      </c>
      <c r="AB443" s="3" t="str">
        <f t="shared" si="2"/>
        <v>833_24__vm_1</v>
      </c>
      <c r="AD443" s="3" t="s">
        <v>37</v>
      </c>
    </row>
    <row r="444" spans="1:30" ht="12.5">
      <c r="A444" s="3">
        <v>443</v>
      </c>
      <c r="F444" s="3"/>
      <c r="H444" s="3"/>
      <c r="M444" s="3" t="s">
        <v>38</v>
      </c>
      <c r="N444" s="3">
        <v>31</v>
      </c>
      <c r="O444" s="3">
        <v>0</v>
      </c>
      <c r="P444" s="3">
        <v>3</v>
      </c>
      <c r="Q444" s="3">
        <v>2</v>
      </c>
      <c r="R444" s="3">
        <v>2</v>
      </c>
      <c r="S444" s="3">
        <v>0</v>
      </c>
      <c r="T444" s="3">
        <v>0</v>
      </c>
      <c r="U444" s="3">
        <v>1.95E-2</v>
      </c>
      <c r="V444" s="3">
        <v>1.9599999999999999E-2</v>
      </c>
      <c r="W444" s="3">
        <v>0</v>
      </c>
      <c r="AA444" s="3" t="str">
        <f t="shared" si="3"/>
        <v>___</v>
      </c>
      <c r="AB444" s="3" t="str">
        <f t="shared" si="2"/>
        <v>____</v>
      </c>
    </row>
    <row r="445" spans="1:30" ht="12.5">
      <c r="A445" s="3">
        <v>444</v>
      </c>
      <c r="F445" s="3"/>
      <c r="H445" s="3"/>
      <c r="M445" s="3" t="s">
        <v>39</v>
      </c>
      <c r="N445" s="3">
        <v>27</v>
      </c>
      <c r="O445" s="3">
        <v>0</v>
      </c>
      <c r="P445" s="3">
        <v>3</v>
      </c>
      <c r="Q445" s="3">
        <v>2</v>
      </c>
      <c r="R445" s="3">
        <v>2</v>
      </c>
      <c r="S445" s="3">
        <v>0</v>
      </c>
      <c r="T445" s="3">
        <v>0</v>
      </c>
      <c r="U445" s="3">
        <v>2.1409999999999998E-2</v>
      </c>
      <c r="V445" s="3">
        <v>6.9699999999999998E-2</v>
      </c>
      <c r="W445" s="3">
        <v>0</v>
      </c>
      <c r="AA445" s="3" t="str">
        <f t="shared" si="3"/>
        <v>___</v>
      </c>
      <c r="AB445" s="3" t="str">
        <f t="shared" si="2"/>
        <v>____</v>
      </c>
    </row>
    <row r="446" spans="1:30" ht="12.5">
      <c r="A446" s="3">
        <v>445</v>
      </c>
      <c r="B446" s="12">
        <v>45488</v>
      </c>
      <c r="C446" s="3">
        <v>833</v>
      </c>
      <c r="D446" s="3">
        <v>24</v>
      </c>
      <c r="F446" s="3"/>
      <c r="H446" s="3" t="s">
        <v>40</v>
      </c>
      <c r="I446" s="3">
        <v>2</v>
      </c>
      <c r="J446" s="3">
        <v>12</v>
      </c>
      <c r="K446" s="4">
        <v>45392</v>
      </c>
      <c r="L446" s="3">
        <v>3</v>
      </c>
      <c r="M446" s="3" t="s">
        <v>36</v>
      </c>
      <c r="N446" s="3">
        <v>19</v>
      </c>
      <c r="O446" s="3">
        <v>5</v>
      </c>
      <c r="P446" s="3">
        <v>5</v>
      </c>
      <c r="S446" s="3">
        <v>0</v>
      </c>
      <c r="T446" s="3">
        <v>7.8899999999999994E-3</v>
      </c>
      <c r="U446" s="3">
        <v>4.5199999999999997E-3</v>
      </c>
      <c r="V446" s="3">
        <v>0</v>
      </c>
      <c r="W446" s="3">
        <v>0</v>
      </c>
      <c r="AA446" s="3" t="str">
        <f t="shared" si="3"/>
        <v>833_24__vm</v>
      </c>
      <c r="AB446" s="3" t="str">
        <f t="shared" si="2"/>
        <v>833_24__vm_2</v>
      </c>
      <c r="AD446" s="3" t="s">
        <v>37</v>
      </c>
    </row>
    <row r="447" spans="1:30" ht="12.5">
      <c r="A447" s="3">
        <v>446</v>
      </c>
      <c r="F447" s="3"/>
      <c r="H447" s="3"/>
      <c r="M447" s="3" t="s">
        <v>38</v>
      </c>
      <c r="N447" s="3">
        <v>24</v>
      </c>
      <c r="O447" s="3">
        <v>0</v>
      </c>
      <c r="P447" s="3">
        <v>2</v>
      </c>
      <c r="Q447" s="3">
        <v>3</v>
      </c>
      <c r="R447" s="3">
        <v>3</v>
      </c>
      <c r="S447" s="3">
        <v>0</v>
      </c>
      <c r="T447" s="3">
        <v>0</v>
      </c>
      <c r="U447" s="3">
        <v>1.329E-2</v>
      </c>
      <c r="V447" s="3">
        <v>1.4239999999999999E-2</v>
      </c>
      <c r="W447" s="3">
        <v>0</v>
      </c>
      <c r="AA447" s="3" t="str">
        <f t="shared" si="3"/>
        <v>___</v>
      </c>
      <c r="AB447" s="3" t="str">
        <f t="shared" si="2"/>
        <v>____</v>
      </c>
    </row>
    <row r="448" spans="1:30" ht="12.5">
      <c r="A448" s="3">
        <v>447</v>
      </c>
      <c r="F448" s="3"/>
      <c r="H448" s="3"/>
      <c r="M448" s="3" t="s">
        <v>39</v>
      </c>
      <c r="N448" s="3">
        <v>66</v>
      </c>
      <c r="O448" s="3">
        <v>0</v>
      </c>
      <c r="P448" s="3">
        <v>5</v>
      </c>
      <c r="Q448" s="3">
        <v>2</v>
      </c>
      <c r="R448" s="3">
        <v>2</v>
      </c>
      <c r="S448" s="3">
        <v>0</v>
      </c>
      <c r="T448" s="3">
        <v>0</v>
      </c>
      <c r="U448" s="3">
        <v>5.9839999999999997E-2</v>
      </c>
      <c r="V448" s="3">
        <v>5.1139999999999998E-2</v>
      </c>
      <c r="W448" s="3">
        <v>0</v>
      </c>
      <c r="AA448" s="3" t="str">
        <f t="shared" si="3"/>
        <v>___</v>
      </c>
      <c r="AB448" s="3" t="str">
        <f t="shared" si="2"/>
        <v>____</v>
      </c>
    </row>
    <row r="449" spans="1:30" ht="12.5">
      <c r="A449" s="3">
        <v>448</v>
      </c>
      <c r="B449" s="12">
        <v>45488</v>
      </c>
      <c r="C449" s="3">
        <v>833</v>
      </c>
      <c r="D449" s="3">
        <v>24</v>
      </c>
      <c r="F449" s="3"/>
      <c r="H449" s="3" t="s">
        <v>40</v>
      </c>
      <c r="I449" s="3">
        <v>3</v>
      </c>
      <c r="J449" s="4">
        <v>45544</v>
      </c>
      <c r="K449" s="4">
        <v>45360</v>
      </c>
      <c r="L449" s="3">
        <v>4</v>
      </c>
      <c r="M449" s="3" t="s">
        <v>36</v>
      </c>
      <c r="N449" s="3">
        <v>23</v>
      </c>
      <c r="O449" s="3">
        <v>5</v>
      </c>
      <c r="P449" s="3">
        <v>5</v>
      </c>
      <c r="S449" s="3">
        <v>0</v>
      </c>
      <c r="T449" s="3">
        <v>1.9769999999999999E-2</v>
      </c>
      <c r="U449" s="3">
        <v>8.7600000000000004E-3</v>
      </c>
      <c r="V449" s="3">
        <v>0</v>
      </c>
      <c r="W449" s="3">
        <v>0</v>
      </c>
      <c r="AA449" s="3" t="str">
        <f t="shared" si="3"/>
        <v>833_24__vm</v>
      </c>
      <c r="AB449" s="3" t="str">
        <f t="shared" si="2"/>
        <v>833_24__vm_3</v>
      </c>
      <c r="AD449" s="3" t="s">
        <v>37</v>
      </c>
    </row>
    <row r="450" spans="1:30" ht="12.5">
      <c r="A450" s="3">
        <v>449</v>
      </c>
      <c r="F450" s="3"/>
      <c r="H450" s="3"/>
      <c r="M450" s="3" t="s">
        <v>38</v>
      </c>
      <c r="N450" s="3">
        <v>20</v>
      </c>
      <c r="O450" s="3">
        <v>0</v>
      </c>
      <c r="P450" s="3">
        <v>3</v>
      </c>
      <c r="Q450" s="3">
        <v>1</v>
      </c>
      <c r="R450" s="3">
        <v>1</v>
      </c>
      <c r="S450" s="3">
        <v>0</v>
      </c>
      <c r="T450" s="3">
        <v>0</v>
      </c>
      <c r="U450" s="3">
        <v>1.0800000000000001E-2</v>
      </c>
      <c r="V450" s="3">
        <v>1.491E-2</v>
      </c>
      <c r="W450" s="3">
        <v>0</v>
      </c>
      <c r="AA450" s="3" t="str">
        <f t="shared" si="3"/>
        <v>___</v>
      </c>
      <c r="AB450" s="3" t="str">
        <f t="shared" si="2"/>
        <v>____</v>
      </c>
    </row>
    <row r="451" spans="1:30" ht="12.5">
      <c r="A451" s="3">
        <v>450</v>
      </c>
      <c r="F451" s="3"/>
      <c r="H451" s="3"/>
      <c r="M451" s="3" t="s">
        <v>39</v>
      </c>
      <c r="N451" s="3">
        <v>48</v>
      </c>
      <c r="O451" s="3">
        <v>0</v>
      </c>
      <c r="P451" s="3">
        <v>5</v>
      </c>
      <c r="Q451" s="3">
        <v>4</v>
      </c>
      <c r="R451" s="3">
        <v>4</v>
      </c>
      <c r="S451" s="3">
        <v>0</v>
      </c>
      <c r="T451" s="3">
        <v>0</v>
      </c>
      <c r="U451" s="3">
        <v>0.1017</v>
      </c>
      <c r="V451" s="3">
        <v>0.40648000000000001</v>
      </c>
      <c r="W451" s="3">
        <v>0</v>
      </c>
      <c r="AA451" s="3" t="str">
        <f t="shared" si="3"/>
        <v>___</v>
      </c>
      <c r="AB451" s="3" t="str">
        <f t="shared" si="2"/>
        <v>____</v>
      </c>
    </row>
    <row r="452" spans="1:30" ht="12.5">
      <c r="A452" s="3">
        <v>451</v>
      </c>
      <c r="B452" s="12">
        <v>45488</v>
      </c>
      <c r="C452" s="3">
        <v>833</v>
      </c>
      <c r="D452" s="3">
        <v>24</v>
      </c>
      <c r="F452" s="3"/>
      <c r="H452" s="3" t="s">
        <v>35</v>
      </c>
      <c r="I452" s="3">
        <v>1</v>
      </c>
      <c r="J452" s="4">
        <v>45336</v>
      </c>
      <c r="K452" s="3">
        <v>11</v>
      </c>
      <c r="L452" s="3">
        <v>4</v>
      </c>
      <c r="M452" s="3" t="s">
        <v>36</v>
      </c>
      <c r="N452" s="3">
        <v>33</v>
      </c>
      <c r="O452" s="3">
        <v>10</v>
      </c>
      <c r="P452" s="3">
        <v>12</v>
      </c>
      <c r="S452" s="3">
        <v>0</v>
      </c>
      <c r="T452" s="3">
        <v>6.9669999999999996E-2</v>
      </c>
      <c r="U452" s="3">
        <v>9.7999999999999997E-3</v>
      </c>
      <c r="V452" s="3">
        <v>0</v>
      </c>
      <c r="W452" s="3">
        <v>0</v>
      </c>
      <c r="AA452" s="3" t="str">
        <f t="shared" si="3"/>
        <v>833_24__vv</v>
      </c>
      <c r="AB452" s="3" t="str">
        <f t="shared" si="2"/>
        <v>833_24__vv_1</v>
      </c>
      <c r="AD452" s="3" t="s">
        <v>37</v>
      </c>
    </row>
    <row r="453" spans="1:30" ht="12.5">
      <c r="A453" s="3">
        <v>452</v>
      </c>
      <c r="F453" s="3"/>
      <c r="H453" s="3"/>
      <c r="M453" s="3" t="s">
        <v>38</v>
      </c>
      <c r="N453" s="3">
        <v>38</v>
      </c>
      <c r="O453" s="3">
        <v>5</v>
      </c>
      <c r="P453" s="3">
        <v>9</v>
      </c>
      <c r="S453" s="3">
        <v>0</v>
      </c>
      <c r="T453" s="3">
        <v>1.6660000000000001E-2</v>
      </c>
      <c r="U453" s="3">
        <v>1.4449999999999999E-2</v>
      </c>
      <c r="V453" s="3">
        <v>0</v>
      </c>
      <c r="W453" s="3">
        <v>0</v>
      </c>
      <c r="AA453" s="3" t="str">
        <f t="shared" si="3"/>
        <v>___</v>
      </c>
      <c r="AB453" s="3" t="str">
        <f t="shared" si="2"/>
        <v>____</v>
      </c>
    </row>
    <row r="454" spans="1:30" ht="12.5">
      <c r="A454" s="3">
        <v>453</v>
      </c>
      <c r="F454" s="3"/>
      <c r="H454" s="3"/>
      <c r="M454" s="3" t="s">
        <v>39</v>
      </c>
      <c r="N454" s="3">
        <v>29</v>
      </c>
      <c r="O454" s="3">
        <v>0</v>
      </c>
      <c r="P454" s="3">
        <v>3</v>
      </c>
      <c r="Q454" s="3">
        <v>5</v>
      </c>
      <c r="R454" s="3">
        <v>5</v>
      </c>
      <c r="S454" s="3">
        <v>0</v>
      </c>
      <c r="T454" s="3">
        <v>0</v>
      </c>
      <c r="U454" s="3">
        <v>1.538E-2</v>
      </c>
      <c r="V454" s="3">
        <v>0</v>
      </c>
      <c r="W454" s="3">
        <v>0</v>
      </c>
      <c r="AA454" s="3" t="str">
        <f t="shared" si="3"/>
        <v>___</v>
      </c>
      <c r="AB454" s="3" t="str">
        <f t="shared" si="2"/>
        <v>____</v>
      </c>
    </row>
    <row r="455" spans="1:30" ht="12.5">
      <c r="A455" s="3">
        <v>454</v>
      </c>
      <c r="B455" s="12">
        <v>45488</v>
      </c>
      <c r="C455" s="3">
        <v>833</v>
      </c>
      <c r="D455" s="3">
        <v>24</v>
      </c>
      <c r="F455" s="3"/>
      <c r="H455" s="3" t="s">
        <v>35</v>
      </c>
      <c r="I455" s="3">
        <v>2</v>
      </c>
      <c r="J455" s="4">
        <v>45421</v>
      </c>
      <c r="K455" s="4">
        <v>45547</v>
      </c>
      <c r="L455" s="3">
        <v>4</v>
      </c>
      <c r="M455" s="3" t="s">
        <v>36</v>
      </c>
      <c r="N455" s="3">
        <v>35</v>
      </c>
      <c r="O455" s="3">
        <v>11</v>
      </c>
      <c r="P455" s="3">
        <v>13</v>
      </c>
      <c r="S455" s="3">
        <v>0</v>
      </c>
      <c r="T455" s="3">
        <v>5.491E-2</v>
      </c>
      <c r="U455" s="3">
        <v>9.41E-3</v>
      </c>
      <c r="V455" s="3">
        <v>0</v>
      </c>
      <c r="W455" s="3">
        <v>0</v>
      </c>
      <c r="AA455" s="3" t="str">
        <f t="shared" si="3"/>
        <v>833_24__vv</v>
      </c>
      <c r="AB455" s="3" t="str">
        <f t="shared" si="2"/>
        <v>833_24__vv_2</v>
      </c>
      <c r="AD455" s="3" t="s">
        <v>37</v>
      </c>
    </row>
    <row r="456" spans="1:30" ht="12.5">
      <c r="A456" s="3">
        <v>455</v>
      </c>
      <c r="F456" s="3"/>
      <c r="H456" s="3"/>
      <c r="M456" s="3" t="s">
        <v>38</v>
      </c>
      <c r="N456" s="3">
        <v>32</v>
      </c>
      <c r="O456" s="3">
        <v>7</v>
      </c>
      <c r="P456" s="3">
        <v>11</v>
      </c>
      <c r="Q456" s="3">
        <v>1</v>
      </c>
      <c r="R456" s="3">
        <v>1</v>
      </c>
      <c r="S456" s="3">
        <v>0</v>
      </c>
      <c r="T456" s="3">
        <v>5.7950000000000002E-2</v>
      </c>
      <c r="U456" s="3">
        <v>1.8880000000000001E-2</v>
      </c>
      <c r="V456" s="3">
        <v>1.8540000000000001E-2</v>
      </c>
      <c r="W456" s="3">
        <v>0</v>
      </c>
      <c r="AA456" s="3" t="str">
        <f t="shared" si="3"/>
        <v>___</v>
      </c>
      <c r="AB456" s="3" t="str">
        <f t="shared" si="2"/>
        <v>____</v>
      </c>
    </row>
    <row r="457" spans="1:30" ht="12.5">
      <c r="A457" s="3">
        <v>456</v>
      </c>
      <c r="F457" s="3"/>
      <c r="H457" s="3"/>
      <c r="M457" s="3" t="s">
        <v>39</v>
      </c>
      <c r="N457" s="3">
        <v>30</v>
      </c>
      <c r="O457" s="3">
        <v>0</v>
      </c>
      <c r="P457" s="3">
        <v>9</v>
      </c>
      <c r="S457" s="3">
        <v>0</v>
      </c>
      <c r="T457" s="3">
        <v>0</v>
      </c>
      <c r="U457" s="3">
        <v>1.538E-2</v>
      </c>
      <c r="V457" s="3">
        <v>0</v>
      </c>
      <c r="W457" s="3">
        <v>0</v>
      </c>
      <c r="AA457" s="3" t="str">
        <f t="shared" si="3"/>
        <v>___</v>
      </c>
      <c r="AB457" s="3" t="str">
        <f t="shared" si="2"/>
        <v>____</v>
      </c>
    </row>
    <row r="458" spans="1:30" ht="12.5">
      <c r="A458" s="3">
        <v>457</v>
      </c>
      <c r="B458" s="12">
        <v>45488</v>
      </c>
      <c r="C458" s="3">
        <v>833</v>
      </c>
      <c r="D458" s="3">
        <v>24</v>
      </c>
      <c r="F458" s="3"/>
      <c r="H458" s="3" t="s">
        <v>35</v>
      </c>
      <c r="I458" s="3">
        <v>3</v>
      </c>
      <c r="J458" s="4">
        <v>45518</v>
      </c>
      <c r="K458" s="4">
        <v>45485</v>
      </c>
      <c r="L458" s="3">
        <v>3</v>
      </c>
      <c r="M458" s="3" t="s">
        <v>36</v>
      </c>
      <c r="N458" s="3">
        <v>45</v>
      </c>
      <c r="O458" s="3">
        <v>13</v>
      </c>
      <c r="P458" s="3">
        <v>16</v>
      </c>
      <c r="S458" s="3">
        <v>0</v>
      </c>
      <c r="T458" s="3">
        <v>0.13124</v>
      </c>
      <c r="U458" s="3">
        <v>2.085E-2</v>
      </c>
      <c r="V458" s="3">
        <v>0</v>
      </c>
      <c r="W458" s="3">
        <v>0</v>
      </c>
      <c r="AA458" s="3" t="str">
        <f t="shared" si="3"/>
        <v>833_24__vv</v>
      </c>
      <c r="AB458" s="3" t="str">
        <f t="shared" si="2"/>
        <v>833_24__vv_3</v>
      </c>
      <c r="AD458" s="3" t="s">
        <v>37</v>
      </c>
    </row>
    <row r="459" spans="1:30" ht="12.5">
      <c r="A459" s="3">
        <v>458</v>
      </c>
      <c r="F459" s="3"/>
      <c r="H459" s="3"/>
      <c r="M459" s="3" t="s">
        <v>38</v>
      </c>
      <c r="N459" s="3">
        <v>71</v>
      </c>
      <c r="O459" s="3">
        <v>9</v>
      </c>
      <c r="P459" s="3">
        <v>14</v>
      </c>
      <c r="Q459" s="3">
        <v>1</v>
      </c>
      <c r="R459" s="3">
        <v>1</v>
      </c>
      <c r="S459" s="3">
        <v>0</v>
      </c>
      <c r="T459" s="3">
        <v>0.11304</v>
      </c>
      <c r="U459" s="3">
        <v>5.0139999999999997E-2</v>
      </c>
      <c r="V459" s="3">
        <v>1.8960000000000001E-2</v>
      </c>
      <c r="W459" s="3">
        <v>0</v>
      </c>
      <c r="AA459" s="3" t="str">
        <f t="shared" si="3"/>
        <v>___</v>
      </c>
      <c r="AB459" s="3" t="str">
        <f t="shared" si="2"/>
        <v>____</v>
      </c>
    </row>
    <row r="460" spans="1:30" ht="12.5">
      <c r="A460" s="3">
        <v>459</v>
      </c>
      <c r="F460" s="3"/>
      <c r="H460" s="3"/>
      <c r="M460" s="3" t="s">
        <v>39</v>
      </c>
      <c r="N460" s="3">
        <v>34</v>
      </c>
      <c r="O460" s="3">
        <v>0</v>
      </c>
      <c r="P460" s="3">
        <v>6</v>
      </c>
      <c r="Q460" s="3">
        <v>1</v>
      </c>
      <c r="R460" s="3">
        <v>1</v>
      </c>
      <c r="S460" s="3">
        <v>0</v>
      </c>
      <c r="T460" s="3">
        <v>0</v>
      </c>
      <c r="U460" s="3">
        <v>2.478E-2</v>
      </c>
      <c r="V460" s="3">
        <v>0.14679</v>
      </c>
      <c r="W460" s="3">
        <v>0</v>
      </c>
      <c r="AA460" s="3" t="str">
        <f t="shared" si="3"/>
        <v>___</v>
      </c>
      <c r="AB460" s="3" t="str">
        <f t="shared" si="2"/>
        <v>____</v>
      </c>
    </row>
    <row r="461" spans="1:30" ht="12.5">
      <c r="A461" s="3">
        <v>460</v>
      </c>
      <c r="B461" s="12">
        <v>45488</v>
      </c>
      <c r="C461" s="6">
        <v>833</v>
      </c>
      <c r="D461" s="6">
        <v>35</v>
      </c>
      <c r="F461" s="3"/>
      <c r="H461" s="3" t="s">
        <v>35</v>
      </c>
      <c r="I461" s="3">
        <v>1</v>
      </c>
      <c r="J461" s="4">
        <v>45296</v>
      </c>
      <c r="K461" s="4">
        <v>45387</v>
      </c>
      <c r="L461" s="3">
        <v>4</v>
      </c>
      <c r="M461" s="3" t="s">
        <v>36</v>
      </c>
      <c r="N461" s="3">
        <v>14</v>
      </c>
      <c r="O461" s="3">
        <v>11</v>
      </c>
      <c r="P461" s="3">
        <v>11</v>
      </c>
      <c r="S461" s="3">
        <v>0</v>
      </c>
      <c r="T461" s="3">
        <v>6.5339999999999995E-2</v>
      </c>
      <c r="U461" s="3">
        <v>4.2700000000000004E-3</v>
      </c>
      <c r="V461" s="3">
        <v>0</v>
      </c>
      <c r="W461" s="3">
        <v>0</v>
      </c>
      <c r="AA461" s="3" t="str">
        <f t="shared" si="3"/>
        <v>833_35__vv</v>
      </c>
      <c r="AB461" s="3" t="str">
        <f t="shared" si="2"/>
        <v>833_35__vv_1</v>
      </c>
      <c r="AD461" s="3" t="s">
        <v>37</v>
      </c>
    </row>
    <row r="462" spans="1:30" ht="12.5">
      <c r="A462" s="3">
        <v>461</v>
      </c>
      <c r="F462" s="3"/>
      <c r="H462" s="3"/>
      <c r="M462" s="3" t="s">
        <v>38</v>
      </c>
      <c r="N462" s="3">
        <v>21</v>
      </c>
      <c r="O462" s="3">
        <v>6</v>
      </c>
      <c r="P462" s="3">
        <v>10</v>
      </c>
      <c r="S462" s="3">
        <v>0</v>
      </c>
      <c r="T462" s="3">
        <v>5.3409999999999999E-2</v>
      </c>
      <c r="U462" s="3">
        <v>1.235E-2</v>
      </c>
      <c r="V462" s="3">
        <v>0</v>
      </c>
      <c r="W462" s="3">
        <v>0</v>
      </c>
      <c r="AA462" s="3" t="str">
        <f t="shared" si="3"/>
        <v>___</v>
      </c>
      <c r="AB462" s="3" t="str">
        <f t="shared" si="2"/>
        <v>____</v>
      </c>
    </row>
    <row r="463" spans="1:30" ht="12.5">
      <c r="A463" s="3">
        <v>462</v>
      </c>
      <c r="F463" s="3"/>
      <c r="H463" s="3"/>
      <c r="M463" s="3" t="s">
        <v>39</v>
      </c>
      <c r="N463" s="3">
        <v>20</v>
      </c>
      <c r="O463" s="3">
        <v>0</v>
      </c>
      <c r="P463" s="3">
        <v>13</v>
      </c>
      <c r="S463" s="3">
        <v>0</v>
      </c>
      <c r="T463" s="3">
        <v>0</v>
      </c>
      <c r="U463" s="3">
        <v>8.5699999999999995E-3</v>
      </c>
      <c r="V463" s="3">
        <v>0</v>
      </c>
      <c r="W463" s="3">
        <v>0</v>
      </c>
      <c r="AA463" s="3" t="str">
        <f t="shared" si="3"/>
        <v>___</v>
      </c>
      <c r="AB463" s="3" t="str">
        <f t="shared" si="2"/>
        <v>____</v>
      </c>
    </row>
    <row r="464" spans="1:30" ht="12.5">
      <c r="A464" s="3">
        <v>463</v>
      </c>
      <c r="B464" s="12">
        <v>45488</v>
      </c>
      <c r="C464" s="3">
        <v>833</v>
      </c>
      <c r="D464" s="3">
        <v>35</v>
      </c>
      <c r="F464" s="3"/>
      <c r="H464" s="3" t="s">
        <v>35</v>
      </c>
      <c r="I464" s="3">
        <v>2</v>
      </c>
      <c r="J464" s="3">
        <v>6</v>
      </c>
      <c r="K464" s="4">
        <v>45298</v>
      </c>
      <c r="L464" s="3">
        <v>5</v>
      </c>
      <c r="M464" s="3" t="s">
        <v>36</v>
      </c>
      <c r="N464" s="3">
        <v>9</v>
      </c>
      <c r="O464" s="3">
        <v>9</v>
      </c>
      <c r="P464" s="3">
        <v>10</v>
      </c>
      <c r="S464" s="3">
        <v>0</v>
      </c>
      <c r="T464" s="3">
        <v>1.857E-2</v>
      </c>
      <c r="U464" s="3">
        <v>1.47E-3</v>
      </c>
      <c r="V464" s="3">
        <v>0</v>
      </c>
      <c r="W464" s="3">
        <v>0</v>
      </c>
      <c r="AA464" s="3" t="str">
        <f t="shared" si="3"/>
        <v>833_35__vv</v>
      </c>
      <c r="AB464" s="3" t="str">
        <f t="shared" si="2"/>
        <v>833_35__vv_2</v>
      </c>
      <c r="AD464" s="3" t="s">
        <v>37</v>
      </c>
    </row>
    <row r="465" spans="1:30" ht="12.5">
      <c r="A465" s="3">
        <v>464</v>
      </c>
      <c r="F465" s="3"/>
      <c r="H465" s="3"/>
      <c r="M465" s="3" t="s">
        <v>38</v>
      </c>
      <c r="N465" s="3">
        <v>6</v>
      </c>
      <c r="O465" s="3">
        <v>6</v>
      </c>
      <c r="P465" s="3">
        <v>8</v>
      </c>
      <c r="S465" s="3">
        <v>0</v>
      </c>
      <c r="T465" s="3">
        <v>2.0729999999999998E-2</v>
      </c>
      <c r="U465" s="3">
        <v>1.56E-3</v>
      </c>
      <c r="V465" s="3">
        <v>0</v>
      </c>
      <c r="W465" s="3">
        <v>0</v>
      </c>
      <c r="AA465" s="3" t="str">
        <f t="shared" si="3"/>
        <v>___</v>
      </c>
      <c r="AB465" s="3" t="str">
        <f t="shared" si="2"/>
        <v>____</v>
      </c>
    </row>
    <row r="466" spans="1:30" ht="12.5">
      <c r="A466" s="3">
        <v>465</v>
      </c>
      <c r="F466" s="3"/>
      <c r="H466" s="3"/>
      <c r="M466" s="3" t="s">
        <v>39</v>
      </c>
      <c r="N466" s="3">
        <v>14</v>
      </c>
      <c r="O466" s="3">
        <v>6</v>
      </c>
      <c r="P466" s="3">
        <v>12</v>
      </c>
      <c r="Q466" s="3">
        <v>3</v>
      </c>
      <c r="R466" s="3">
        <v>2</v>
      </c>
      <c r="S466" s="3">
        <v>2</v>
      </c>
      <c r="T466" s="3">
        <v>7.1220000000000006E-2</v>
      </c>
      <c r="U466" s="3">
        <v>1.0200000000000001E-2</v>
      </c>
      <c r="V466" s="3">
        <v>0</v>
      </c>
      <c r="W466" s="3">
        <v>1.2370000000000001E-2</v>
      </c>
      <c r="X466" s="3"/>
      <c r="Y466" s="3" t="s">
        <v>77</v>
      </c>
      <c r="AA466" s="3" t="str">
        <f t="shared" si="3"/>
        <v>___</v>
      </c>
      <c r="AB466" s="3" t="str">
        <f t="shared" si="2"/>
        <v>____</v>
      </c>
    </row>
    <row r="467" spans="1:30" ht="12.5">
      <c r="A467" s="3">
        <v>466</v>
      </c>
      <c r="B467" s="12">
        <v>45488</v>
      </c>
      <c r="C467" s="3">
        <v>833</v>
      </c>
      <c r="D467" s="3">
        <v>35</v>
      </c>
      <c r="F467" s="3"/>
      <c r="H467" s="3" t="s">
        <v>35</v>
      </c>
      <c r="I467" s="3">
        <v>3</v>
      </c>
      <c r="J467" s="3">
        <v>2</v>
      </c>
      <c r="K467" s="4">
        <v>45416</v>
      </c>
      <c r="L467" s="3">
        <v>3</v>
      </c>
      <c r="M467" s="3" t="s">
        <v>36</v>
      </c>
      <c r="N467" s="3">
        <v>7</v>
      </c>
      <c r="O467" s="3">
        <v>7</v>
      </c>
      <c r="P467" s="3">
        <v>7</v>
      </c>
      <c r="S467" s="3">
        <v>0</v>
      </c>
      <c r="T467" s="3">
        <v>2.265E-2</v>
      </c>
      <c r="U467" s="3">
        <v>1.01E-3</v>
      </c>
      <c r="V467" s="3">
        <v>0</v>
      </c>
      <c r="W467" s="3">
        <v>0</v>
      </c>
      <c r="AA467" s="3" t="str">
        <f t="shared" si="3"/>
        <v>833_35__vv</v>
      </c>
      <c r="AB467" s="3" t="str">
        <f t="shared" si="2"/>
        <v>833_35__vv_3</v>
      </c>
      <c r="AD467" s="3" t="s">
        <v>37</v>
      </c>
    </row>
    <row r="468" spans="1:30" ht="12.5">
      <c r="A468" s="3">
        <v>467</v>
      </c>
      <c r="F468" s="3"/>
      <c r="H468" s="3"/>
      <c r="M468" s="3" t="s">
        <v>38</v>
      </c>
      <c r="N468" s="3">
        <v>10</v>
      </c>
      <c r="O468" s="3">
        <v>6</v>
      </c>
      <c r="P468" s="3">
        <v>7</v>
      </c>
      <c r="S468" s="3">
        <v>0</v>
      </c>
      <c r="T468" s="3">
        <v>2.4879999999999999E-2</v>
      </c>
      <c r="U468" s="3">
        <v>2.7799999999999999E-3</v>
      </c>
      <c r="V468" s="3">
        <v>0</v>
      </c>
      <c r="W468" s="3">
        <v>0</v>
      </c>
      <c r="AA468" s="3" t="str">
        <f t="shared" si="3"/>
        <v>___</v>
      </c>
      <c r="AB468" s="3" t="str">
        <f t="shared" si="2"/>
        <v>____</v>
      </c>
    </row>
    <row r="469" spans="1:30" ht="12.5">
      <c r="A469" s="3">
        <v>468</v>
      </c>
      <c r="F469" s="3"/>
      <c r="H469" s="3"/>
      <c r="M469" s="3" t="s">
        <v>39</v>
      </c>
      <c r="N469" s="3">
        <v>34</v>
      </c>
      <c r="O469" s="3">
        <v>0</v>
      </c>
      <c r="P469" s="3">
        <v>9</v>
      </c>
      <c r="Q469" s="3">
        <v>1</v>
      </c>
      <c r="R469" s="3">
        <v>1</v>
      </c>
      <c r="S469" s="3">
        <v>0</v>
      </c>
      <c r="T469" s="3">
        <v>0</v>
      </c>
      <c r="U469" s="3">
        <v>8.9300000000000004E-3</v>
      </c>
      <c r="V469" s="3">
        <v>4.5100000000000001E-3</v>
      </c>
      <c r="W469" s="3">
        <v>0</v>
      </c>
      <c r="AA469" s="3" t="str">
        <f t="shared" si="3"/>
        <v>___</v>
      </c>
      <c r="AB469" s="3" t="str">
        <f t="shared" si="2"/>
        <v>____</v>
      </c>
    </row>
    <row r="470" spans="1:30" ht="12.5">
      <c r="A470" s="3">
        <v>469</v>
      </c>
      <c r="B470" s="12">
        <v>45488</v>
      </c>
      <c r="C470" s="6">
        <v>833</v>
      </c>
      <c r="D470" s="6">
        <v>44</v>
      </c>
      <c r="F470" s="3"/>
      <c r="H470" s="3" t="s">
        <v>35</v>
      </c>
      <c r="I470" s="3">
        <v>1</v>
      </c>
      <c r="J470" s="3">
        <v>7</v>
      </c>
      <c r="K470" s="4">
        <v>45328</v>
      </c>
      <c r="L470" s="3">
        <v>3</v>
      </c>
      <c r="M470" s="3" t="s">
        <v>36</v>
      </c>
      <c r="N470" s="3">
        <v>18</v>
      </c>
      <c r="O470" s="3">
        <v>10</v>
      </c>
      <c r="P470" s="3">
        <v>11</v>
      </c>
      <c r="S470" s="3">
        <v>0</v>
      </c>
      <c r="T470" s="3">
        <v>3.4700000000000002E-2</v>
      </c>
      <c r="U470" s="3">
        <v>3.7499999999999999E-3</v>
      </c>
      <c r="V470" s="3">
        <v>0</v>
      </c>
      <c r="W470" s="3">
        <v>0</v>
      </c>
      <c r="AA470" s="3" t="str">
        <f t="shared" si="3"/>
        <v>833_44__vv</v>
      </c>
      <c r="AB470" s="3" t="str">
        <f t="shared" si="2"/>
        <v>833_44__vv_1</v>
      </c>
      <c r="AD470" s="3" t="s">
        <v>37</v>
      </c>
    </row>
    <row r="471" spans="1:30" ht="12.5">
      <c r="A471" s="3">
        <v>470</v>
      </c>
      <c r="F471" s="3"/>
      <c r="H471" s="3"/>
      <c r="M471" s="3" t="s">
        <v>38</v>
      </c>
      <c r="N471" s="3">
        <v>17</v>
      </c>
      <c r="O471" s="3">
        <v>6</v>
      </c>
      <c r="P471" s="3">
        <v>8</v>
      </c>
      <c r="S471" s="3">
        <v>0</v>
      </c>
      <c r="T471" s="3">
        <v>3.2669999999999998E-2</v>
      </c>
      <c r="U471" s="3">
        <v>5.1799999999999997E-3</v>
      </c>
      <c r="V471" s="3">
        <v>0</v>
      </c>
      <c r="W471" s="3">
        <v>0</v>
      </c>
      <c r="AA471" s="3" t="str">
        <f t="shared" si="3"/>
        <v>___</v>
      </c>
      <c r="AB471" s="3" t="str">
        <f t="shared" si="2"/>
        <v>____</v>
      </c>
    </row>
    <row r="472" spans="1:30" ht="12.5">
      <c r="A472" s="3">
        <v>471</v>
      </c>
      <c r="F472" s="3"/>
      <c r="H472" s="3"/>
      <c r="M472" s="3" t="s">
        <v>39</v>
      </c>
      <c r="N472" s="3">
        <v>35</v>
      </c>
      <c r="O472" s="3">
        <v>4</v>
      </c>
      <c r="P472" s="3">
        <v>8</v>
      </c>
      <c r="Q472" s="3">
        <v>2</v>
      </c>
      <c r="R472" s="3">
        <v>2</v>
      </c>
      <c r="S472" s="3">
        <v>0</v>
      </c>
      <c r="T472" s="3">
        <v>2.2370000000000001E-2</v>
      </c>
      <c r="U472" s="3">
        <v>1.8589999999999999E-2</v>
      </c>
      <c r="V472" s="3">
        <v>6.0940000000000001E-2</v>
      </c>
      <c r="W472" s="3">
        <v>0</v>
      </c>
      <c r="AA472" s="3" t="str">
        <f t="shared" si="3"/>
        <v>___</v>
      </c>
      <c r="AB472" s="3" t="str">
        <f t="shared" si="2"/>
        <v>____</v>
      </c>
    </row>
    <row r="473" spans="1:30" ht="12.5">
      <c r="A473" s="3">
        <v>472</v>
      </c>
      <c r="B473" s="12">
        <v>45488</v>
      </c>
      <c r="C473" s="3">
        <v>833</v>
      </c>
      <c r="D473" s="3">
        <v>44</v>
      </c>
      <c r="F473" s="3"/>
      <c r="H473" s="3" t="s">
        <v>35</v>
      </c>
      <c r="I473" s="3">
        <v>2</v>
      </c>
      <c r="J473" s="4">
        <v>45330</v>
      </c>
      <c r="K473" s="4">
        <v>45419</v>
      </c>
      <c r="L473" s="3">
        <v>3</v>
      </c>
      <c r="M473" s="3" t="s">
        <v>36</v>
      </c>
      <c r="N473" s="3">
        <v>20</v>
      </c>
      <c r="O473" s="3">
        <v>11</v>
      </c>
      <c r="P473" s="3">
        <v>13</v>
      </c>
      <c r="S473" s="3">
        <v>0</v>
      </c>
      <c r="T473" s="3">
        <v>4.6940000000000003E-2</v>
      </c>
      <c r="U473" s="3">
        <v>4.2500000000000003E-3</v>
      </c>
      <c r="V473" s="3">
        <v>0</v>
      </c>
      <c r="W473" s="3">
        <v>0</v>
      </c>
      <c r="AA473" s="3" t="str">
        <f t="shared" si="3"/>
        <v>833_44__vv</v>
      </c>
      <c r="AB473" s="3" t="str">
        <f t="shared" si="2"/>
        <v>833_44__vv_2</v>
      </c>
      <c r="AD473" s="3" t="s">
        <v>37</v>
      </c>
    </row>
    <row r="474" spans="1:30" ht="12.5">
      <c r="A474" s="3">
        <v>473</v>
      </c>
      <c r="F474" s="3"/>
      <c r="H474" s="3"/>
      <c r="M474" s="3" t="s">
        <v>38</v>
      </c>
      <c r="N474" s="3">
        <v>22</v>
      </c>
      <c r="O474" s="3">
        <v>11</v>
      </c>
      <c r="P474" s="3">
        <v>13</v>
      </c>
      <c r="Q474" s="3">
        <v>1</v>
      </c>
      <c r="R474" s="3">
        <v>1</v>
      </c>
      <c r="S474" s="3">
        <v>0</v>
      </c>
      <c r="T474" s="3">
        <v>8.8910000000000003E-2</v>
      </c>
      <c r="U474" s="3">
        <v>1.0670000000000001E-2</v>
      </c>
      <c r="V474" s="3">
        <v>3.2750000000000001E-2</v>
      </c>
      <c r="W474" s="3">
        <v>0</v>
      </c>
      <c r="AA474" s="3" t="str">
        <f t="shared" si="3"/>
        <v>___</v>
      </c>
      <c r="AB474" s="3" t="str">
        <f t="shared" si="2"/>
        <v>____</v>
      </c>
    </row>
    <row r="475" spans="1:30" ht="12.5">
      <c r="A475" s="3">
        <v>474</v>
      </c>
      <c r="F475" s="3"/>
      <c r="H475" s="3"/>
      <c r="M475" s="3" t="s">
        <v>39</v>
      </c>
      <c r="N475" s="3">
        <v>35</v>
      </c>
      <c r="O475" s="3">
        <v>6</v>
      </c>
      <c r="P475" s="3">
        <v>15</v>
      </c>
      <c r="S475" s="3">
        <v>0</v>
      </c>
      <c r="T475" s="3">
        <v>3.8940000000000002E-2</v>
      </c>
      <c r="U475" s="3">
        <v>1.8689999999999998E-2</v>
      </c>
      <c r="V475" s="3">
        <v>0</v>
      </c>
      <c r="W475" s="3">
        <v>0</v>
      </c>
      <c r="AA475" s="3" t="str">
        <f t="shared" si="3"/>
        <v>___</v>
      </c>
      <c r="AB475" s="3" t="str">
        <f t="shared" si="2"/>
        <v>____</v>
      </c>
    </row>
    <row r="476" spans="1:30" ht="12.5">
      <c r="A476" s="3">
        <v>475</v>
      </c>
      <c r="B476" s="12">
        <v>45488</v>
      </c>
      <c r="C476" s="3">
        <v>833</v>
      </c>
      <c r="D476" s="3">
        <v>44</v>
      </c>
      <c r="F476" s="3"/>
      <c r="H476" s="3" t="s">
        <v>35</v>
      </c>
      <c r="I476" s="3">
        <v>3</v>
      </c>
      <c r="J476" s="4">
        <v>45511</v>
      </c>
      <c r="K476" s="4">
        <v>45480</v>
      </c>
      <c r="L476" s="3">
        <v>6</v>
      </c>
      <c r="M476" s="3" t="s">
        <v>36</v>
      </c>
      <c r="N476" s="3">
        <v>14</v>
      </c>
      <c r="O476" s="3">
        <v>8</v>
      </c>
      <c r="P476" s="3">
        <v>10</v>
      </c>
      <c r="S476" s="3">
        <v>0</v>
      </c>
      <c r="T476" s="3">
        <v>3.3860000000000001E-2</v>
      </c>
      <c r="U476" s="3">
        <v>2.99E-3</v>
      </c>
      <c r="V476" s="3">
        <v>0</v>
      </c>
      <c r="W476" s="3">
        <v>0</v>
      </c>
      <c r="AA476" s="3" t="str">
        <f t="shared" si="3"/>
        <v>833_44__vv</v>
      </c>
      <c r="AB476" s="3" t="str">
        <f t="shared" si="2"/>
        <v>833_44__vv_3</v>
      </c>
      <c r="AD476" s="3" t="s">
        <v>37</v>
      </c>
    </row>
    <row r="477" spans="1:30" ht="12.5">
      <c r="A477" s="3">
        <v>476</v>
      </c>
      <c r="F477" s="3"/>
      <c r="H477" s="3"/>
      <c r="M477" s="3" t="s">
        <v>38</v>
      </c>
      <c r="N477" s="3">
        <v>14</v>
      </c>
      <c r="O477" s="3">
        <v>9</v>
      </c>
      <c r="P477" s="3">
        <v>10</v>
      </c>
      <c r="S477" s="3">
        <v>0</v>
      </c>
      <c r="T477" s="3">
        <v>4.1079999999999998E-2</v>
      </c>
      <c r="U477" s="3">
        <v>4.5500000000000002E-3</v>
      </c>
      <c r="V477" s="3">
        <v>0</v>
      </c>
      <c r="W477" s="3">
        <v>0</v>
      </c>
      <c r="AA477" s="3" t="str">
        <f t="shared" si="3"/>
        <v>___</v>
      </c>
      <c r="AB477" s="3" t="str">
        <f t="shared" si="2"/>
        <v>____</v>
      </c>
    </row>
    <row r="478" spans="1:30" ht="12.5">
      <c r="A478" s="3">
        <v>477</v>
      </c>
      <c r="F478" s="3"/>
      <c r="H478" s="3"/>
      <c r="M478" s="3" t="s">
        <v>39</v>
      </c>
      <c r="N478" s="3">
        <v>11</v>
      </c>
      <c r="O478" s="3">
        <v>7</v>
      </c>
      <c r="P478" s="3">
        <v>8</v>
      </c>
      <c r="S478" s="3">
        <v>0</v>
      </c>
      <c r="T478" s="3">
        <v>2.6329999999999999E-2</v>
      </c>
      <c r="U478" s="3">
        <v>4.1599999999999996E-3</v>
      </c>
      <c r="V478" s="3">
        <v>0</v>
      </c>
      <c r="W478" s="3">
        <v>0</v>
      </c>
      <c r="AA478" s="3" t="str">
        <f t="shared" si="3"/>
        <v>___</v>
      </c>
      <c r="AB478" s="3" t="str">
        <f t="shared" si="2"/>
        <v>____</v>
      </c>
    </row>
    <row r="479" spans="1:30" ht="12.5">
      <c r="A479" s="3">
        <v>478</v>
      </c>
      <c r="B479" s="12">
        <v>45488</v>
      </c>
      <c r="C479" s="6">
        <v>833</v>
      </c>
      <c r="D479" s="6">
        <v>46</v>
      </c>
      <c r="F479" s="3"/>
      <c r="H479" s="3" t="s">
        <v>35</v>
      </c>
      <c r="I479" s="3">
        <v>1</v>
      </c>
      <c r="J479" s="4">
        <v>45307</v>
      </c>
      <c r="K479" s="4">
        <v>45456</v>
      </c>
      <c r="L479" s="3">
        <v>5</v>
      </c>
      <c r="M479" s="3" t="s">
        <v>36</v>
      </c>
      <c r="N479" s="3">
        <v>17</v>
      </c>
      <c r="O479" s="3">
        <v>9</v>
      </c>
      <c r="P479" s="3">
        <v>9</v>
      </c>
      <c r="S479" s="3">
        <v>0</v>
      </c>
      <c r="T479" s="3">
        <v>2.869E-2</v>
      </c>
      <c r="U479" s="3">
        <v>3.31E-3</v>
      </c>
      <c r="V479" s="3">
        <v>0</v>
      </c>
      <c r="W479" s="3">
        <v>0</v>
      </c>
      <c r="AA479" s="3" t="str">
        <f t="shared" si="3"/>
        <v>833_46__vv</v>
      </c>
      <c r="AB479" s="3" t="str">
        <f t="shared" si="2"/>
        <v>833_46__vv_1</v>
      </c>
      <c r="AD479" s="3" t="s">
        <v>37</v>
      </c>
    </row>
    <row r="480" spans="1:30" ht="12.5">
      <c r="A480" s="3">
        <v>479</v>
      </c>
      <c r="F480" s="3"/>
      <c r="H480" s="3"/>
      <c r="M480" s="3" t="s">
        <v>38</v>
      </c>
      <c r="N480" s="3">
        <v>44</v>
      </c>
      <c r="O480" s="3">
        <v>7</v>
      </c>
      <c r="P480" s="3">
        <v>11</v>
      </c>
      <c r="S480" s="3">
        <v>0</v>
      </c>
      <c r="T480" s="3">
        <v>7.5950000000000004E-2</v>
      </c>
      <c r="U480" s="3">
        <v>1.8790000000000001E-2</v>
      </c>
      <c r="V480" s="3">
        <v>0</v>
      </c>
      <c r="W480" s="3">
        <v>0</v>
      </c>
      <c r="AA480" s="3" t="str">
        <f t="shared" si="3"/>
        <v>___</v>
      </c>
      <c r="AB480" s="3" t="str">
        <f t="shared" si="2"/>
        <v>____</v>
      </c>
    </row>
    <row r="481" spans="1:30" ht="12.5">
      <c r="A481" s="3">
        <v>480</v>
      </c>
      <c r="F481" s="3"/>
      <c r="H481" s="3"/>
      <c r="M481" s="3" t="s">
        <v>39</v>
      </c>
      <c r="N481" s="3">
        <v>29</v>
      </c>
      <c r="O481" s="3">
        <v>10</v>
      </c>
      <c r="P481" s="3">
        <v>4</v>
      </c>
      <c r="Q481" s="3">
        <v>1</v>
      </c>
      <c r="R481" s="3">
        <v>1</v>
      </c>
      <c r="S481" s="3">
        <v>0</v>
      </c>
      <c r="T481" s="3">
        <v>5.7860000000000002E-2</v>
      </c>
      <c r="U481" s="3">
        <v>1.9040000000000001E-2</v>
      </c>
      <c r="V481" s="3">
        <v>7.2000000000000005E-4</v>
      </c>
      <c r="W481" s="3">
        <v>0</v>
      </c>
      <c r="AA481" s="3" t="str">
        <f t="shared" si="3"/>
        <v>___</v>
      </c>
      <c r="AB481" s="3" t="str">
        <f t="shared" si="2"/>
        <v>____</v>
      </c>
    </row>
    <row r="482" spans="1:30" ht="12.5">
      <c r="A482" s="3">
        <v>481</v>
      </c>
      <c r="B482" s="12">
        <v>45488</v>
      </c>
      <c r="C482" s="3">
        <v>833</v>
      </c>
      <c r="D482" s="3">
        <v>46</v>
      </c>
      <c r="F482" s="3"/>
      <c r="H482" s="3" t="s">
        <v>35</v>
      </c>
      <c r="I482" s="3">
        <v>2</v>
      </c>
      <c r="J482" s="4">
        <v>45366</v>
      </c>
      <c r="K482" s="4">
        <v>45335</v>
      </c>
      <c r="L482" s="3">
        <v>5</v>
      </c>
      <c r="M482" s="3" t="s">
        <v>36</v>
      </c>
      <c r="N482" s="3">
        <v>20</v>
      </c>
      <c r="O482" s="3">
        <v>12</v>
      </c>
      <c r="P482" s="3">
        <v>14</v>
      </c>
      <c r="S482" s="3">
        <v>0</v>
      </c>
      <c r="T482" s="3">
        <v>3.8080000000000003E-2</v>
      </c>
      <c r="U482" s="3">
        <v>4.62E-3</v>
      </c>
      <c r="V482" s="3">
        <v>0</v>
      </c>
      <c r="W482" s="3">
        <v>0</v>
      </c>
      <c r="AA482" s="3" t="str">
        <f t="shared" si="3"/>
        <v>833_46__vv</v>
      </c>
      <c r="AB482" s="3" t="str">
        <f t="shared" si="2"/>
        <v>833_46__vv_2</v>
      </c>
      <c r="AD482" s="3" t="s">
        <v>37</v>
      </c>
    </row>
    <row r="483" spans="1:30" ht="12.5">
      <c r="A483" s="3">
        <v>482</v>
      </c>
      <c r="F483" s="3"/>
      <c r="H483" s="3"/>
      <c r="M483" s="3" t="s">
        <v>38</v>
      </c>
      <c r="N483" s="3">
        <v>30</v>
      </c>
      <c r="O483" s="3">
        <v>10</v>
      </c>
      <c r="P483" s="3">
        <v>13</v>
      </c>
      <c r="S483" s="3">
        <v>0</v>
      </c>
      <c r="T483" s="3">
        <v>6.3380000000000006E-2</v>
      </c>
      <c r="U483" s="3">
        <v>1.4630000000000001E-2</v>
      </c>
      <c r="V483" s="3">
        <v>0</v>
      </c>
      <c r="W483" s="3">
        <v>0</v>
      </c>
      <c r="AA483" s="3" t="str">
        <f t="shared" si="3"/>
        <v>___</v>
      </c>
      <c r="AB483" s="3" t="str">
        <f t="shared" si="2"/>
        <v>____</v>
      </c>
    </row>
    <row r="484" spans="1:30" ht="12.5">
      <c r="A484" s="3">
        <v>483</v>
      </c>
      <c r="F484" s="3"/>
      <c r="H484" s="3"/>
      <c r="M484" s="3" t="s">
        <v>39</v>
      </c>
      <c r="N484" s="3">
        <v>30</v>
      </c>
      <c r="O484" s="3">
        <v>7</v>
      </c>
      <c r="P484" s="3">
        <v>10</v>
      </c>
      <c r="S484" s="3">
        <v>0</v>
      </c>
      <c r="T484" s="3">
        <v>5.7340000000000002E-2</v>
      </c>
      <c r="U484" s="3">
        <v>2.026E-2</v>
      </c>
      <c r="V484" s="3">
        <v>0</v>
      </c>
      <c r="W484" s="3">
        <v>0</v>
      </c>
      <c r="AA484" s="3" t="str">
        <f t="shared" si="3"/>
        <v>___</v>
      </c>
      <c r="AB484" s="3" t="str">
        <f t="shared" si="2"/>
        <v>____</v>
      </c>
    </row>
    <row r="485" spans="1:30" ht="12.5">
      <c r="A485" s="3">
        <v>484</v>
      </c>
      <c r="B485" s="12">
        <v>45488</v>
      </c>
      <c r="C485" s="3">
        <v>833</v>
      </c>
      <c r="D485" s="3">
        <v>46</v>
      </c>
      <c r="F485" s="3"/>
      <c r="H485" s="3" t="s">
        <v>35</v>
      </c>
      <c r="I485" s="3">
        <v>3</v>
      </c>
      <c r="J485" s="4">
        <v>45427</v>
      </c>
      <c r="K485" s="4">
        <v>45487</v>
      </c>
      <c r="L485" s="3">
        <v>4</v>
      </c>
      <c r="M485" s="3" t="s">
        <v>36</v>
      </c>
      <c r="N485" s="3">
        <v>37</v>
      </c>
      <c r="O485" s="3">
        <v>11</v>
      </c>
      <c r="P485" s="3">
        <v>11</v>
      </c>
      <c r="S485" s="3">
        <v>0</v>
      </c>
      <c r="T485" s="3">
        <v>8.2809999999999995E-2</v>
      </c>
      <c r="U485" s="3">
        <v>1.158E-2</v>
      </c>
      <c r="V485" s="3">
        <v>0</v>
      </c>
      <c r="W485" s="3">
        <v>0</v>
      </c>
      <c r="AA485" s="3" t="str">
        <f t="shared" si="3"/>
        <v>833_46__vv</v>
      </c>
      <c r="AB485" s="3" t="str">
        <f t="shared" si="2"/>
        <v>833_46__vv_3</v>
      </c>
      <c r="AD485" s="3" t="s">
        <v>37</v>
      </c>
    </row>
    <row r="486" spans="1:30" ht="12.5">
      <c r="A486" s="3">
        <v>485</v>
      </c>
      <c r="F486" s="3"/>
      <c r="H486" s="3"/>
      <c r="M486" s="3" t="s">
        <v>38</v>
      </c>
      <c r="N486" s="3">
        <v>44</v>
      </c>
      <c r="O486" s="3">
        <v>10</v>
      </c>
      <c r="P486" s="3">
        <v>13</v>
      </c>
      <c r="S486" s="3">
        <v>0</v>
      </c>
      <c r="T486" s="3">
        <v>0.14074999999999999</v>
      </c>
      <c r="U486" s="3">
        <v>2.69E-2</v>
      </c>
      <c r="V486" s="3">
        <v>0</v>
      </c>
      <c r="W486" s="3">
        <v>0</v>
      </c>
      <c r="AA486" s="3" t="str">
        <f t="shared" si="3"/>
        <v>___</v>
      </c>
      <c r="AB486" s="3" t="str">
        <f t="shared" si="2"/>
        <v>____</v>
      </c>
    </row>
    <row r="487" spans="1:30" ht="12.5">
      <c r="A487" s="3">
        <v>486</v>
      </c>
      <c r="F487" s="3"/>
      <c r="H487" s="3"/>
      <c r="M487" s="3" t="s">
        <v>39</v>
      </c>
      <c r="N487" s="3">
        <v>42</v>
      </c>
      <c r="O487" s="3">
        <v>6</v>
      </c>
      <c r="P487" s="3">
        <v>10</v>
      </c>
      <c r="S487" s="3">
        <v>0</v>
      </c>
      <c r="T487" s="3">
        <v>8.1600000000000006E-2</v>
      </c>
      <c r="U487" s="3">
        <v>3.2539999999999999E-2</v>
      </c>
      <c r="V487" s="3">
        <v>0</v>
      </c>
      <c r="W487" s="3">
        <v>0</v>
      </c>
      <c r="AA487" s="3" t="str">
        <f t="shared" si="3"/>
        <v>___</v>
      </c>
      <c r="AB487" s="3" t="str">
        <f t="shared" si="2"/>
        <v>____</v>
      </c>
    </row>
    <row r="488" spans="1:30" ht="12.5">
      <c r="A488" s="3">
        <v>487</v>
      </c>
      <c r="B488" s="12">
        <v>45489</v>
      </c>
      <c r="C488" s="6">
        <v>1500</v>
      </c>
      <c r="D488" s="6">
        <v>24</v>
      </c>
      <c r="F488" s="3"/>
      <c r="H488" s="3" t="s">
        <v>40</v>
      </c>
      <c r="I488" s="3">
        <v>1</v>
      </c>
      <c r="J488" s="4">
        <v>45426</v>
      </c>
      <c r="K488" s="4">
        <v>45515</v>
      </c>
      <c r="L488" s="3">
        <v>5</v>
      </c>
      <c r="M488" s="3" t="s">
        <v>36</v>
      </c>
      <c r="N488" s="3">
        <v>35</v>
      </c>
      <c r="O488" s="3">
        <v>8</v>
      </c>
      <c r="P488" s="3">
        <v>8</v>
      </c>
      <c r="S488" s="3">
        <v>0</v>
      </c>
      <c r="T488" s="3">
        <v>2.179E-2</v>
      </c>
      <c r="U488" s="3">
        <v>1.1180000000000001E-2</v>
      </c>
      <c r="V488" s="3">
        <v>0</v>
      </c>
      <c r="W488" s="3">
        <v>0</v>
      </c>
      <c r="AA488" s="3" t="str">
        <f t="shared" si="3"/>
        <v>1500_24__vm</v>
      </c>
      <c r="AB488" s="3" t="str">
        <f t="shared" si="2"/>
        <v>1500_24__vm_1</v>
      </c>
      <c r="AD488" s="3" t="s">
        <v>37</v>
      </c>
    </row>
    <row r="489" spans="1:30" ht="12.5">
      <c r="A489" s="3">
        <v>488</v>
      </c>
      <c r="F489" s="3"/>
      <c r="H489" s="3"/>
      <c r="M489" s="3" t="s">
        <v>38</v>
      </c>
      <c r="N489" s="3">
        <v>14</v>
      </c>
      <c r="O489" s="3">
        <v>0</v>
      </c>
      <c r="P489" s="3">
        <v>2</v>
      </c>
      <c r="Q489" s="3">
        <v>2</v>
      </c>
      <c r="R489" s="3">
        <v>2</v>
      </c>
      <c r="S489" s="3">
        <v>0</v>
      </c>
      <c r="T489" s="3">
        <v>0</v>
      </c>
      <c r="U489" s="3">
        <v>5.94E-3</v>
      </c>
      <c r="V489" s="3">
        <v>3.6769999999999997E-2</v>
      </c>
      <c r="W489" s="3">
        <v>0</v>
      </c>
      <c r="AA489" s="3" t="str">
        <f t="shared" si="3"/>
        <v>___</v>
      </c>
      <c r="AB489" s="3" t="str">
        <f t="shared" si="2"/>
        <v>____</v>
      </c>
    </row>
    <row r="490" spans="1:30" ht="12.5">
      <c r="A490" s="3">
        <v>489</v>
      </c>
      <c r="F490" s="3"/>
      <c r="H490" s="3"/>
      <c r="M490" s="3" t="s">
        <v>39</v>
      </c>
      <c r="N490" s="3">
        <v>32</v>
      </c>
      <c r="O490" s="3">
        <v>0</v>
      </c>
      <c r="P490" s="3">
        <v>3</v>
      </c>
      <c r="Q490" s="3">
        <v>4</v>
      </c>
      <c r="R490" s="3">
        <v>4</v>
      </c>
      <c r="S490" s="3">
        <v>0</v>
      </c>
      <c r="T490" s="3">
        <v>0</v>
      </c>
      <c r="U490" s="3">
        <v>2.4279999999999999E-2</v>
      </c>
      <c r="V490" s="3">
        <v>8.097E-2</v>
      </c>
      <c r="W490" s="3">
        <v>0</v>
      </c>
      <c r="AA490" s="3" t="str">
        <f t="shared" si="3"/>
        <v>___</v>
      </c>
      <c r="AB490" s="3" t="str">
        <f t="shared" si="2"/>
        <v>____</v>
      </c>
    </row>
    <row r="491" spans="1:30" ht="12.5">
      <c r="A491" s="3">
        <v>490</v>
      </c>
      <c r="B491" s="12">
        <v>45489</v>
      </c>
      <c r="C491" s="3">
        <v>1500</v>
      </c>
      <c r="D491" s="3">
        <v>24</v>
      </c>
      <c r="F491" s="3"/>
      <c r="H491" s="3" t="s">
        <v>40</v>
      </c>
      <c r="I491" s="3">
        <v>2</v>
      </c>
      <c r="J491" s="4">
        <v>45547</v>
      </c>
      <c r="K491" s="4">
        <v>45305</v>
      </c>
      <c r="L491" s="3">
        <v>6</v>
      </c>
      <c r="M491" s="3" t="s">
        <v>36</v>
      </c>
      <c r="N491" s="3">
        <v>37</v>
      </c>
      <c r="O491" s="3">
        <v>8</v>
      </c>
      <c r="P491" s="3">
        <v>8</v>
      </c>
      <c r="S491" s="3">
        <v>0</v>
      </c>
      <c r="T491" s="3">
        <v>1.695E-2</v>
      </c>
      <c r="U491" s="3">
        <v>9.4699999999999993E-3</v>
      </c>
      <c r="V491" s="3">
        <v>0</v>
      </c>
      <c r="W491" s="3">
        <v>0</v>
      </c>
      <c r="AA491" s="3" t="str">
        <f t="shared" si="3"/>
        <v>1500_24__vm</v>
      </c>
      <c r="AB491" s="3" t="str">
        <f t="shared" si="2"/>
        <v>1500_24__vm_2</v>
      </c>
      <c r="AD491" s="3" t="s">
        <v>37</v>
      </c>
    </row>
    <row r="492" spans="1:30" ht="12.5">
      <c r="A492" s="3">
        <v>491</v>
      </c>
      <c r="F492" s="3"/>
      <c r="H492" s="3"/>
      <c r="M492" s="3" t="s">
        <v>38</v>
      </c>
      <c r="N492" s="3">
        <v>47</v>
      </c>
      <c r="O492" s="3">
        <v>3</v>
      </c>
      <c r="P492" s="3">
        <v>3</v>
      </c>
      <c r="Q492" s="3">
        <v>5</v>
      </c>
      <c r="R492" s="3">
        <v>3</v>
      </c>
      <c r="S492" s="3">
        <v>0</v>
      </c>
      <c r="T492" s="3">
        <v>0</v>
      </c>
      <c r="U492" s="3">
        <v>3.5639999999999998E-2</v>
      </c>
      <c r="V492" s="3">
        <v>3.4549999999999997E-2</v>
      </c>
      <c r="W492" s="3">
        <v>0</v>
      </c>
      <c r="X492" s="3"/>
      <c r="Y492" s="3" t="s">
        <v>62</v>
      </c>
      <c r="AA492" s="3" t="str">
        <f t="shared" si="3"/>
        <v>___</v>
      </c>
      <c r="AB492" s="3" t="str">
        <f t="shared" si="2"/>
        <v>____</v>
      </c>
    </row>
    <row r="493" spans="1:30" ht="12.5">
      <c r="A493" s="3">
        <v>492</v>
      </c>
      <c r="F493" s="3"/>
      <c r="H493" s="3"/>
      <c r="M493" s="3" t="s">
        <v>39</v>
      </c>
      <c r="N493" s="3">
        <v>12</v>
      </c>
      <c r="O493" s="3">
        <v>0</v>
      </c>
      <c r="P493" s="3">
        <v>1</v>
      </c>
      <c r="Q493" s="3">
        <v>1</v>
      </c>
      <c r="R493" s="3">
        <v>1</v>
      </c>
      <c r="S493" s="3">
        <v>0</v>
      </c>
      <c r="T493" s="3">
        <v>0</v>
      </c>
      <c r="U493" s="3">
        <v>9.0100000000000006E-3</v>
      </c>
      <c r="V493" s="3">
        <v>0</v>
      </c>
      <c r="W493" s="3">
        <v>0</v>
      </c>
      <c r="AA493" s="3" t="str">
        <f t="shared" si="3"/>
        <v>___</v>
      </c>
      <c r="AB493" s="3" t="str">
        <f t="shared" si="2"/>
        <v>____</v>
      </c>
    </row>
    <row r="494" spans="1:30" ht="12.5">
      <c r="A494" s="3">
        <v>493</v>
      </c>
      <c r="B494" s="12">
        <v>45489</v>
      </c>
      <c r="C494" s="3">
        <v>1500</v>
      </c>
      <c r="D494" s="3">
        <v>24</v>
      </c>
      <c r="F494" s="3"/>
      <c r="H494" s="3" t="s">
        <v>40</v>
      </c>
      <c r="I494" s="3">
        <v>3</v>
      </c>
      <c r="J494" s="4">
        <v>45455</v>
      </c>
      <c r="K494" s="4">
        <v>45304</v>
      </c>
      <c r="L494" s="3">
        <v>4</v>
      </c>
      <c r="M494" s="3" t="s">
        <v>36</v>
      </c>
      <c r="N494" s="3">
        <v>41</v>
      </c>
      <c r="O494" s="3">
        <v>7</v>
      </c>
      <c r="P494" s="3">
        <v>7</v>
      </c>
      <c r="S494" s="3">
        <v>0</v>
      </c>
      <c r="T494" s="3">
        <v>4.9279999999999997E-2</v>
      </c>
      <c r="U494" s="3">
        <v>1.201E-2</v>
      </c>
      <c r="V494" s="3">
        <v>0</v>
      </c>
      <c r="W494" s="3">
        <v>0</v>
      </c>
      <c r="AA494" s="3" t="str">
        <f t="shared" si="3"/>
        <v>1500_24__vm</v>
      </c>
      <c r="AB494" s="3" t="str">
        <f t="shared" si="2"/>
        <v>1500_24__vm_3</v>
      </c>
      <c r="AD494" s="3" t="s">
        <v>37</v>
      </c>
    </row>
    <row r="495" spans="1:30" ht="12.5">
      <c r="A495" s="3">
        <v>494</v>
      </c>
      <c r="F495" s="3"/>
      <c r="H495" s="3"/>
      <c r="M495" s="3" t="s">
        <v>38</v>
      </c>
      <c r="N495" s="3">
        <v>46</v>
      </c>
      <c r="O495" s="3">
        <v>0</v>
      </c>
      <c r="P495" s="3">
        <v>2</v>
      </c>
      <c r="Q495" s="3">
        <v>3</v>
      </c>
      <c r="R495" s="3">
        <v>2</v>
      </c>
      <c r="S495" s="3">
        <v>0</v>
      </c>
      <c r="T495" s="3">
        <v>0</v>
      </c>
      <c r="U495" s="3">
        <v>3.5749999999999997E-2</v>
      </c>
      <c r="V495" s="3">
        <v>0.12168</v>
      </c>
      <c r="W495" s="3">
        <v>0</v>
      </c>
      <c r="X495" s="3"/>
      <c r="Y495" s="3" t="s">
        <v>60</v>
      </c>
      <c r="AA495" s="3" t="str">
        <f t="shared" si="3"/>
        <v>___</v>
      </c>
      <c r="AB495" s="3" t="str">
        <f t="shared" si="2"/>
        <v>____</v>
      </c>
    </row>
    <row r="496" spans="1:30" ht="12.5">
      <c r="A496" s="3">
        <v>495</v>
      </c>
      <c r="F496" s="3"/>
      <c r="H496" s="3"/>
      <c r="M496" s="3" t="s">
        <v>39</v>
      </c>
      <c r="N496" s="3">
        <v>16</v>
      </c>
      <c r="O496" s="3">
        <v>0</v>
      </c>
      <c r="P496" s="3">
        <v>2</v>
      </c>
      <c r="Q496" s="3">
        <v>1</v>
      </c>
      <c r="R496" s="3">
        <v>1</v>
      </c>
      <c r="S496" s="3">
        <v>0</v>
      </c>
      <c r="T496" s="3">
        <v>0</v>
      </c>
      <c r="U496" s="3">
        <v>1.1390000000000001E-2</v>
      </c>
      <c r="V496" s="3">
        <v>0</v>
      </c>
      <c r="W496" s="3">
        <v>0</v>
      </c>
      <c r="AA496" s="3" t="str">
        <f t="shared" si="3"/>
        <v>___</v>
      </c>
      <c r="AB496" s="3" t="str">
        <f t="shared" si="2"/>
        <v>____</v>
      </c>
    </row>
    <row r="497" spans="1:30" ht="12.5">
      <c r="A497" s="3">
        <v>496</v>
      </c>
      <c r="B497" s="12">
        <v>45489</v>
      </c>
      <c r="C497" s="3">
        <v>1500</v>
      </c>
      <c r="D497" s="3">
        <v>24</v>
      </c>
      <c r="F497" s="3"/>
      <c r="H497" s="3" t="s">
        <v>35</v>
      </c>
      <c r="I497" s="3">
        <v>1</v>
      </c>
      <c r="J497" s="4">
        <v>45415</v>
      </c>
      <c r="K497" s="4">
        <v>45355</v>
      </c>
      <c r="L497" s="3">
        <v>4</v>
      </c>
      <c r="M497" s="3" t="s">
        <v>36</v>
      </c>
      <c r="N497" s="3">
        <v>18</v>
      </c>
      <c r="O497" s="3">
        <v>10</v>
      </c>
      <c r="P497" s="3">
        <v>12</v>
      </c>
      <c r="S497" s="3">
        <v>0</v>
      </c>
      <c r="T497" s="3">
        <v>2.2239999999999999E-2</v>
      </c>
      <c r="U497" s="3">
        <v>3.0899999999999999E-3</v>
      </c>
      <c r="V497" s="3">
        <v>0</v>
      </c>
      <c r="W497" s="3">
        <v>0</v>
      </c>
      <c r="AA497" s="3" t="str">
        <f t="shared" si="3"/>
        <v>1500_24__vv</v>
      </c>
      <c r="AB497" s="3" t="str">
        <f t="shared" si="2"/>
        <v>1500_24__vv_1</v>
      </c>
      <c r="AD497" s="3" t="s">
        <v>37</v>
      </c>
    </row>
    <row r="498" spans="1:30" ht="12.5">
      <c r="A498" s="3">
        <v>497</v>
      </c>
      <c r="F498" s="3"/>
      <c r="H498" s="3"/>
      <c r="M498" s="3" t="s">
        <v>38</v>
      </c>
      <c r="N498" s="3">
        <v>21</v>
      </c>
      <c r="O498" s="3">
        <v>0</v>
      </c>
      <c r="P498" s="3">
        <v>7</v>
      </c>
      <c r="Q498" s="3">
        <v>3</v>
      </c>
      <c r="R498" s="3">
        <v>3</v>
      </c>
      <c r="S498" s="3">
        <v>0</v>
      </c>
      <c r="T498" s="3">
        <v>0</v>
      </c>
      <c r="U498" s="3">
        <v>8.9499999999999996E-3</v>
      </c>
      <c r="V498" s="3">
        <v>2.8879999999999999E-2</v>
      </c>
      <c r="W498" s="3">
        <v>0</v>
      </c>
      <c r="AA498" s="3" t="str">
        <f t="shared" si="3"/>
        <v>___</v>
      </c>
      <c r="AB498" s="3" t="str">
        <f t="shared" si="2"/>
        <v>____</v>
      </c>
    </row>
    <row r="499" spans="1:30" ht="12.5">
      <c r="A499" s="3">
        <v>498</v>
      </c>
      <c r="F499" s="3"/>
      <c r="H499" s="3"/>
      <c r="M499" s="3" t="s">
        <v>39</v>
      </c>
      <c r="N499" s="3">
        <v>8</v>
      </c>
      <c r="O499" s="3">
        <v>0</v>
      </c>
      <c r="P499" s="3">
        <v>2</v>
      </c>
      <c r="S499" s="3">
        <v>0</v>
      </c>
      <c r="T499" s="3">
        <v>0</v>
      </c>
      <c r="U499" s="3">
        <v>3.1800000000000002E-2</v>
      </c>
      <c r="V499" s="3">
        <v>0</v>
      </c>
      <c r="W499" s="3">
        <v>0</v>
      </c>
      <c r="AA499" s="3" t="str">
        <f t="shared" si="3"/>
        <v>___</v>
      </c>
      <c r="AB499" s="3" t="str">
        <f t="shared" si="2"/>
        <v>____</v>
      </c>
    </row>
    <row r="500" spans="1:30" ht="12.5">
      <c r="A500" s="3">
        <v>499</v>
      </c>
      <c r="B500" s="12">
        <v>45489</v>
      </c>
      <c r="C500" s="3">
        <v>1500</v>
      </c>
      <c r="D500" s="3">
        <v>24</v>
      </c>
      <c r="F500" s="3"/>
      <c r="H500" s="3" t="s">
        <v>35</v>
      </c>
      <c r="I500" s="3">
        <v>2</v>
      </c>
      <c r="J500" s="4">
        <v>45294</v>
      </c>
      <c r="K500" s="4">
        <v>45540</v>
      </c>
      <c r="L500" s="3">
        <v>4</v>
      </c>
      <c r="M500" s="3" t="s">
        <v>36</v>
      </c>
      <c r="N500" s="3">
        <v>10</v>
      </c>
      <c r="O500" s="3">
        <v>8</v>
      </c>
      <c r="P500" s="3">
        <v>8</v>
      </c>
      <c r="S500" s="3">
        <v>0</v>
      </c>
      <c r="T500" s="3">
        <v>1.3860000000000001E-2</v>
      </c>
      <c r="U500" s="3">
        <v>1.2600000000000001E-3</v>
      </c>
      <c r="V500" s="3">
        <v>0</v>
      </c>
      <c r="W500" s="3">
        <v>0</v>
      </c>
      <c r="AA500" s="3" t="str">
        <f t="shared" si="3"/>
        <v>1500_24__vv</v>
      </c>
      <c r="AB500" s="3" t="str">
        <f t="shared" si="2"/>
        <v>1500_24__vv_2</v>
      </c>
      <c r="AD500" s="3" t="s">
        <v>37</v>
      </c>
    </row>
    <row r="501" spans="1:30" ht="12.5">
      <c r="A501" s="3">
        <v>500</v>
      </c>
      <c r="F501" s="3"/>
      <c r="H501" s="3"/>
      <c r="M501" s="3" t="s">
        <v>38</v>
      </c>
      <c r="N501" s="3">
        <v>21</v>
      </c>
      <c r="O501" s="3">
        <v>7</v>
      </c>
      <c r="P501" s="3">
        <v>13</v>
      </c>
      <c r="S501" s="3">
        <v>0</v>
      </c>
      <c r="T501" s="3">
        <v>5.883E-2</v>
      </c>
      <c r="U501" s="3">
        <v>7.45E-3</v>
      </c>
      <c r="V501" s="3">
        <v>0</v>
      </c>
      <c r="W501" s="3">
        <v>0</v>
      </c>
      <c r="AA501" s="3" t="str">
        <f t="shared" si="3"/>
        <v>___</v>
      </c>
      <c r="AB501" s="3" t="str">
        <f t="shared" si="2"/>
        <v>____</v>
      </c>
    </row>
    <row r="502" spans="1:30" ht="12.5">
      <c r="A502" s="3">
        <v>501</v>
      </c>
      <c r="F502" s="3"/>
      <c r="H502" s="3"/>
      <c r="M502" s="3" t="s">
        <v>39</v>
      </c>
      <c r="N502" s="3">
        <v>20</v>
      </c>
      <c r="O502" s="3">
        <v>1</v>
      </c>
      <c r="P502" s="3">
        <v>7</v>
      </c>
      <c r="S502" s="3">
        <v>0</v>
      </c>
      <c r="T502" s="3">
        <v>1.541E-2</v>
      </c>
      <c r="U502" s="3">
        <v>9.7099999999999999E-3</v>
      </c>
      <c r="V502" s="3">
        <v>4.5100000000000001E-3</v>
      </c>
      <c r="W502" s="3">
        <v>0</v>
      </c>
      <c r="AA502" s="3" t="str">
        <f t="shared" si="3"/>
        <v>___</v>
      </c>
      <c r="AB502" s="3" t="str">
        <f t="shared" si="2"/>
        <v>____</v>
      </c>
    </row>
    <row r="503" spans="1:30" ht="12.5">
      <c r="A503" s="3">
        <v>502</v>
      </c>
      <c r="B503" s="12">
        <v>45489</v>
      </c>
      <c r="C503" s="3">
        <v>1500</v>
      </c>
      <c r="D503" s="3">
        <v>24</v>
      </c>
      <c r="F503" s="3"/>
      <c r="H503" s="3" t="s">
        <v>35</v>
      </c>
      <c r="I503" s="3">
        <v>3</v>
      </c>
      <c r="J503" s="4">
        <v>45455</v>
      </c>
      <c r="K503" s="4">
        <v>45297</v>
      </c>
      <c r="L503" s="3">
        <v>5</v>
      </c>
      <c r="M503" s="3" t="s">
        <v>36</v>
      </c>
      <c r="N503" s="3">
        <v>20</v>
      </c>
      <c r="O503" s="3">
        <v>9</v>
      </c>
      <c r="P503" s="3">
        <v>9</v>
      </c>
      <c r="S503" s="3">
        <v>0</v>
      </c>
      <c r="T503" s="3">
        <v>2.7720000000000002E-2</v>
      </c>
      <c r="U503" s="3">
        <v>3.7799999999999999E-3</v>
      </c>
      <c r="V503" s="3">
        <v>0</v>
      </c>
      <c r="W503" s="3">
        <v>0</v>
      </c>
      <c r="AA503" s="3" t="str">
        <f t="shared" si="3"/>
        <v>1500_24__vv</v>
      </c>
      <c r="AB503" s="3" t="str">
        <f t="shared" si="2"/>
        <v>1500_24__vv_3</v>
      </c>
      <c r="AD503" s="3" t="s">
        <v>37</v>
      </c>
    </row>
    <row r="504" spans="1:30" ht="12.5">
      <c r="A504" s="3">
        <v>503</v>
      </c>
      <c r="F504" s="3"/>
      <c r="H504" s="3"/>
      <c r="M504" s="3" t="s">
        <v>38</v>
      </c>
      <c r="N504" s="3">
        <v>4</v>
      </c>
      <c r="O504" s="3">
        <v>3</v>
      </c>
      <c r="P504" s="3">
        <v>3</v>
      </c>
      <c r="S504" s="3">
        <v>0</v>
      </c>
      <c r="T504" s="3">
        <v>3.1099999999999999E-3</v>
      </c>
      <c r="U504" s="3">
        <v>1.06E-3</v>
      </c>
      <c r="V504" s="3">
        <v>2.8230000000000002E-2</v>
      </c>
      <c r="W504" s="3">
        <v>0</v>
      </c>
      <c r="AA504" s="3" t="str">
        <f t="shared" si="3"/>
        <v>___</v>
      </c>
      <c r="AB504" s="3" t="str">
        <f t="shared" si="2"/>
        <v>____</v>
      </c>
    </row>
    <row r="505" spans="1:30" ht="12.5">
      <c r="A505" s="3">
        <v>504</v>
      </c>
      <c r="F505" s="3"/>
      <c r="H505" s="3"/>
      <c r="M505" s="3" t="s">
        <v>39</v>
      </c>
      <c r="N505" s="3">
        <v>21</v>
      </c>
      <c r="O505" s="3">
        <v>2</v>
      </c>
      <c r="P505" s="3">
        <v>5</v>
      </c>
      <c r="Q505" s="3">
        <v>1</v>
      </c>
      <c r="R505" s="3">
        <v>1</v>
      </c>
      <c r="S505" s="3">
        <v>0</v>
      </c>
      <c r="T505" s="3">
        <v>1.3690000000000001E-2</v>
      </c>
      <c r="U505" s="3">
        <v>8.9099999999999995E-3</v>
      </c>
      <c r="V505" s="3">
        <v>0</v>
      </c>
      <c r="W505" s="3">
        <v>0</v>
      </c>
      <c r="AA505" s="3" t="str">
        <f t="shared" si="3"/>
        <v>___</v>
      </c>
      <c r="AB505" s="3" t="str">
        <f t="shared" si="2"/>
        <v>____</v>
      </c>
    </row>
    <row r="506" spans="1:30" ht="12.5">
      <c r="A506" s="3">
        <v>505</v>
      </c>
      <c r="B506" s="12">
        <v>45489</v>
      </c>
      <c r="C506" s="6">
        <v>1500</v>
      </c>
      <c r="D506" s="6">
        <v>33</v>
      </c>
      <c r="F506" s="3"/>
      <c r="H506" s="3" t="s">
        <v>40</v>
      </c>
      <c r="I506" s="3">
        <v>1</v>
      </c>
      <c r="J506" s="3">
        <v>9</v>
      </c>
      <c r="K506" s="3">
        <v>10</v>
      </c>
      <c r="L506" s="3">
        <v>7</v>
      </c>
      <c r="M506" s="3" t="s">
        <v>36</v>
      </c>
      <c r="N506" s="3">
        <v>10</v>
      </c>
      <c r="O506" s="3">
        <v>4</v>
      </c>
      <c r="P506" s="3">
        <v>4</v>
      </c>
      <c r="S506" s="3">
        <v>0</v>
      </c>
      <c r="T506" s="3">
        <v>6.0099999999999997E-3</v>
      </c>
      <c r="U506" s="3">
        <v>9.3000000000000005E-4</v>
      </c>
      <c r="V506" s="3">
        <v>0</v>
      </c>
      <c r="W506" s="3">
        <v>0</v>
      </c>
      <c r="AA506" s="3" t="str">
        <f t="shared" si="3"/>
        <v>1500_33__vm</v>
      </c>
      <c r="AB506" s="3" t="str">
        <f t="shared" si="2"/>
        <v>1500_33__vm_1</v>
      </c>
      <c r="AD506" s="3" t="s">
        <v>37</v>
      </c>
    </row>
    <row r="507" spans="1:30" ht="12.5">
      <c r="A507" s="3">
        <v>506</v>
      </c>
      <c r="F507" s="3"/>
      <c r="H507" s="3"/>
      <c r="M507" s="3" t="s">
        <v>38</v>
      </c>
      <c r="N507" s="3">
        <v>12</v>
      </c>
      <c r="O507" s="3">
        <v>0</v>
      </c>
      <c r="P507" s="3">
        <v>1</v>
      </c>
      <c r="Q507" s="3">
        <v>3</v>
      </c>
      <c r="R507" s="3">
        <v>3</v>
      </c>
      <c r="S507" s="3">
        <v>0</v>
      </c>
      <c r="T507" s="3">
        <v>0</v>
      </c>
      <c r="U507" s="3">
        <v>3.9399999999999999E-3</v>
      </c>
      <c r="V507" s="3">
        <v>1.14E-2</v>
      </c>
      <c r="W507" s="3">
        <v>0</v>
      </c>
      <c r="AA507" s="3" t="str">
        <f t="shared" si="3"/>
        <v>___</v>
      </c>
      <c r="AB507" s="3" t="str">
        <f t="shared" si="2"/>
        <v>____</v>
      </c>
    </row>
    <row r="508" spans="1:30" ht="12.5">
      <c r="A508" s="3">
        <v>507</v>
      </c>
      <c r="F508" s="3"/>
      <c r="H508" s="3"/>
      <c r="M508" s="3" t="s">
        <v>39</v>
      </c>
      <c r="N508" s="3">
        <v>26</v>
      </c>
      <c r="O508" s="3">
        <v>0</v>
      </c>
      <c r="P508" s="3">
        <v>2</v>
      </c>
      <c r="Q508" s="3">
        <v>3</v>
      </c>
      <c r="R508" s="3">
        <v>3</v>
      </c>
      <c r="S508" s="3">
        <v>0</v>
      </c>
      <c r="T508" s="3">
        <v>0</v>
      </c>
      <c r="U508" s="3">
        <v>1.3950000000000001E-2</v>
      </c>
      <c r="V508" s="3">
        <v>2.8830000000000001E-2</v>
      </c>
      <c r="W508" s="3">
        <v>0</v>
      </c>
      <c r="AA508" s="3" t="str">
        <f t="shared" si="3"/>
        <v>___</v>
      </c>
      <c r="AB508" s="3" t="str">
        <f t="shared" si="2"/>
        <v>____</v>
      </c>
    </row>
    <row r="509" spans="1:30" ht="12.5">
      <c r="A509" s="3">
        <v>508</v>
      </c>
      <c r="B509" s="12">
        <v>45489</v>
      </c>
      <c r="C509" s="3">
        <v>1500</v>
      </c>
      <c r="D509" s="3">
        <v>33</v>
      </c>
      <c r="F509" s="3"/>
      <c r="H509" s="3" t="s">
        <v>40</v>
      </c>
      <c r="I509" s="3">
        <v>2</v>
      </c>
      <c r="J509" s="3">
        <v>7</v>
      </c>
      <c r="K509" s="3">
        <v>17</v>
      </c>
      <c r="L509" s="3">
        <v>6</v>
      </c>
      <c r="M509" s="3" t="s">
        <v>36</v>
      </c>
      <c r="N509" s="3">
        <v>10</v>
      </c>
      <c r="O509" s="3">
        <v>4</v>
      </c>
      <c r="P509" s="3">
        <v>4</v>
      </c>
      <c r="S509" s="3">
        <v>0</v>
      </c>
      <c r="T509" s="3">
        <v>8.5000000000000006E-3</v>
      </c>
      <c r="U509" s="3">
        <v>1.06E-3</v>
      </c>
      <c r="V509" s="3">
        <v>0</v>
      </c>
      <c r="W509" s="3">
        <v>0</v>
      </c>
      <c r="AA509" s="3" t="str">
        <f t="shared" si="3"/>
        <v>1500_33__vm</v>
      </c>
      <c r="AB509" s="3" t="str">
        <f t="shared" si="2"/>
        <v>1500_33__vm_2</v>
      </c>
      <c r="AD509" s="3" t="s">
        <v>37</v>
      </c>
    </row>
    <row r="510" spans="1:30" ht="12.5">
      <c r="A510" s="3">
        <v>509</v>
      </c>
      <c r="F510" s="3"/>
      <c r="H510" s="3"/>
      <c r="M510" s="3" t="s">
        <v>38</v>
      </c>
      <c r="N510" s="3">
        <v>10</v>
      </c>
      <c r="O510" s="3">
        <v>0</v>
      </c>
      <c r="P510" s="3">
        <v>2</v>
      </c>
      <c r="Q510" s="3">
        <v>1</v>
      </c>
      <c r="R510" s="3">
        <v>1</v>
      </c>
      <c r="S510" s="3">
        <v>0</v>
      </c>
      <c r="T510" s="3">
        <v>0</v>
      </c>
      <c r="U510" s="3">
        <v>2.7599999999999999E-3</v>
      </c>
      <c r="V510" s="3">
        <v>3.8400000000000001E-3</v>
      </c>
      <c r="W510" s="3">
        <v>0</v>
      </c>
      <c r="AA510" s="3" t="str">
        <f t="shared" si="3"/>
        <v>___</v>
      </c>
      <c r="AB510" s="3" t="str">
        <f t="shared" si="2"/>
        <v>____</v>
      </c>
    </row>
    <row r="511" spans="1:30" ht="12.5">
      <c r="A511" s="3">
        <v>510</v>
      </c>
      <c r="F511" s="3"/>
      <c r="H511" s="3"/>
      <c r="M511" s="3" t="s">
        <v>39</v>
      </c>
      <c r="N511" s="3">
        <v>20</v>
      </c>
      <c r="O511" s="3">
        <v>0</v>
      </c>
      <c r="P511" s="3">
        <v>2</v>
      </c>
      <c r="Q511" s="3">
        <v>1</v>
      </c>
      <c r="R511" s="3">
        <v>1</v>
      </c>
      <c r="S511" s="3">
        <v>0</v>
      </c>
      <c r="T511" s="3">
        <v>0</v>
      </c>
      <c r="U511" s="3">
        <v>9.2200000000000008E-3</v>
      </c>
      <c r="V511" s="3">
        <v>2.3460000000000002E-2</v>
      </c>
      <c r="W511" s="3">
        <v>0</v>
      </c>
      <c r="AA511" s="3" t="str">
        <f t="shared" si="3"/>
        <v>___</v>
      </c>
      <c r="AB511" s="3" t="str">
        <f t="shared" si="2"/>
        <v>____</v>
      </c>
    </row>
    <row r="512" spans="1:30" ht="12.5">
      <c r="A512" s="3">
        <v>511</v>
      </c>
      <c r="B512" s="12">
        <v>45489</v>
      </c>
      <c r="C512" s="3">
        <v>1500</v>
      </c>
      <c r="D512" s="3">
        <v>33</v>
      </c>
      <c r="F512" s="3"/>
      <c r="H512" s="3" t="s">
        <v>40</v>
      </c>
      <c r="I512" s="3">
        <v>3</v>
      </c>
      <c r="J512" s="4">
        <v>45512</v>
      </c>
      <c r="K512" s="4">
        <v>45299</v>
      </c>
      <c r="L512" s="3">
        <v>4</v>
      </c>
      <c r="M512" s="3" t="s">
        <v>36</v>
      </c>
      <c r="N512" s="3">
        <v>33</v>
      </c>
      <c r="O512" s="3">
        <v>8</v>
      </c>
      <c r="P512" s="3">
        <v>8</v>
      </c>
      <c r="S512" s="3">
        <v>0</v>
      </c>
      <c r="T512" s="3">
        <v>1.537E-2</v>
      </c>
      <c r="U512" s="3">
        <v>7.92E-3</v>
      </c>
      <c r="V512" s="3">
        <v>0</v>
      </c>
      <c r="W512" s="3">
        <v>0</v>
      </c>
      <c r="AA512" s="3" t="str">
        <f t="shared" si="3"/>
        <v>1500_33__vm</v>
      </c>
      <c r="AB512" s="3" t="str">
        <f t="shared" ref="AB512:AB766" si="4">CONCATENATE(C512,"_",D512,"_",G512,"_",H512,"_",I512)</f>
        <v>1500_33__vm_3</v>
      </c>
      <c r="AD512" s="3" t="s">
        <v>37</v>
      </c>
    </row>
    <row r="513" spans="1:30" ht="12.5">
      <c r="A513" s="3">
        <v>512</v>
      </c>
      <c r="F513" s="3"/>
      <c r="H513" s="3"/>
      <c r="M513" s="3" t="s">
        <v>38</v>
      </c>
      <c r="N513" s="3">
        <v>28</v>
      </c>
      <c r="O513" s="3">
        <v>0</v>
      </c>
      <c r="P513" s="3">
        <v>3</v>
      </c>
      <c r="Q513" s="3">
        <v>2</v>
      </c>
      <c r="R513" s="3">
        <v>2</v>
      </c>
      <c r="S513" s="3">
        <v>0</v>
      </c>
      <c r="T513" s="3">
        <v>0</v>
      </c>
      <c r="U513" s="3">
        <v>1.323E-2</v>
      </c>
      <c r="V513" s="3">
        <v>2.7629999999999998E-2</v>
      </c>
      <c r="W513" s="3">
        <v>0</v>
      </c>
      <c r="AA513" s="3" t="str">
        <f t="shared" ref="AA513:AA767" si="5">CONCATENATE(C513, "_",D513,"_",G513,"_",H513)</f>
        <v>___</v>
      </c>
      <c r="AB513" s="3" t="str">
        <f t="shared" si="4"/>
        <v>____</v>
      </c>
    </row>
    <row r="514" spans="1:30" ht="12.5">
      <c r="A514" s="3">
        <v>513</v>
      </c>
      <c r="F514" s="3"/>
      <c r="H514" s="3"/>
      <c r="M514" s="3" t="s">
        <v>39</v>
      </c>
      <c r="N514" s="3">
        <v>25</v>
      </c>
      <c r="O514" s="3">
        <v>0</v>
      </c>
      <c r="P514" s="3">
        <v>2</v>
      </c>
      <c r="Q514" s="3">
        <v>2</v>
      </c>
      <c r="R514" s="3">
        <v>2</v>
      </c>
      <c r="S514" s="3">
        <v>0</v>
      </c>
      <c r="T514" s="3">
        <v>0</v>
      </c>
      <c r="U514" s="3">
        <v>1.0319999999999999E-2</v>
      </c>
      <c r="V514" s="3">
        <v>8.3899999999999999E-3</v>
      </c>
      <c r="W514" s="3">
        <v>0</v>
      </c>
      <c r="AA514" s="3" t="str">
        <f t="shared" si="5"/>
        <v>___</v>
      </c>
      <c r="AB514" s="3" t="str">
        <f t="shared" si="4"/>
        <v>____</v>
      </c>
    </row>
    <row r="515" spans="1:30" ht="12.5">
      <c r="A515" s="3">
        <v>514</v>
      </c>
      <c r="B515" s="12">
        <v>45489</v>
      </c>
      <c r="C515" s="3">
        <v>1500</v>
      </c>
      <c r="D515" s="3">
        <v>33</v>
      </c>
      <c r="F515" s="3"/>
      <c r="H515" s="3" t="s">
        <v>35</v>
      </c>
      <c r="I515" s="3">
        <v>1</v>
      </c>
      <c r="J515" s="4">
        <v>45476</v>
      </c>
      <c r="K515" s="4">
        <v>45509</v>
      </c>
      <c r="L515" s="3">
        <v>5</v>
      </c>
      <c r="M515" s="3" t="s">
        <v>36</v>
      </c>
      <c r="N515" s="3">
        <v>27</v>
      </c>
      <c r="O515" s="3">
        <v>9</v>
      </c>
      <c r="P515" s="3">
        <v>10</v>
      </c>
      <c r="S515" s="3">
        <v>0</v>
      </c>
      <c r="T515" s="3">
        <v>1.009E-2</v>
      </c>
      <c r="U515" s="3">
        <v>2.1700000000000001E-3</v>
      </c>
      <c r="V515" s="3">
        <v>0</v>
      </c>
      <c r="W515" s="3">
        <v>0</v>
      </c>
      <c r="AA515" s="3" t="str">
        <f t="shared" si="5"/>
        <v>1500_33__vv</v>
      </c>
      <c r="AB515" s="3" t="str">
        <f t="shared" si="4"/>
        <v>1500_33__vv_1</v>
      </c>
      <c r="AD515" s="3" t="s">
        <v>37</v>
      </c>
    </row>
    <row r="516" spans="1:30" ht="12.5">
      <c r="A516" s="3">
        <v>515</v>
      </c>
      <c r="F516" s="3"/>
      <c r="H516" s="3"/>
      <c r="M516" s="3" t="s">
        <v>38</v>
      </c>
      <c r="N516" s="3">
        <v>16</v>
      </c>
      <c r="O516" s="3">
        <v>5</v>
      </c>
      <c r="P516" s="3">
        <v>8</v>
      </c>
      <c r="S516" s="3">
        <v>0</v>
      </c>
      <c r="T516" s="3">
        <v>1.427E-2</v>
      </c>
      <c r="U516" s="3">
        <v>3.63E-3</v>
      </c>
      <c r="V516" s="3">
        <v>0</v>
      </c>
      <c r="W516" s="3">
        <v>0</v>
      </c>
      <c r="AA516" s="3" t="str">
        <f t="shared" si="5"/>
        <v>___</v>
      </c>
      <c r="AB516" s="3" t="str">
        <f t="shared" si="4"/>
        <v>____</v>
      </c>
    </row>
    <row r="517" spans="1:30" ht="12.5">
      <c r="A517" s="3">
        <v>516</v>
      </c>
      <c r="F517" s="3"/>
      <c r="H517" s="3"/>
      <c r="M517" s="3" t="s">
        <v>39</v>
      </c>
      <c r="N517" s="3">
        <v>16</v>
      </c>
      <c r="O517" s="3">
        <v>0</v>
      </c>
      <c r="P517" s="3">
        <v>4</v>
      </c>
      <c r="Q517" s="3">
        <v>2</v>
      </c>
      <c r="R517" s="3">
        <v>2</v>
      </c>
      <c r="S517" s="3">
        <v>0</v>
      </c>
      <c r="T517" s="3">
        <v>0</v>
      </c>
      <c r="U517" s="3">
        <v>4.5500000000000002E-3</v>
      </c>
      <c r="V517" s="3">
        <v>2.7040000000000002E-2</v>
      </c>
      <c r="W517" s="3">
        <v>0</v>
      </c>
      <c r="AA517" s="3" t="str">
        <f t="shared" si="5"/>
        <v>___</v>
      </c>
      <c r="AB517" s="3" t="str">
        <f t="shared" si="4"/>
        <v>____</v>
      </c>
    </row>
    <row r="518" spans="1:30" ht="12.5">
      <c r="A518" s="3">
        <v>517</v>
      </c>
      <c r="B518" s="12">
        <v>45489</v>
      </c>
      <c r="C518" s="3">
        <v>1500</v>
      </c>
      <c r="D518" s="3">
        <v>33</v>
      </c>
      <c r="F518" s="3"/>
      <c r="H518" s="3" t="s">
        <v>35</v>
      </c>
      <c r="I518" s="3">
        <v>2</v>
      </c>
      <c r="J518" s="4">
        <v>45446</v>
      </c>
      <c r="K518" s="3">
        <v>5</v>
      </c>
      <c r="L518" s="3">
        <v>4</v>
      </c>
      <c r="M518" s="3" t="s">
        <v>36</v>
      </c>
      <c r="N518" s="3">
        <v>11</v>
      </c>
      <c r="O518" s="3">
        <v>9</v>
      </c>
      <c r="P518" s="3">
        <v>10</v>
      </c>
      <c r="S518" s="3">
        <v>0</v>
      </c>
      <c r="T518" s="3">
        <v>5.8500000000000002E-3</v>
      </c>
      <c r="U518" s="3">
        <v>1.4E-3</v>
      </c>
      <c r="V518" s="3">
        <v>0</v>
      </c>
      <c r="W518" s="3">
        <v>0</v>
      </c>
      <c r="AA518" s="3" t="str">
        <f t="shared" si="5"/>
        <v>1500_33__vv</v>
      </c>
      <c r="AB518" s="3" t="str">
        <f t="shared" si="4"/>
        <v>1500_33__vv_2</v>
      </c>
      <c r="AD518" s="3" t="s">
        <v>37</v>
      </c>
    </row>
    <row r="519" spans="1:30" ht="12.5">
      <c r="A519" s="3">
        <v>518</v>
      </c>
      <c r="F519" s="3"/>
      <c r="H519" s="3"/>
      <c r="M519" s="3" t="s">
        <v>38</v>
      </c>
      <c r="N519" s="3">
        <v>10</v>
      </c>
      <c r="O519" s="3">
        <v>6</v>
      </c>
      <c r="P519" s="3">
        <v>6</v>
      </c>
      <c r="S519" s="3">
        <v>0</v>
      </c>
      <c r="T519" s="3">
        <v>1.985E-2</v>
      </c>
      <c r="U519" s="3">
        <v>2.5999999999999999E-3</v>
      </c>
      <c r="V519" s="3">
        <v>0</v>
      </c>
      <c r="W519" s="3">
        <v>0</v>
      </c>
      <c r="AA519" s="3" t="str">
        <f t="shared" si="5"/>
        <v>___</v>
      </c>
      <c r="AB519" s="3" t="str">
        <f t="shared" si="4"/>
        <v>____</v>
      </c>
    </row>
    <row r="520" spans="1:30" ht="12.5">
      <c r="A520" s="3">
        <v>519</v>
      </c>
      <c r="F520" s="3"/>
      <c r="H520" s="3"/>
      <c r="M520" s="3" t="s">
        <v>39</v>
      </c>
      <c r="N520" s="3">
        <v>12</v>
      </c>
      <c r="O520" s="3">
        <v>3</v>
      </c>
      <c r="P520" s="3">
        <v>5</v>
      </c>
      <c r="S520" s="3">
        <v>0</v>
      </c>
      <c r="T520" s="3">
        <v>7.7799999999999996E-3</v>
      </c>
      <c r="U520" s="3">
        <v>3.15E-3</v>
      </c>
      <c r="V520" s="3">
        <v>0</v>
      </c>
      <c r="W520" s="3">
        <v>0</v>
      </c>
      <c r="AA520" s="3" t="str">
        <f t="shared" si="5"/>
        <v>___</v>
      </c>
      <c r="AB520" s="3" t="str">
        <f t="shared" si="4"/>
        <v>____</v>
      </c>
    </row>
    <row r="521" spans="1:30" ht="12.5">
      <c r="A521" s="3">
        <v>520</v>
      </c>
      <c r="B521" s="12">
        <v>45489</v>
      </c>
      <c r="C521" s="3">
        <v>1500</v>
      </c>
      <c r="D521" s="3">
        <v>33</v>
      </c>
      <c r="F521" s="3"/>
      <c r="H521" s="3" t="s">
        <v>35</v>
      </c>
      <c r="I521" s="3">
        <v>3</v>
      </c>
      <c r="J521" s="4">
        <v>45449</v>
      </c>
      <c r="K521" s="4">
        <v>45388</v>
      </c>
      <c r="L521" s="3">
        <v>4</v>
      </c>
      <c r="M521" s="3" t="s">
        <v>36</v>
      </c>
      <c r="N521" s="3">
        <v>16</v>
      </c>
      <c r="O521" s="3">
        <v>9</v>
      </c>
      <c r="P521" s="3">
        <v>9</v>
      </c>
      <c r="S521" s="3">
        <v>0</v>
      </c>
      <c r="T521" s="3">
        <v>1.167E-2</v>
      </c>
      <c r="U521" s="3">
        <v>1.6299999999999999E-3</v>
      </c>
      <c r="V521" s="3">
        <v>0</v>
      </c>
      <c r="W521" s="3">
        <v>0</v>
      </c>
      <c r="AA521" s="3" t="str">
        <f t="shared" si="5"/>
        <v>1500_33__vv</v>
      </c>
      <c r="AB521" s="3" t="str">
        <f t="shared" si="4"/>
        <v>1500_33__vv_3</v>
      </c>
      <c r="AD521" s="3" t="s">
        <v>37</v>
      </c>
    </row>
    <row r="522" spans="1:30" ht="12.5">
      <c r="A522" s="3">
        <v>521</v>
      </c>
      <c r="F522" s="3"/>
      <c r="H522" s="3"/>
      <c r="M522" s="3" t="s">
        <v>38</v>
      </c>
      <c r="N522" s="3">
        <v>10</v>
      </c>
      <c r="O522" s="3">
        <v>8</v>
      </c>
      <c r="P522" s="3">
        <v>8</v>
      </c>
      <c r="S522" s="3">
        <v>0</v>
      </c>
      <c r="T522" s="3">
        <v>2.2800000000000001E-2</v>
      </c>
      <c r="U522" s="3">
        <v>2.96E-3</v>
      </c>
      <c r="V522" s="3">
        <v>0</v>
      </c>
      <c r="W522" s="3">
        <v>0</v>
      </c>
      <c r="AA522" s="3" t="str">
        <f t="shared" si="5"/>
        <v>___</v>
      </c>
      <c r="AB522" s="3" t="str">
        <f t="shared" si="4"/>
        <v>____</v>
      </c>
    </row>
    <row r="523" spans="1:30" ht="12.5">
      <c r="A523" s="3">
        <v>522</v>
      </c>
      <c r="F523" s="3"/>
      <c r="H523" s="3"/>
      <c r="M523" s="3" t="s">
        <v>39</v>
      </c>
      <c r="N523" s="3">
        <v>18</v>
      </c>
      <c r="O523" s="3">
        <v>6</v>
      </c>
      <c r="P523" s="3">
        <v>9</v>
      </c>
      <c r="S523" s="3">
        <v>0</v>
      </c>
      <c r="T523" s="3">
        <v>2.1420000000000002E-2</v>
      </c>
      <c r="U523" s="3">
        <v>6.1700000000000001E-3</v>
      </c>
      <c r="V523" s="3">
        <v>0</v>
      </c>
      <c r="W523" s="3">
        <v>0</v>
      </c>
      <c r="AA523" s="3" t="str">
        <f t="shared" si="5"/>
        <v>___</v>
      </c>
      <c r="AB523" s="3" t="str">
        <f t="shared" si="4"/>
        <v>____</v>
      </c>
    </row>
    <row r="524" spans="1:30" ht="12.5">
      <c r="A524" s="3">
        <v>523</v>
      </c>
      <c r="B524" s="12">
        <v>45489</v>
      </c>
      <c r="C524" s="6">
        <v>1500</v>
      </c>
      <c r="D524" s="6">
        <v>35</v>
      </c>
      <c r="F524" s="3"/>
      <c r="H524" s="3" t="s">
        <v>40</v>
      </c>
      <c r="I524" s="3">
        <v>1</v>
      </c>
      <c r="J524" s="4">
        <v>45542</v>
      </c>
      <c r="K524" s="4">
        <v>45334</v>
      </c>
      <c r="L524" s="3">
        <v>7</v>
      </c>
      <c r="M524" s="3" t="s">
        <v>36</v>
      </c>
      <c r="N524" s="3">
        <v>25</v>
      </c>
      <c r="O524" s="3">
        <v>7</v>
      </c>
      <c r="P524" s="3">
        <v>7</v>
      </c>
      <c r="S524" s="3">
        <v>0</v>
      </c>
      <c r="T524" s="3">
        <v>1.5990000000000001E-2</v>
      </c>
      <c r="U524" s="3">
        <v>6.3699999999999998E-3</v>
      </c>
      <c r="V524" s="3">
        <v>0</v>
      </c>
      <c r="W524" s="3">
        <v>0</v>
      </c>
      <c r="AA524" s="3" t="str">
        <f t="shared" si="5"/>
        <v>1500_35__vm</v>
      </c>
      <c r="AB524" s="3" t="str">
        <f t="shared" si="4"/>
        <v>1500_35__vm_1</v>
      </c>
      <c r="AD524" s="3" t="s">
        <v>37</v>
      </c>
    </row>
    <row r="525" spans="1:30" ht="12.5">
      <c r="A525" s="3">
        <v>524</v>
      </c>
      <c r="F525" s="3"/>
      <c r="H525" s="3"/>
      <c r="M525" s="3" t="s">
        <v>38</v>
      </c>
      <c r="N525" s="3">
        <v>23</v>
      </c>
      <c r="O525" s="3">
        <v>0</v>
      </c>
      <c r="P525" s="3">
        <v>2</v>
      </c>
      <c r="Q525" s="3">
        <v>4</v>
      </c>
      <c r="R525" s="3">
        <v>4</v>
      </c>
      <c r="S525" s="3">
        <v>0</v>
      </c>
      <c r="T525" s="3">
        <v>0</v>
      </c>
      <c r="U525" s="3">
        <v>1.2659999999999999E-2</v>
      </c>
      <c r="V525" s="3">
        <v>2.7400000000000001E-2</v>
      </c>
      <c r="W525" s="3">
        <v>0</v>
      </c>
      <c r="AA525" s="3" t="str">
        <f t="shared" si="5"/>
        <v>___</v>
      </c>
      <c r="AB525" s="3" t="str">
        <f t="shared" si="4"/>
        <v>____</v>
      </c>
    </row>
    <row r="526" spans="1:30" ht="12.5">
      <c r="A526" s="3">
        <v>525</v>
      </c>
      <c r="F526" s="3"/>
      <c r="H526" s="3"/>
      <c r="M526" s="3" t="s">
        <v>39</v>
      </c>
      <c r="N526" s="3">
        <v>18</v>
      </c>
      <c r="O526" s="3">
        <v>0</v>
      </c>
      <c r="P526" s="3">
        <v>1</v>
      </c>
      <c r="Q526" s="3">
        <v>2</v>
      </c>
      <c r="R526" s="3">
        <v>1</v>
      </c>
      <c r="S526" s="3">
        <v>0</v>
      </c>
      <c r="T526" s="3">
        <v>0</v>
      </c>
      <c r="U526" s="3">
        <v>9.5999999999999992E-3</v>
      </c>
      <c r="V526" s="3">
        <v>0</v>
      </c>
      <c r="W526" s="3">
        <v>0</v>
      </c>
      <c r="X526" s="3"/>
      <c r="Y526" s="3" t="s">
        <v>60</v>
      </c>
      <c r="AA526" s="3" t="str">
        <f t="shared" si="5"/>
        <v>___</v>
      </c>
      <c r="AB526" s="3" t="str">
        <f t="shared" si="4"/>
        <v>____</v>
      </c>
    </row>
    <row r="527" spans="1:30" ht="12.5">
      <c r="A527" s="3">
        <v>526</v>
      </c>
      <c r="B527" s="12">
        <v>45489</v>
      </c>
      <c r="C527" s="3">
        <v>1500</v>
      </c>
      <c r="D527" s="3">
        <v>35</v>
      </c>
      <c r="F527" s="3"/>
      <c r="H527" s="3" t="s">
        <v>40</v>
      </c>
      <c r="I527" s="3">
        <v>2</v>
      </c>
      <c r="J527" s="3">
        <v>8</v>
      </c>
      <c r="K527" s="4">
        <v>45334</v>
      </c>
      <c r="L527" s="3">
        <v>6</v>
      </c>
      <c r="M527" s="3" t="s">
        <v>36</v>
      </c>
      <c r="N527" s="3">
        <v>34</v>
      </c>
      <c r="O527" s="3">
        <v>8</v>
      </c>
      <c r="P527" s="3">
        <v>8</v>
      </c>
      <c r="S527" s="3">
        <v>0</v>
      </c>
      <c r="T527" s="3">
        <v>2.198E-2</v>
      </c>
      <c r="U527" s="3">
        <v>1.1440000000000001E-2</v>
      </c>
      <c r="V527" s="3">
        <v>0</v>
      </c>
      <c r="W527" s="3">
        <v>0</v>
      </c>
      <c r="AA527" s="3" t="str">
        <f t="shared" si="5"/>
        <v>1500_35__vm</v>
      </c>
      <c r="AB527" s="3" t="str">
        <f t="shared" si="4"/>
        <v>1500_35__vm_2</v>
      </c>
      <c r="AD527" s="3" t="s">
        <v>37</v>
      </c>
    </row>
    <row r="528" spans="1:30" ht="12.5">
      <c r="A528" s="3">
        <v>527</v>
      </c>
      <c r="F528" s="3"/>
      <c r="H528" s="3"/>
      <c r="M528" s="3" t="s">
        <v>38</v>
      </c>
      <c r="N528" s="3">
        <v>35</v>
      </c>
      <c r="O528" s="3">
        <v>0</v>
      </c>
      <c r="P528" s="3">
        <v>7</v>
      </c>
      <c r="Q528" s="3">
        <v>3</v>
      </c>
      <c r="R528" s="3">
        <v>3</v>
      </c>
      <c r="S528" s="3">
        <v>0</v>
      </c>
      <c r="T528" s="3">
        <v>0</v>
      </c>
      <c r="U528" s="3">
        <v>2.8639999999999999E-2</v>
      </c>
      <c r="V528" s="3">
        <v>6.5570000000000003E-2</v>
      </c>
      <c r="W528" s="3">
        <v>0</v>
      </c>
      <c r="AA528" s="3" t="str">
        <f t="shared" si="5"/>
        <v>___</v>
      </c>
      <c r="AB528" s="3" t="str">
        <f t="shared" si="4"/>
        <v>____</v>
      </c>
    </row>
    <row r="529" spans="1:30" ht="12.5">
      <c r="A529" s="3">
        <v>528</v>
      </c>
      <c r="F529" s="3"/>
      <c r="H529" s="3"/>
      <c r="M529" s="3" t="s">
        <v>39</v>
      </c>
      <c r="N529" s="3">
        <v>11</v>
      </c>
      <c r="O529" s="3">
        <v>0</v>
      </c>
      <c r="P529" s="3">
        <v>4</v>
      </c>
      <c r="S529" s="3" t="s">
        <v>47</v>
      </c>
      <c r="T529" s="3" t="s">
        <v>47</v>
      </c>
      <c r="U529" s="3" t="s">
        <v>47</v>
      </c>
      <c r="V529" s="3" t="s">
        <v>47</v>
      </c>
      <c r="W529" s="3" t="s">
        <v>47</v>
      </c>
      <c r="X529" s="3"/>
      <c r="Y529" s="3" t="s">
        <v>78</v>
      </c>
      <c r="AA529" s="3" t="str">
        <f t="shared" si="5"/>
        <v>___</v>
      </c>
      <c r="AB529" s="3" t="str">
        <f t="shared" si="4"/>
        <v>____</v>
      </c>
    </row>
    <row r="530" spans="1:30" ht="12.5">
      <c r="A530" s="3">
        <v>529</v>
      </c>
      <c r="B530" s="12">
        <v>45489</v>
      </c>
      <c r="C530" s="3">
        <v>1500</v>
      </c>
      <c r="D530" s="3">
        <v>35</v>
      </c>
      <c r="F530" s="3"/>
      <c r="H530" s="3" t="s">
        <v>40</v>
      </c>
      <c r="I530" s="3">
        <v>3</v>
      </c>
      <c r="J530" s="4">
        <v>45450</v>
      </c>
      <c r="K530" s="4">
        <v>45330</v>
      </c>
      <c r="L530" s="3">
        <v>6</v>
      </c>
      <c r="M530" s="3" t="s">
        <v>36</v>
      </c>
      <c r="N530" s="3">
        <v>13</v>
      </c>
      <c r="O530" s="3">
        <v>4</v>
      </c>
      <c r="P530" s="3">
        <v>4</v>
      </c>
      <c r="S530" s="3">
        <v>0</v>
      </c>
      <c r="T530" s="3">
        <v>6.2700000000000004E-3</v>
      </c>
      <c r="U530" s="3">
        <v>2.2000000000000001E-3</v>
      </c>
      <c r="V530" s="3">
        <v>0</v>
      </c>
      <c r="W530" s="3">
        <v>0</v>
      </c>
      <c r="AA530" s="3" t="str">
        <f t="shared" si="5"/>
        <v>1500_35__vm</v>
      </c>
      <c r="AB530" s="3" t="str">
        <f t="shared" si="4"/>
        <v>1500_35__vm_3</v>
      </c>
      <c r="AD530" s="3" t="s">
        <v>37</v>
      </c>
    </row>
    <row r="531" spans="1:30" ht="12.5">
      <c r="A531" s="3">
        <v>530</v>
      </c>
      <c r="F531" s="3"/>
      <c r="H531" s="3"/>
      <c r="M531" s="3" t="s">
        <v>38</v>
      </c>
      <c r="N531" s="3">
        <v>25</v>
      </c>
      <c r="O531" s="3">
        <v>0</v>
      </c>
      <c r="P531" s="3">
        <v>2</v>
      </c>
      <c r="Q531" s="3">
        <v>3</v>
      </c>
      <c r="R531" s="3">
        <v>3</v>
      </c>
      <c r="S531" s="3">
        <v>0</v>
      </c>
      <c r="T531" s="3">
        <v>0</v>
      </c>
      <c r="U531" s="3">
        <v>9.4199999999999996E-3</v>
      </c>
      <c r="V531" s="3">
        <v>2.2270000000000002E-2</v>
      </c>
      <c r="W531" s="3">
        <v>0</v>
      </c>
      <c r="AA531" s="3" t="str">
        <f t="shared" si="5"/>
        <v>___</v>
      </c>
      <c r="AB531" s="3" t="str">
        <f t="shared" si="4"/>
        <v>____</v>
      </c>
    </row>
    <row r="532" spans="1:30" ht="12.5">
      <c r="A532" s="3">
        <v>531</v>
      </c>
      <c r="F532" s="3"/>
      <c r="H532" s="3"/>
      <c r="M532" s="3" t="s">
        <v>39</v>
      </c>
      <c r="N532" s="3">
        <v>23</v>
      </c>
      <c r="O532" s="3">
        <v>0</v>
      </c>
      <c r="P532" s="3">
        <v>2</v>
      </c>
      <c r="Q532" s="3">
        <v>1</v>
      </c>
      <c r="R532" s="3">
        <v>1</v>
      </c>
      <c r="S532" s="3">
        <v>0</v>
      </c>
      <c r="T532" s="3">
        <v>0</v>
      </c>
      <c r="U532" s="3">
        <v>1.0869999999999999E-2</v>
      </c>
      <c r="V532" s="3">
        <v>0.12139999999999999</v>
      </c>
      <c r="W532" s="3">
        <v>0</v>
      </c>
      <c r="AA532" s="3" t="str">
        <f t="shared" si="5"/>
        <v>___</v>
      </c>
      <c r="AB532" s="3" t="str">
        <f t="shared" si="4"/>
        <v>____</v>
      </c>
    </row>
    <row r="533" spans="1:30" ht="12.5">
      <c r="A533" s="3">
        <v>532</v>
      </c>
      <c r="B533" s="12">
        <v>45489</v>
      </c>
      <c r="C533" s="3">
        <v>1500</v>
      </c>
      <c r="D533" s="3">
        <v>35</v>
      </c>
      <c r="F533" s="3"/>
      <c r="H533" s="3" t="s">
        <v>35</v>
      </c>
      <c r="I533" s="3">
        <v>1</v>
      </c>
      <c r="J533" s="4">
        <v>45294</v>
      </c>
      <c r="K533" s="4">
        <v>45415</v>
      </c>
      <c r="L533" s="3">
        <v>3</v>
      </c>
      <c r="M533" s="3" t="s">
        <v>36</v>
      </c>
      <c r="N533" s="3">
        <v>15</v>
      </c>
      <c r="O533" s="3">
        <v>7</v>
      </c>
      <c r="P533" s="3">
        <v>8</v>
      </c>
      <c r="S533" s="3">
        <v>0</v>
      </c>
      <c r="T533" s="3">
        <v>1.508E-2</v>
      </c>
      <c r="U533" s="3">
        <v>0.02</v>
      </c>
      <c r="V533" s="3">
        <v>0</v>
      </c>
      <c r="W533" s="3">
        <v>0</v>
      </c>
      <c r="AA533" s="3" t="str">
        <f t="shared" si="5"/>
        <v>1500_35__vv</v>
      </c>
      <c r="AB533" s="3" t="str">
        <f t="shared" si="4"/>
        <v>1500_35__vv_1</v>
      </c>
      <c r="AD533" s="3" t="s">
        <v>37</v>
      </c>
    </row>
    <row r="534" spans="1:30" ht="12.5">
      <c r="A534" s="3">
        <v>533</v>
      </c>
      <c r="F534" s="3"/>
      <c r="H534" s="3"/>
      <c r="M534" s="3" t="s">
        <v>38</v>
      </c>
      <c r="N534" s="3">
        <v>10</v>
      </c>
      <c r="O534" s="3">
        <v>5</v>
      </c>
      <c r="P534" s="3">
        <v>6</v>
      </c>
      <c r="S534" s="3">
        <v>0</v>
      </c>
      <c r="T534" s="3">
        <v>6.6600000000000001E-3</v>
      </c>
      <c r="U534" s="3">
        <v>1.49E-3</v>
      </c>
      <c r="V534" s="3">
        <v>0</v>
      </c>
      <c r="W534" s="3">
        <v>0</v>
      </c>
      <c r="AA534" s="3" t="str">
        <f t="shared" si="5"/>
        <v>___</v>
      </c>
      <c r="AB534" s="3" t="str">
        <f t="shared" si="4"/>
        <v>____</v>
      </c>
    </row>
    <row r="535" spans="1:30" ht="12.5">
      <c r="A535" s="3">
        <v>534</v>
      </c>
      <c r="F535" s="3"/>
      <c r="H535" s="3"/>
      <c r="M535" s="3" t="s">
        <v>39</v>
      </c>
      <c r="N535" s="3">
        <v>13</v>
      </c>
      <c r="O535" s="3">
        <v>0</v>
      </c>
      <c r="P535" s="3">
        <v>3</v>
      </c>
      <c r="Q535" s="3">
        <v>2</v>
      </c>
      <c r="R535" s="3">
        <v>2</v>
      </c>
      <c r="S535" s="3">
        <v>0</v>
      </c>
      <c r="T535" s="3">
        <v>0</v>
      </c>
      <c r="U535" s="3">
        <v>2.48E-3</v>
      </c>
      <c r="V535" s="3">
        <v>3.1919999999999997E-2</v>
      </c>
      <c r="W535" s="3">
        <v>0</v>
      </c>
      <c r="AA535" s="3" t="str">
        <f t="shared" si="5"/>
        <v>___</v>
      </c>
      <c r="AB535" s="3" t="str">
        <f t="shared" si="4"/>
        <v>____</v>
      </c>
    </row>
    <row r="536" spans="1:30" ht="12.5">
      <c r="A536" s="3">
        <v>535</v>
      </c>
      <c r="B536" s="12">
        <v>45489</v>
      </c>
      <c r="C536" s="3">
        <v>1500</v>
      </c>
      <c r="D536" s="3">
        <v>35</v>
      </c>
      <c r="F536" s="3"/>
      <c r="H536" s="3" t="s">
        <v>35</v>
      </c>
      <c r="I536" s="3">
        <v>2</v>
      </c>
      <c r="J536" s="3">
        <v>2</v>
      </c>
      <c r="K536" s="3">
        <v>2</v>
      </c>
      <c r="L536" s="3">
        <v>4</v>
      </c>
      <c r="M536" s="3" t="s">
        <v>36</v>
      </c>
      <c r="N536" s="3">
        <v>7</v>
      </c>
      <c r="O536" s="3">
        <v>7</v>
      </c>
      <c r="P536" s="3">
        <v>7</v>
      </c>
      <c r="S536" s="3">
        <v>0</v>
      </c>
      <c r="T536" s="3">
        <v>8.0400000000000003E-3</v>
      </c>
      <c r="U536" s="3">
        <v>4.8000000000000001E-4</v>
      </c>
      <c r="V536" s="3">
        <v>0</v>
      </c>
      <c r="W536" s="3">
        <v>0</v>
      </c>
      <c r="AA536" s="3" t="str">
        <f t="shared" si="5"/>
        <v>1500_35__vv</v>
      </c>
      <c r="AB536" s="3" t="str">
        <f t="shared" si="4"/>
        <v>1500_35__vv_2</v>
      </c>
      <c r="AD536" s="3" t="s">
        <v>37</v>
      </c>
    </row>
    <row r="537" spans="1:30" ht="12.5">
      <c r="A537" s="3">
        <v>536</v>
      </c>
      <c r="F537" s="3"/>
      <c r="H537" s="3"/>
      <c r="M537" s="3" t="s">
        <v>38</v>
      </c>
      <c r="N537" s="3">
        <v>5</v>
      </c>
      <c r="O537" s="3">
        <v>4</v>
      </c>
      <c r="P537" s="3">
        <v>5</v>
      </c>
      <c r="S537" s="3">
        <v>0</v>
      </c>
      <c r="T537" s="3">
        <v>4.7200000000000002E-3</v>
      </c>
      <c r="U537" s="3">
        <v>6.4000000000000005E-4</v>
      </c>
      <c r="V537" s="3">
        <v>0</v>
      </c>
      <c r="W537" s="3">
        <v>0</v>
      </c>
      <c r="AA537" s="3" t="str">
        <f t="shared" si="5"/>
        <v>___</v>
      </c>
      <c r="AB537" s="3" t="str">
        <f t="shared" si="4"/>
        <v>____</v>
      </c>
    </row>
    <row r="538" spans="1:30" ht="12.5">
      <c r="A538" s="3">
        <v>537</v>
      </c>
      <c r="F538" s="3"/>
      <c r="H538" s="3"/>
      <c r="M538" s="3" t="s">
        <v>39</v>
      </c>
      <c r="N538" s="3">
        <v>5</v>
      </c>
      <c r="O538" s="3">
        <v>0</v>
      </c>
      <c r="P538" s="3">
        <v>4</v>
      </c>
      <c r="S538" s="3">
        <v>0</v>
      </c>
      <c r="T538" s="3">
        <v>0</v>
      </c>
      <c r="U538" s="3">
        <v>5.9000000000000003E-4</v>
      </c>
      <c r="V538" s="3">
        <v>0</v>
      </c>
      <c r="W538" s="3">
        <v>0</v>
      </c>
      <c r="AA538" s="3" t="str">
        <f t="shared" si="5"/>
        <v>___</v>
      </c>
      <c r="AB538" s="3" t="str">
        <f t="shared" si="4"/>
        <v>____</v>
      </c>
    </row>
    <row r="539" spans="1:30" ht="12.5">
      <c r="A539" s="3">
        <v>538</v>
      </c>
      <c r="B539" s="12">
        <v>45489</v>
      </c>
      <c r="C539" s="3">
        <v>1500</v>
      </c>
      <c r="D539" s="3">
        <v>35</v>
      </c>
      <c r="F539" s="3"/>
      <c r="H539" s="3" t="s">
        <v>35</v>
      </c>
      <c r="I539" s="3">
        <v>3</v>
      </c>
      <c r="J539" s="4">
        <v>45326</v>
      </c>
      <c r="K539" s="3">
        <v>4</v>
      </c>
      <c r="L539" s="3">
        <v>3</v>
      </c>
      <c r="M539" s="3" t="s">
        <v>36</v>
      </c>
      <c r="N539" s="3">
        <v>13</v>
      </c>
      <c r="O539" s="3">
        <v>7</v>
      </c>
      <c r="P539" s="3">
        <v>7</v>
      </c>
      <c r="S539" s="3">
        <v>0</v>
      </c>
      <c r="T539" s="3">
        <v>8.9300000000000004E-3</v>
      </c>
      <c r="U539" s="3">
        <v>1.4499999999999999E-3</v>
      </c>
      <c r="V539" s="3">
        <v>0</v>
      </c>
      <c r="W539" s="3">
        <v>0</v>
      </c>
      <c r="AA539" s="3" t="str">
        <f t="shared" si="5"/>
        <v>1500_35__vv</v>
      </c>
      <c r="AB539" s="3" t="str">
        <f t="shared" si="4"/>
        <v>1500_35__vv_3</v>
      </c>
      <c r="AD539" s="3" t="s">
        <v>37</v>
      </c>
    </row>
    <row r="540" spans="1:30" ht="12.5">
      <c r="A540" s="3">
        <v>539</v>
      </c>
      <c r="F540" s="3"/>
      <c r="H540" s="3"/>
      <c r="M540" s="3" t="s">
        <v>38</v>
      </c>
      <c r="N540" s="3">
        <v>18</v>
      </c>
      <c r="O540" s="3">
        <v>2</v>
      </c>
      <c r="P540" s="3">
        <v>10</v>
      </c>
      <c r="S540" s="3">
        <v>0</v>
      </c>
      <c r="T540" s="3">
        <v>5.0200000000000002E-3</v>
      </c>
      <c r="U540" s="3">
        <v>2.5300000000000001E-3</v>
      </c>
      <c r="V540" s="3">
        <v>0</v>
      </c>
      <c r="W540" s="3">
        <v>0</v>
      </c>
      <c r="AA540" s="3" t="str">
        <f t="shared" si="5"/>
        <v>___</v>
      </c>
      <c r="AB540" s="3" t="str">
        <f t="shared" si="4"/>
        <v>____</v>
      </c>
    </row>
    <row r="541" spans="1:30" ht="12.5">
      <c r="A541" s="3">
        <v>540</v>
      </c>
      <c r="F541" s="3"/>
      <c r="H541" s="3"/>
      <c r="M541" s="3" t="s">
        <v>39</v>
      </c>
      <c r="N541" s="3">
        <v>19</v>
      </c>
      <c r="O541" s="3">
        <v>3</v>
      </c>
      <c r="P541" s="3">
        <v>8</v>
      </c>
      <c r="Q541" s="3">
        <v>1</v>
      </c>
      <c r="R541" s="3">
        <v>1</v>
      </c>
      <c r="S541" s="3">
        <v>0</v>
      </c>
      <c r="T541" s="3">
        <v>2.7399999999999998E-3</v>
      </c>
      <c r="U541" s="3">
        <v>2.3800000000000002E-3</v>
      </c>
      <c r="V541" s="3">
        <v>2.1129999999999999E-2</v>
      </c>
      <c r="W541" s="3">
        <v>0</v>
      </c>
      <c r="AA541" s="3" t="str">
        <f t="shared" si="5"/>
        <v>___</v>
      </c>
      <c r="AB541" s="3" t="str">
        <f t="shared" si="4"/>
        <v>____</v>
      </c>
    </row>
    <row r="542" spans="1:30" ht="12.5">
      <c r="A542" s="3">
        <v>541</v>
      </c>
      <c r="B542" s="12">
        <v>45489</v>
      </c>
      <c r="C542" s="6">
        <v>1500</v>
      </c>
      <c r="D542" s="6">
        <v>44</v>
      </c>
      <c r="F542" s="3"/>
      <c r="H542" s="3" t="s">
        <v>35</v>
      </c>
      <c r="I542" s="3">
        <v>1</v>
      </c>
      <c r="J542" s="3">
        <v>2</v>
      </c>
      <c r="K542" s="4">
        <v>45294</v>
      </c>
      <c r="L542" s="3">
        <v>5</v>
      </c>
      <c r="M542" s="3" t="s">
        <v>36</v>
      </c>
      <c r="N542" s="3">
        <v>5</v>
      </c>
      <c r="O542" s="3">
        <v>6</v>
      </c>
      <c r="P542" s="3">
        <v>6</v>
      </c>
      <c r="S542" s="3">
        <v>0</v>
      </c>
      <c r="T542" s="3">
        <v>9.7900000000000001E-3</v>
      </c>
      <c r="U542" s="3">
        <v>5.2999999999999998E-4</v>
      </c>
      <c r="V542" s="3">
        <v>0</v>
      </c>
      <c r="W542" s="3">
        <v>0</v>
      </c>
      <c r="AA542" s="3" t="str">
        <f t="shared" si="5"/>
        <v>1500_44__vv</v>
      </c>
      <c r="AB542" s="3" t="str">
        <f t="shared" si="4"/>
        <v>1500_44__vv_1</v>
      </c>
      <c r="AD542" s="3" t="s">
        <v>37</v>
      </c>
    </row>
    <row r="543" spans="1:30" ht="12.5">
      <c r="A543" s="3">
        <v>542</v>
      </c>
      <c r="F543" s="3"/>
      <c r="H543" s="3"/>
      <c r="M543" s="3" t="s">
        <v>38</v>
      </c>
      <c r="N543" s="3">
        <v>9</v>
      </c>
      <c r="O543" s="3">
        <v>8</v>
      </c>
      <c r="P543" s="3">
        <v>8</v>
      </c>
      <c r="S543" s="3">
        <v>0</v>
      </c>
      <c r="T543" s="3">
        <v>1.7729999999999999E-2</v>
      </c>
      <c r="U543" s="3">
        <v>1.8400000000000001E-3</v>
      </c>
      <c r="V543" s="3">
        <v>0</v>
      </c>
      <c r="W543" s="3">
        <v>0</v>
      </c>
      <c r="AA543" s="3" t="str">
        <f t="shared" si="5"/>
        <v>___</v>
      </c>
      <c r="AB543" s="3" t="str">
        <f t="shared" si="4"/>
        <v>____</v>
      </c>
    </row>
    <row r="544" spans="1:30" ht="12.5">
      <c r="A544" s="3">
        <v>543</v>
      </c>
      <c r="F544" s="3"/>
      <c r="H544" s="3"/>
      <c r="M544" s="3" t="s">
        <v>39</v>
      </c>
      <c r="N544" s="3">
        <v>6</v>
      </c>
      <c r="O544" s="3">
        <v>1</v>
      </c>
      <c r="P544" s="3">
        <v>4</v>
      </c>
      <c r="S544" s="3">
        <v>0</v>
      </c>
      <c r="T544" s="3">
        <v>8.1999999999999998E-4</v>
      </c>
      <c r="U544" s="3">
        <v>8.4999999999999995E-4</v>
      </c>
      <c r="V544" s="3">
        <v>0</v>
      </c>
      <c r="W544" s="3">
        <v>0</v>
      </c>
      <c r="AA544" s="3" t="str">
        <f t="shared" si="5"/>
        <v>___</v>
      </c>
      <c r="AB544" s="3" t="str">
        <f t="shared" si="4"/>
        <v>____</v>
      </c>
    </row>
    <row r="545" spans="1:30" ht="12.5">
      <c r="A545" s="3">
        <v>544</v>
      </c>
      <c r="B545" s="12">
        <v>45489</v>
      </c>
      <c r="C545" s="3">
        <v>1500</v>
      </c>
      <c r="D545" s="3">
        <v>44</v>
      </c>
      <c r="F545" s="3"/>
      <c r="H545" s="3" t="s">
        <v>35</v>
      </c>
      <c r="I545" s="3">
        <v>2</v>
      </c>
      <c r="J545" s="4">
        <v>45353</v>
      </c>
      <c r="K545" s="4">
        <v>45539</v>
      </c>
      <c r="L545" s="3">
        <v>4</v>
      </c>
      <c r="M545" s="3" t="s">
        <v>36</v>
      </c>
      <c r="N545" s="3">
        <v>9</v>
      </c>
      <c r="O545" s="3">
        <v>7</v>
      </c>
      <c r="P545" s="3">
        <v>9</v>
      </c>
      <c r="S545" s="3">
        <v>0</v>
      </c>
      <c r="T545" s="3">
        <v>1.039E-2</v>
      </c>
      <c r="U545" s="3">
        <v>1.1100000000000001E-3</v>
      </c>
      <c r="V545" s="3">
        <v>0</v>
      </c>
      <c r="W545" s="3">
        <v>0</v>
      </c>
      <c r="AA545" s="3" t="str">
        <f t="shared" si="5"/>
        <v>1500_44__vv</v>
      </c>
      <c r="AB545" s="3" t="str">
        <f t="shared" si="4"/>
        <v>1500_44__vv_2</v>
      </c>
      <c r="AD545" s="3" t="s">
        <v>37</v>
      </c>
    </row>
    <row r="546" spans="1:30" ht="12.5">
      <c r="A546" s="3">
        <v>545</v>
      </c>
      <c r="F546" s="3"/>
      <c r="H546" s="3"/>
      <c r="M546" s="3" t="s">
        <v>38</v>
      </c>
      <c r="N546" s="3">
        <v>17</v>
      </c>
      <c r="O546" s="3">
        <v>3</v>
      </c>
      <c r="P546" s="3">
        <v>8</v>
      </c>
      <c r="S546" s="3">
        <v>0</v>
      </c>
      <c r="T546" s="3">
        <v>6.77E-3</v>
      </c>
      <c r="U546" s="3">
        <v>3.16E-3</v>
      </c>
      <c r="V546" s="3">
        <v>0</v>
      </c>
      <c r="W546" s="3">
        <v>0</v>
      </c>
      <c r="AA546" s="3" t="str">
        <f t="shared" si="5"/>
        <v>___</v>
      </c>
      <c r="AB546" s="3" t="str">
        <f t="shared" si="4"/>
        <v>____</v>
      </c>
    </row>
    <row r="547" spans="1:30" ht="12.5">
      <c r="A547" s="3">
        <v>546</v>
      </c>
      <c r="F547" s="3"/>
      <c r="H547" s="3"/>
      <c r="M547" s="3" t="s">
        <v>39</v>
      </c>
      <c r="N547" s="3">
        <v>13</v>
      </c>
      <c r="O547" s="3">
        <v>0</v>
      </c>
      <c r="P547" s="3">
        <v>0</v>
      </c>
      <c r="Q547" s="3">
        <v>3</v>
      </c>
      <c r="R547" s="3">
        <v>3</v>
      </c>
      <c r="S547" s="3">
        <v>0</v>
      </c>
      <c r="T547" s="3">
        <v>0</v>
      </c>
      <c r="U547" s="3">
        <v>5.45E-3</v>
      </c>
      <c r="V547" s="3">
        <v>3.755E-2</v>
      </c>
      <c r="W547" s="3">
        <v>0</v>
      </c>
      <c r="AA547" s="3" t="str">
        <f t="shared" si="5"/>
        <v>___</v>
      </c>
      <c r="AB547" s="3" t="str">
        <f t="shared" si="4"/>
        <v>____</v>
      </c>
    </row>
    <row r="548" spans="1:30" ht="12.5">
      <c r="A548" s="3">
        <v>547</v>
      </c>
      <c r="B548" s="12">
        <v>45489</v>
      </c>
      <c r="C548" s="3">
        <v>1500</v>
      </c>
      <c r="D548" s="3">
        <v>44</v>
      </c>
      <c r="F548" s="3"/>
      <c r="H548" s="3" t="s">
        <v>35</v>
      </c>
      <c r="I548" s="3">
        <v>3</v>
      </c>
      <c r="J548" s="4">
        <v>45384</v>
      </c>
      <c r="K548" s="3">
        <v>4</v>
      </c>
      <c r="L548" s="3">
        <v>6</v>
      </c>
      <c r="M548" s="3" t="s">
        <v>36</v>
      </c>
      <c r="N548" s="3">
        <v>9</v>
      </c>
      <c r="O548" s="3">
        <v>6</v>
      </c>
      <c r="P548" s="3">
        <v>6</v>
      </c>
      <c r="S548" s="3">
        <v>0</v>
      </c>
      <c r="T548" s="3">
        <v>9.5300000000000003E-3</v>
      </c>
      <c r="U548" s="3">
        <v>9.2000000000000003E-4</v>
      </c>
      <c r="V548" s="3">
        <v>0</v>
      </c>
      <c r="W548" s="3">
        <v>0</v>
      </c>
      <c r="AA548" s="3" t="str">
        <f t="shared" si="5"/>
        <v>1500_44__vv</v>
      </c>
      <c r="AB548" s="3" t="str">
        <f t="shared" si="4"/>
        <v>1500_44__vv_3</v>
      </c>
      <c r="AD548" s="3" t="s">
        <v>37</v>
      </c>
    </row>
    <row r="549" spans="1:30" ht="12.5">
      <c r="A549" s="3">
        <v>548</v>
      </c>
      <c r="F549" s="3"/>
      <c r="H549" s="3"/>
      <c r="M549" s="3" t="s">
        <v>38</v>
      </c>
      <c r="N549" s="3">
        <v>10</v>
      </c>
      <c r="O549" s="3">
        <v>4</v>
      </c>
      <c r="P549" s="3">
        <v>10</v>
      </c>
      <c r="S549" s="3">
        <v>0</v>
      </c>
      <c r="T549" s="3">
        <v>5.2900000000000004E-3</v>
      </c>
      <c r="U549" s="3">
        <v>1.4499999999999999E-3</v>
      </c>
      <c r="V549" s="3">
        <v>0</v>
      </c>
      <c r="W549" s="3">
        <v>0</v>
      </c>
      <c r="AA549" s="3" t="str">
        <f t="shared" si="5"/>
        <v>___</v>
      </c>
      <c r="AB549" s="3" t="str">
        <f t="shared" si="4"/>
        <v>____</v>
      </c>
    </row>
    <row r="550" spans="1:30" ht="12.5">
      <c r="A550" s="3">
        <v>549</v>
      </c>
      <c r="F550" s="3"/>
      <c r="H550" s="3"/>
      <c r="M550" s="3" t="s">
        <v>39</v>
      </c>
      <c r="N550" s="3">
        <v>4</v>
      </c>
      <c r="O550" s="3">
        <v>0</v>
      </c>
      <c r="P550" s="3">
        <v>1</v>
      </c>
      <c r="S550" s="3">
        <v>0</v>
      </c>
      <c r="T550" s="3">
        <v>0</v>
      </c>
      <c r="U550" s="3">
        <v>7.7000000000000002E-3</v>
      </c>
      <c r="V550" s="3">
        <v>0</v>
      </c>
      <c r="W550" s="3">
        <v>0</v>
      </c>
      <c r="AA550" s="3" t="str">
        <f t="shared" si="5"/>
        <v>___</v>
      </c>
      <c r="AB550" s="3" t="str">
        <f t="shared" si="4"/>
        <v>____</v>
      </c>
    </row>
    <row r="551" spans="1:30" ht="12.5">
      <c r="A551" s="3">
        <v>550</v>
      </c>
      <c r="B551" s="12">
        <v>45493</v>
      </c>
      <c r="C551" s="6">
        <v>276</v>
      </c>
      <c r="D551" s="6">
        <v>35</v>
      </c>
      <c r="F551" s="3"/>
      <c r="H551" s="3" t="s">
        <v>40</v>
      </c>
      <c r="I551" s="3">
        <v>1</v>
      </c>
      <c r="J551" s="3">
        <v>8</v>
      </c>
      <c r="K551" s="4">
        <v>45513</v>
      </c>
      <c r="L551" s="3">
        <v>8</v>
      </c>
      <c r="M551" s="3" t="s">
        <v>36</v>
      </c>
      <c r="N551" s="3">
        <v>8</v>
      </c>
      <c r="O551" s="3">
        <v>4</v>
      </c>
      <c r="P551" s="3">
        <v>4</v>
      </c>
      <c r="S551" s="3">
        <v>0</v>
      </c>
      <c r="T551" s="3">
        <v>7.77E-3</v>
      </c>
      <c r="U551" s="3">
        <v>1.1299999999999999E-3</v>
      </c>
      <c r="V551" s="3">
        <v>0</v>
      </c>
      <c r="W551" s="3">
        <v>0</v>
      </c>
      <c r="AA551" s="3" t="str">
        <f t="shared" si="5"/>
        <v>276_35__vm</v>
      </c>
      <c r="AB551" s="3" t="str">
        <f t="shared" si="4"/>
        <v>276_35__vm_1</v>
      </c>
      <c r="AD551" s="3" t="s">
        <v>37</v>
      </c>
    </row>
    <row r="552" spans="1:30" ht="12.5">
      <c r="A552" s="3">
        <v>551</v>
      </c>
      <c r="F552" s="3"/>
      <c r="H552" s="3"/>
      <c r="M552" s="3" t="s">
        <v>38</v>
      </c>
      <c r="N552" s="3">
        <v>7</v>
      </c>
      <c r="O552" s="3">
        <v>0</v>
      </c>
      <c r="P552" s="3">
        <v>3</v>
      </c>
      <c r="S552" s="3">
        <v>0</v>
      </c>
      <c r="T552" s="3">
        <v>0</v>
      </c>
      <c r="U552" s="3">
        <v>1.2999999999999999E-3</v>
      </c>
      <c r="V552" s="3">
        <v>0</v>
      </c>
      <c r="W552" s="3">
        <v>0</v>
      </c>
      <c r="AA552" s="3" t="str">
        <f t="shared" si="5"/>
        <v>___</v>
      </c>
      <c r="AB552" s="3" t="str">
        <f t="shared" si="4"/>
        <v>____</v>
      </c>
    </row>
    <row r="553" spans="1:30" ht="12.5">
      <c r="A553" s="3">
        <v>552</v>
      </c>
      <c r="F553" s="3"/>
      <c r="H553" s="3"/>
      <c r="M553" s="3" t="s">
        <v>39</v>
      </c>
      <c r="N553" s="3">
        <v>12</v>
      </c>
      <c r="O553" s="3">
        <v>0</v>
      </c>
      <c r="P553" s="3">
        <v>2</v>
      </c>
      <c r="Q553" s="3">
        <v>1</v>
      </c>
      <c r="R553" s="3">
        <v>1</v>
      </c>
      <c r="S553" s="3">
        <v>0</v>
      </c>
      <c r="T553" s="3">
        <v>0</v>
      </c>
      <c r="U553" s="3">
        <v>3.5599999999999998E-3</v>
      </c>
      <c r="V553" s="3">
        <v>2.7999999999999998E-4</v>
      </c>
      <c r="W553" s="3">
        <v>0</v>
      </c>
      <c r="AA553" s="3" t="str">
        <f t="shared" si="5"/>
        <v>___</v>
      </c>
      <c r="AB553" s="3" t="str">
        <f t="shared" si="4"/>
        <v>____</v>
      </c>
    </row>
    <row r="554" spans="1:30" ht="12.5">
      <c r="A554" s="3">
        <v>553</v>
      </c>
      <c r="B554" s="12">
        <v>45493</v>
      </c>
      <c r="C554" s="3">
        <v>276</v>
      </c>
      <c r="D554" s="3">
        <v>35</v>
      </c>
      <c r="F554" s="3"/>
      <c r="H554" s="3" t="s">
        <v>40</v>
      </c>
      <c r="I554" s="3">
        <v>2</v>
      </c>
      <c r="J554" s="4">
        <v>45330</v>
      </c>
      <c r="K554" s="3">
        <v>8</v>
      </c>
      <c r="L554" s="3">
        <v>4</v>
      </c>
      <c r="M554" s="3" t="s">
        <v>36</v>
      </c>
      <c r="N554" s="3">
        <v>11</v>
      </c>
      <c r="O554" s="3">
        <v>5</v>
      </c>
      <c r="P554" s="3">
        <v>5</v>
      </c>
      <c r="S554" s="3">
        <v>1</v>
      </c>
      <c r="T554" s="3">
        <v>8.4600000000000005E-3</v>
      </c>
      <c r="U554" s="3">
        <v>1.56E-3</v>
      </c>
      <c r="V554" s="3">
        <v>0</v>
      </c>
      <c r="W554" s="3">
        <v>7.26E-3</v>
      </c>
      <c r="AA554" s="3" t="str">
        <f t="shared" si="5"/>
        <v>276_35__vm</v>
      </c>
      <c r="AB554" s="3" t="str">
        <f t="shared" si="4"/>
        <v>276_35__vm_2</v>
      </c>
      <c r="AD554" s="3" t="s">
        <v>37</v>
      </c>
    </row>
    <row r="555" spans="1:30" ht="12.5">
      <c r="A555" s="3">
        <v>554</v>
      </c>
      <c r="F555" s="3"/>
      <c r="H555" s="3"/>
      <c r="M555" s="3" t="s">
        <v>38</v>
      </c>
      <c r="N555" s="3">
        <v>25</v>
      </c>
      <c r="O555" s="3">
        <v>0</v>
      </c>
      <c r="P555" s="3">
        <v>2</v>
      </c>
      <c r="Q555" s="3">
        <v>3</v>
      </c>
      <c r="R555" s="3">
        <v>1</v>
      </c>
      <c r="S555" s="3">
        <v>0</v>
      </c>
      <c r="T555" s="3">
        <v>0</v>
      </c>
      <c r="U555" s="3">
        <v>1.0789999999999999E-2</v>
      </c>
      <c r="V555" s="3">
        <v>1.8450000000000001E-2</v>
      </c>
      <c r="W555" s="3">
        <v>0</v>
      </c>
      <c r="X555" s="3"/>
      <c r="Y555" s="3" t="s">
        <v>62</v>
      </c>
      <c r="AA555" s="3" t="str">
        <f t="shared" si="5"/>
        <v>___</v>
      </c>
      <c r="AB555" s="3" t="str">
        <f t="shared" si="4"/>
        <v>____</v>
      </c>
    </row>
    <row r="556" spans="1:30" ht="12.5">
      <c r="A556" s="3">
        <v>555</v>
      </c>
      <c r="F556" s="3"/>
      <c r="H556" s="3"/>
      <c r="M556" s="3" t="s">
        <v>39</v>
      </c>
      <c r="N556" s="3">
        <v>35</v>
      </c>
      <c r="O556" s="3">
        <v>0</v>
      </c>
      <c r="P556" s="3">
        <v>5</v>
      </c>
      <c r="Q556" s="3">
        <v>3</v>
      </c>
      <c r="R556" s="3">
        <v>3</v>
      </c>
      <c r="S556" s="3">
        <v>0</v>
      </c>
      <c r="T556" s="3">
        <v>0</v>
      </c>
      <c r="U556" s="3">
        <v>2.5239999999999999E-2</v>
      </c>
      <c r="V556" s="3">
        <v>4.5969999999999997E-2</v>
      </c>
      <c r="W556" s="3">
        <v>0</v>
      </c>
      <c r="AA556" s="3" t="str">
        <f t="shared" si="5"/>
        <v>___</v>
      </c>
      <c r="AB556" s="3" t="str">
        <f t="shared" si="4"/>
        <v>____</v>
      </c>
    </row>
    <row r="557" spans="1:30" ht="12.5">
      <c r="A557" s="3">
        <v>556</v>
      </c>
      <c r="B557" s="12">
        <v>45493</v>
      </c>
      <c r="C557" s="3">
        <v>276</v>
      </c>
      <c r="D557" s="3">
        <v>35</v>
      </c>
      <c r="F557" s="3"/>
      <c r="H557" s="3" t="s">
        <v>40</v>
      </c>
      <c r="I557" s="3">
        <v>3</v>
      </c>
      <c r="J557" s="4">
        <v>45296</v>
      </c>
      <c r="K557" s="3">
        <v>6</v>
      </c>
      <c r="L557" s="3">
        <v>4</v>
      </c>
      <c r="M557" s="3" t="s">
        <v>36</v>
      </c>
      <c r="N557" s="3">
        <v>14</v>
      </c>
      <c r="O557" s="3">
        <v>5</v>
      </c>
      <c r="P557" s="3">
        <v>5</v>
      </c>
      <c r="S557" s="3">
        <v>0</v>
      </c>
      <c r="T557" s="3">
        <v>9.0500000000000008E-3</v>
      </c>
      <c r="U557" s="3">
        <v>2.98E-3</v>
      </c>
      <c r="V557" s="3">
        <v>0</v>
      </c>
      <c r="W557" s="3">
        <v>0</v>
      </c>
      <c r="AA557" s="3" t="str">
        <f t="shared" si="5"/>
        <v>276_35__vm</v>
      </c>
      <c r="AB557" s="3" t="str">
        <f t="shared" si="4"/>
        <v>276_35__vm_3</v>
      </c>
      <c r="AD557" s="3" t="s">
        <v>37</v>
      </c>
    </row>
    <row r="558" spans="1:30" ht="12.5">
      <c r="A558" s="3">
        <v>557</v>
      </c>
      <c r="F558" s="3"/>
      <c r="H558" s="3"/>
      <c r="M558" s="3" t="s">
        <v>38</v>
      </c>
      <c r="N558" s="3">
        <v>20</v>
      </c>
      <c r="O558" s="3">
        <v>0</v>
      </c>
      <c r="P558" s="3">
        <v>4</v>
      </c>
      <c r="Q558" s="3">
        <v>2</v>
      </c>
      <c r="R558" s="3">
        <v>2</v>
      </c>
      <c r="S558" s="3">
        <v>0</v>
      </c>
      <c r="T558" s="3">
        <v>0</v>
      </c>
      <c r="U558" s="3">
        <v>5.77E-3</v>
      </c>
      <c r="V558" s="3">
        <v>1.031E-2</v>
      </c>
      <c r="W558" s="3">
        <v>0</v>
      </c>
      <c r="AA558" s="3" t="str">
        <f t="shared" si="5"/>
        <v>___</v>
      </c>
      <c r="AB558" s="3" t="str">
        <f t="shared" si="4"/>
        <v>____</v>
      </c>
    </row>
    <row r="559" spans="1:30" ht="12.5">
      <c r="A559" s="3">
        <v>558</v>
      </c>
      <c r="F559" s="3"/>
      <c r="H559" s="3"/>
      <c r="M559" s="3" t="s">
        <v>39</v>
      </c>
      <c r="N559" s="3">
        <v>16</v>
      </c>
      <c r="O559" s="3">
        <v>0</v>
      </c>
      <c r="P559" s="3">
        <v>5</v>
      </c>
      <c r="S559" s="3">
        <v>0</v>
      </c>
      <c r="T559" s="3">
        <v>0</v>
      </c>
      <c r="U559" s="3">
        <v>4.7499999999999999E-3</v>
      </c>
      <c r="V559" s="3">
        <v>0</v>
      </c>
      <c r="W559" s="3">
        <v>0</v>
      </c>
      <c r="AA559" s="3" t="str">
        <f t="shared" si="5"/>
        <v>___</v>
      </c>
      <c r="AB559" s="3" t="str">
        <f t="shared" si="4"/>
        <v>____</v>
      </c>
    </row>
    <row r="560" spans="1:30" ht="12.5">
      <c r="A560" s="3">
        <v>559</v>
      </c>
      <c r="B560" s="12">
        <v>45493</v>
      </c>
      <c r="C560" s="3">
        <v>276</v>
      </c>
      <c r="D560" s="3">
        <v>35</v>
      </c>
      <c r="F560" s="3"/>
      <c r="H560" s="3" t="s">
        <v>35</v>
      </c>
      <c r="I560" s="3">
        <v>1</v>
      </c>
      <c r="J560" s="4">
        <v>45447</v>
      </c>
      <c r="K560" s="4">
        <v>45415</v>
      </c>
      <c r="L560" s="3">
        <v>3</v>
      </c>
      <c r="M560" s="3" t="s">
        <v>36</v>
      </c>
      <c r="N560" s="3">
        <v>7</v>
      </c>
      <c r="O560" s="3">
        <v>6</v>
      </c>
      <c r="P560" s="3">
        <v>6</v>
      </c>
      <c r="S560" s="3">
        <v>0</v>
      </c>
      <c r="T560" s="3">
        <v>9.3299999999999998E-3</v>
      </c>
      <c r="U560" s="3">
        <v>6.8999999999999997E-4</v>
      </c>
      <c r="V560" s="3">
        <v>0</v>
      </c>
      <c r="W560" s="3">
        <v>0</v>
      </c>
      <c r="AA560" s="3" t="str">
        <f t="shared" si="5"/>
        <v>276_35__vv</v>
      </c>
      <c r="AB560" s="3" t="str">
        <f t="shared" si="4"/>
        <v>276_35__vv_1</v>
      </c>
      <c r="AD560" s="3" t="s">
        <v>37</v>
      </c>
    </row>
    <row r="561" spans="1:30" ht="12.5">
      <c r="A561" s="3">
        <v>560</v>
      </c>
      <c r="F561" s="3"/>
      <c r="H561" s="3"/>
      <c r="M561" s="3" t="s">
        <v>38</v>
      </c>
      <c r="N561" s="3">
        <v>18</v>
      </c>
      <c r="O561" s="3">
        <v>7</v>
      </c>
      <c r="P561" s="3">
        <v>7</v>
      </c>
      <c r="S561" s="3">
        <v>0</v>
      </c>
      <c r="T561" s="3">
        <v>3.1640000000000001E-2</v>
      </c>
      <c r="U561" s="3">
        <v>5.4000000000000003E-3</v>
      </c>
      <c r="V561" s="3">
        <v>0</v>
      </c>
      <c r="W561" s="3">
        <v>0</v>
      </c>
      <c r="AA561" s="3" t="str">
        <f t="shared" si="5"/>
        <v>___</v>
      </c>
      <c r="AB561" s="3" t="str">
        <f t="shared" si="4"/>
        <v>____</v>
      </c>
    </row>
    <row r="562" spans="1:30" ht="12.5">
      <c r="A562" s="3">
        <v>561</v>
      </c>
      <c r="F562" s="3"/>
      <c r="H562" s="3"/>
      <c r="M562" s="3" t="s">
        <v>39</v>
      </c>
      <c r="N562" s="3">
        <v>19</v>
      </c>
      <c r="O562" s="3">
        <v>0</v>
      </c>
      <c r="P562" s="3">
        <v>5</v>
      </c>
      <c r="S562" s="3">
        <v>0</v>
      </c>
      <c r="T562" s="3">
        <v>0</v>
      </c>
      <c r="U562" s="3">
        <v>3.9699999999999996E-3</v>
      </c>
      <c r="V562" s="3">
        <v>0</v>
      </c>
      <c r="W562" s="3">
        <v>0</v>
      </c>
      <c r="AA562" s="3" t="str">
        <f t="shared" si="5"/>
        <v>___</v>
      </c>
      <c r="AB562" s="3" t="str">
        <f t="shared" si="4"/>
        <v>____</v>
      </c>
    </row>
    <row r="563" spans="1:30" ht="12.5">
      <c r="A563" s="3">
        <v>562</v>
      </c>
      <c r="B563" s="12">
        <v>45493</v>
      </c>
      <c r="C563" s="3">
        <v>276</v>
      </c>
      <c r="D563" s="3">
        <v>35</v>
      </c>
      <c r="F563" s="3"/>
      <c r="H563" s="3" t="s">
        <v>35</v>
      </c>
      <c r="I563" s="3">
        <v>2</v>
      </c>
      <c r="J563" s="4">
        <v>45444</v>
      </c>
      <c r="K563" s="3">
        <v>1</v>
      </c>
      <c r="L563" s="3">
        <v>2</v>
      </c>
      <c r="M563" s="3" t="s">
        <v>36</v>
      </c>
      <c r="N563" s="3">
        <v>6</v>
      </c>
      <c r="O563" s="3">
        <v>6</v>
      </c>
      <c r="P563" s="3">
        <v>6</v>
      </c>
      <c r="S563" s="3">
        <v>0</v>
      </c>
      <c r="T563" s="3">
        <v>1.065E-2</v>
      </c>
      <c r="U563" s="3">
        <v>1.1199999999999999E-3</v>
      </c>
      <c r="V563" s="3">
        <v>0</v>
      </c>
      <c r="W563" s="3">
        <v>0</v>
      </c>
      <c r="X563" s="3"/>
      <c r="Y563" s="3" t="s">
        <v>56</v>
      </c>
      <c r="AA563" s="3" t="str">
        <f t="shared" si="5"/>
        <v>276_35__vv</v>
      </c>
      <c r="AB563" s="3" t="str">
        <f t="shared" si="4"/>
        <v>276_35__vv_2</v>
      </c>
      <c r="AD563" s="3" t="s">
        <v>37</v>
      </c>
    </row>
    <row r="564" spans="1:30" ht="12.5">
      <c r="A564" s="3">
        <v>563</v>
      </c>
      <c r="F564" s="3"/>
      <c r="H564" s="3"/>
      <c r="M564" s="3" t="s">
        <v>38</v>
      </c>
      <c r="N564" s="3">
        <v>5</v>
      </c>
      <c r="O564" s="3">
        <v>3</v>
      </c>
      <c r="P564" s="3">
        <v>4</v>
      </c>
      <c r="S564" s="3">
        <v>0</v>
      </c>
      <c r="T564" s="3">
        <v>6.3299999999999997E-3</v>
      </c>
      <c r="U564" s="3">
        <v>1.6900000000000001E-3</v>
      </c>
      <c r="V564" s="3">
        <v>0</v>
      </c>
      <c r="W564" s="3">
        <v>0</v>
      </c>
      <c r="AA564" s="3" t="str">
        <f t="shared" si="5"/>
        <v>___</v>
      </c>
      <c r="AB564" s="3" t="str">
        <f t="shared" si="4"/>
        <v>____</v>
      </c>
    </row>
    <row r="565" spans="1:30" ht="12.5">
      <c r="A565" s="3">
        <v>564</v>
      </c>
      <c r="F565" s="3"/>
      <c r="H565" s="3"/>
      <c r="M565" s="3" t="s">
        <v>39</v>
      </c>
      <c r="N565" s="3" t="s">
        <v>47</v>
      </c>
      <c r="O565" s="3" t="s">
        <v>47</v>
      </c>
      <c r="P565" s="3" t="s">
        <v>47</v>
      </c>
      <c r="AA565" s="3" t="str">
        <f t="shared" si="5"/>
        <v>___</v>
      </c>
      <c r="AB565" s="3" t="str">
        <f t="shared" si="4"/>
        <v>____</v>
      </c>
    </row>
    <row r="566" spans="1:30" ht="12.5">
      <c r="A566" s="3">
        <v>565</v>
      </c>
      <c r="B566" s="12">
        <v>45493</v>
      </c>
      <c r="C566" s="3">
        <v>276</v>
      </c>
      <c r="D566" s="3">
        <v>35</v>
      </c>
      <c r="F566" s="3"/>
      <c r="H566" s="3" t="s">
        <v>35</v>
      </c>
      <c r="I566" s="3">
        <v>3</v>
      </c>
      <c r="J566" s="4">
        <v>45446</v>
      </c>
      <c r="K566" s="3">
        <v>4</v>
      </c>
      <c r="L566" s="3">
        <v>3</v>
      </c>
      <c r="M566" s="3" t="s">
        <v>36</v>
      </c>
      <c r="N566" s="3">
        <v>8</v>
      </c>
      <c r="O566" s="3">
        <v>6</v>
      </c>
      <c r="P566" s="3">
        <v>6</v>
      </c>
      <c r="S566" s="3">
        <v>0</v>
      </c>
      <c r="T566" s="3">
        <v>6.96E-3</v>
      </c>
      <c r="U566" s="3">
        <v>7.6000000000000004E-4</v>
      </c>
      <c r="V566" s="3">
        <v>0</v>
      </c>
      <c r="W566" s="3">
        <v>0</v>
      </c>
      <c r="AA566" s="3" t="str">
        <f t="shared" si="5"/>
        <v>276_35__vv</v>
      </c>
      <c r="AB566" s="3" t="str">
        <f t="shared" si="4"/>
        <v>276_35__vv_3</v>
      </c>
      <c r="AD566" s="3" t="s">
        <v>37</v>
      </c>
    </row>
    <row r="567" spans="1:30" ht="12.5">
      <c r="A567" s="3">
        <v>566</v>
      </c>
      <c r="F567" s="3"/>
      <c r="H567" s="3"/>
      <c r="M567" s="3" t="s">
        <v>38</v>
      </c>
      <c r="N567" s="3">
        <v>12</v>
      </c>
      <c r="O567" s="3">
        <v>6</v>
      </c>
      <c r="P567" s="3">
        <v>7</v>
      </c>
      <c r="S567" s="3">
        <v>0</v>
      </c>
      <c r="T567" s="3">
        <v>3.576E-2</v>
      </c>
      <c r="U567" s="3">
        <v>3.2699999999999999E-3</v>
      </c>
      <c r="V567" s="3">
        <v>0</v>
      </c>
      <c r="W567" s="3">
        <v>0</v>
      </c>
      <c r="AA567" s="3" t="str">
        <f t="shared" si="5"/>
        <v>___</v>
      </c>
      <c r="AB567" s="3" t="str">
        <f t="shared" si="4"/>
        <v>____</v>
      </c>
    </row>
    <row r="568" spans="1:30" ht="12.5">
      <c r="A568" s="3">
        <v>567</v>
      </c>
      <c r="F568" s="3"/>
      <c r="H568" s="3"/>
      <c r="M568" s="3" t="s">
        <v>39</v>
      </c>
      <c r="N568" s="3">
        <v>16</v>
      </c>
      <c r="O568" s="3">
        <v>0</v>
      </c>
      <c r="P568" s="3">
        <v>5</v>
      </c>
      <c r="S568" s="3">
        <v>0</v>
      </c>
      <c r="T568" s="3">
        <v>0</v>
      </c>
      <c r="U568" s="3">
        <v>4.3800000000000002E-3</v>
      </c>
      <c r="V568" s="3">
        <v>0</v>
      </c>
      <c r="W568" s="3">
        <v>0</v>
      </c>
      <c r="AA568" s="3" t="str">
        <f t="shared" si="5"/>
        <v>___</v>
      </c>
      <c r="AB568" s="3" t="str">
        <f t="shared" si="4"/>
        <v>____</v>
      </c>
    </row>
    <row r="569" spans="1:30" ht="12.5">
      <c r="A569" s="3">
        <v>568</v>
      </c>
      <c r="B569" s="12">
        <v>45493</v>
      </c>
      <c r="C569" s="6">
        <v>276</v>
      </c>
      <c r="D569" s="6">
        <v>64</v>
      </c>
      <c r="F569" s="3"/>
      <c r="H569" s="3" t="s">
        <v>40</v>
      </c>
      <c r="I569" s="3">
        <v>1</v>
      </c>
      <c r="J569" s="4">
        <v>45420</v>
      </c>
      <c r="K569" s="4">
        <v>45419</v>
      </c>
      <c r="L569" s="3">
        <v>5</v>
      </c>
      <c r="M569" s="3" t="s">
        <v>36</v>
      </c>
      <c r="N569" s="3">
        <v>11</v>
      </c>
      <c r="O569" s="3">
        <v>5</v>
      </c>
      <c r="P569" s="3">
        <v>5</v>
      </c>
      <c r="S569" s="3">
        <v>0</v>
      </c>
      <c r="T569" s="3">
        <v>6.2899999999999996E-3</v>
      </c>
      <c r="U569" s="3">
        <v>1.5299999999999999E-3</v>
      </c>
      <c r="V569" s="3">
        <v>0</v>
      </c>
      <c r="W569" s="3">
        <v>0</v>
      </c>
      <c r="AA569" s="3" t="str">
        <f t="shared" si="5"/>
        <v>276_64__vm</v>
      </c>
      <c r="AB569" s="3" t="str">
        <f t="shared" si="4"/>
        <v>276_64__vm_1</v>
      </c>
      <c r="AD569" s="3" t="s">
        <v>37</v>
      </c>
    </row>
    <row r="570" spans="1:30" ht="12.5">
      <c r="A570" s="3">
        <v>569</v>
      </c>
      <c r="F570" s="3"/>
      <c r="H570" s="3"/>
      <c r="M570" s="3" t="s">
        <v>38</v>
      </c>
      <c r="N570" s="3">
        <v>17</v>
      </c>
      <c r="O570" s="3">
        <v>0</v>
      </c>
      <c r="P570" s="3">
        <v>1</v>
      </c>
      <c r="Q570" s="3">
        <v>3</v>
      </c>
      <c r="R570" s="3">
        <v>3</v>
      </c>
      <c r="S570" s="3">
        <v>0</v>
      </c>
      <c r="T570" s="3">
        <v>0</v>
      </c>
      <c r="U570" s="3">
        <v>4.9300000000000004E-3</v>
      </c>
      <c r="V570" s="3">
        <v>6.9300000000000004E-3</v>
      </c>
      <c r="W570" s="3">
        <v>0</v>
      </c>
      <c r="AA570" s="3" t="str">
        <f t="shared" si="5"/>
        <v>___</v>
      </c>
      <c r="AB570" s="3" t="str">
        <f t="shared" si="4"/>
        <v>____</v>
      </c>
    </row>
    <row r="571" spans="1:30" ht="12.5">
      <c r="A571" s="3">
        <v>570</v>
      </c>
      <c r="F571" s="3"/>
      <c r="H571" s="3"/>
      <c r="M571" s="3" t="s">
        <v>39</v>
      </c>
      <c r="N571" s="3">
        <v>23</v>
      </c>
      <c r="O571" s="3">
        <v>0</v>
      </c>
      <c r="P571" s="3">
        <v>1</v>
      </c>
      <c r="Q571" s="3">
        <v>3</v>
      </c>
      <c r="R571" s="3">
        <v>3</v>
      </c>
      <c r="S571" s="3">
        <v>0</v>
      </c>
      <c r="T571" s="3">
        <v>0</v>
      </c>
      <c r="U571" s="3">
        <v>1.0410000000000001E-2</v>
      </c>
      <c r="V571" s="3">
        <v>1.5820000000000001E-2</v>
      </c>
      <c r="W571" s="3">
        <v>0</v>
      </c>
      <c r="AA571" s="3" t="str">
        <f t="shared" si="5"/>
        <v>___</v>
      </c>
      <c r="AB571" s="3" t="str">
        <f t="shared" si="4"/>
        <v>____</v>
      </c>
    </row>
    <row r="572" spans="1:30" ht="12.5">
      <c r="A572" s="3">
        <v>571</v>
      </c>
      <c r="B572" s="12">
        <v>45493</v>
      </c>
      <c r="C572" s="3">
        <v>276</v>
      </c>
      <c r="D572" s="3">
        <v>64</v>
      </c>
      <c r="F572" s="3"/>
      <c r="H572" s="3" t="s">
        <v>40</v>
      </c>
      <c r="I572" s="3">
        <v>2</v>
      </c>
      <c r="J572" s="4">
        <v>45296</v>
      </c>
      <c r="K572" s="4">
        <v>45478</v>
      </c>
      <c r="L572" s="3">
        <v>4</v>
      </c>
      <c r="M572" s="3" t="s">
        <v>36</v>
      </c>
      <c r="N572" s="3">
        <v>12</v>
      </c>
      <c r="O572" s="3">
        <v>5</v>
      </c>
      <c r="P572" s="3">
        <v>5</v>
      </c>
      <c r="S572" s="3">
        <v>0</v>
      </c>
      <c r="T572" s="3">
        <v>7.79E-3</v>
      </c>
      <c r="U572" s="3">
        <v>2.5300000000000001E-3</v>
      </c>
      <c r="V572" s="3">
        <v>0</v>
      </c>
      <c r="W572" s="3">
        <v>0</v>
      </c>
      <c r="AA572" s="3" t="str">
        <f t="shared" si="5"/>
        <v>276_64__vm</v>
      </c>
      <c r="AB572" s="3" t="str">
        <f t="shared" si="4"/>
        <v>276_64__vm_2</v>
      </c>
      <c r="AD572" s="3" t="s">
        <v>37</v>
      </c>
    </row>
    <row r="573" spans="1:30" ht="12.5">
      <c r="A573" s="3">
        <v>572</v>
      </c>
      <c r="F573" s="3"/>
      <c r="H573" s="3"/>
      <c r="M573" s="3" t="s">
        <v>38</v>
      </c>
      <c r="N573" s="3">
        <v>30</v>
      </c>
      <c r="O573" s="3">
        <v>0</v>
      </c>
      <c r="P573" s="3">
        <v>3</v>
      </c>
      <c r="Q573" s="3">
        <v>1</v>
      </c>
      <c r="R573" s="3">
        <v>1</v>
      </c>
      <c r="S573" s="3">
        <v>0</v>
      </c>
      <c r="T573" s="3">
        <v>0</v>
      </c>
      <c r="U573" s="3">
        <v>1.082E-2</v>
      </c>
      <c r="V573" s="3">
        <v>1.026E-2</v>
      </c>
      <c r="W573" s="3">
        <v>0</v>
      </c>
      <c r="AA573" s="3" t="str">
        <f t="shared" si="5"/>
        <v>___</v>
      </c>
      <c r="AB573" s="3" t="str">
        <f t="shared" si="4"/>
        <v>____</v>
      </c>
    </row>
    <row r="574" spans="1:30" ht="12.5">
      <c r="A574" s="3">
        <v>573</v>
      </c>
      <c r="F574" s="3"/>
      <c r="H574" s="3"/>
      <c r="M574" s="3" t="s">
        <v>39</v>
      </c>
      <c r="N574" s="3">
        <v>11</v>
      </c>
      <c r="O574" s="3">
        <v>0</v>
      </c>
      <c r="P574" s="3">
        <v>1</v>
      </c>
      <c r="Q574" s="3">
        <v>1</v>
      </c>
      <c r="R574" s="3">
        <v>1</v>
      </c>
      <c r="S574" s="3">
        <v>0</v>
      </c>
      <c r="T574" s="3">
        <v>0</v>
      </c>
      <c r="U574" s="3">
        <v>7.7499999999999999E-3</v>
      </c>
      <c r="V574" s="3">
        <v>1.915E-2</v>
      </c>
      <c r="W574" s="3">
        <v>0</v>
      </c>
      <c r="AA574" s="3" t="str">
        <f t="shared" si="5"/>
        <v>___</v>
      </c>
      <c r="AB574" s="3" t="str">
        <f t="shared" si="4"/>
        <v>____</v>
      </c>
    </row>
    <row r="575" spans="1:30" ht="12.5">
      <c r="A575" s="3">
        <v>574</v>
      </c>
      <c r="B575" s="12">
        <v>45493</v>
      </c>
      <c r="C575" s="3">
        <v>276</v>
      </c>
      <c r="D575" s="3">
        <v>64</v>
      </c>
      <c r="F575" s="3"/>
      <c r="H575" s="3" t="s">
        <v>40</v>
      </c>
      <c r="I575" s="3">
        <v>3</v>
      </c>
      <c r="J575" s="4">
        <v>45480</v>
      </c>
      <c r="K575" s="4">
        <v>45511</v>
      </c>
      <c r="L575" s="3">
        <v>6</v>
      </c>
      <c r="M575" s="3" t="s">
        <v>36</v>
      </c>
      <c r="N575" s="3">
        <v>14</v>
      </c>
      <c r="O575" s="3">
        <v>5</v>
      </c>
      <c r="P575" s="3">
        <v>5</v>
      </c>
      <c r="S575" s="3">
        <v>0</v>
      </c>
      <c r="T575" s="3">
        <v>1.0059999999999999E-2</v>
      </c>
      <c r="U575" s="3">
        <v>2.8800000000000002E-3</v>
      </c>
      <c r="V575" s="3">
        <v>0</v>
      </c>
      <c r="W575" s="3">
        <v>0</v>
      </c>
      <c r="AA575" s="3" t="str">
        <f t="shared" si="5"/>
        <v>276_64__vm</v>
      </c>
      <c r="AB575" s="3" t="str">
        <f t="shared" si="4"/>
        <v>276_64__vm_3</v>
      </c>
      <c r="AD575" s="3" t="s">
        <v>37</v>
      </c>
    </row>
    <row r="576" spans="1:30" ht="12.5">
      <c r="A576" s="3">
        <v>575</v>
      </c>
      <c r="F576" s="3"/>
      <c r="H576" s="3"/>
      <c r="M576" s="3" t="s">
        <v>38</v>
      </c>
      <c r="N576" s="3">
        <v>22</v>
      </c>
      <c r="O576" s="3">
        <v>0</v>
      </c>
      <c r="P576" s="3">
        <v>3</v>
      </c>
      <c r="Q576" s="3">
        <v>1</v>
      </c>
      <c r="R576" s="3">
        <v>1</v>
      </c>
      <c r="S576" s="3">
        <v>0</v>
      </c>
      <c r="T576" s="3">
        <v>0</v>
      </c>
      <c r="U576" s="3">
        <v>7.6600000000000001E-3</v>
      </c>
      <c r="V576" s="3">
        <v>9.3699999999999999E-3</v>
      </c>
      <c r="W576" s="3">
        <v>0</v>
      </c>
      <c r="AA576" s="3" t="str">
        <f t="shared" si="5"/>
        <v>___</v>
      </c>
      <c r="AB576" s="3" t="str">
        <f t="shared" si="4"/>
        <v>____</v>
      </c>
    </row>
    <row r="577" spans="1:30" ht="12.5">
      <c r="A577" s="3">
        <v>576</v>
      </c>
      <c r="F577" s="3"/>
      <c r="H577" s="3"/>
      <c r="M577" s="3" t="s">
        <v>39</v>
      </c>
      <c r="N577" s="3">
        <v>17</v>
      </c>
      <c r="O577" s="3">
        <v>0</v>
      </c>
      <c r="P577" s="3">
        <v>2</v>
      </c>
      <c r="Q577" s="3">
        <v>3</v>
      </c>
      <c r="R577" s="3">
        <v>3</v>
      </c>
      <c r="S577" s="3">
        <v>0</v>
      </c>
      <c r="T577" s="3">
        <v>0</v>
      </c>
      <c r="U577" s="3">
        <v>9.1500000000000001E-3</v>
      </c>
      <c r="V577" s="3">
        <v>5.9159999999999997E-2</v>
      </c>
      <c r="W577" s="3">
        <v>0</v>
      </c>
      <c r="AA577" s="3" t="str">
        <f t="shared" si="5"/>
        <v>___</v>
      </c>
      <c r="AB577" s="3" t="str">
        <f t="shared" si="4"/>
        <v>____</v>
      </c>
    </row>
    <row r="578" spans="1:30" ht="12.5">
      <c r="A578" s="3">
        <v>577</v>
      </c>
      <c r="B578" s="12">
        <v>45493</v>
      </c>
      <c r="C578" s="3">
        <v>276</v>
      </c>
      <c r="D578" s="3">
        <v>64</v>
      </c>
      <c r="F578" s="3"/>
      <c r="H578" s="3" t="s">
        <v>35</v>
      </c>
      <c r="I578" s="3">
        <v>1</v>
      </c>
      <c r="J578" s="4">
        <v>45415</v>
      </c>
      <c r="K578" s="4">
        <v>45538</v>
      </c>
      <c r="L578" s="3">
        <v>5</v>
      </c>
      <c r="M578" s="3" t="s">
        <v>36</v>
      </c>
      <c r="N578" s="3">
        <v>10</v>
      </c>
      <c r="O578" s="3">
        <v>8</v>
      </c>
      <c r="P578" s="3">
        <v>8</v>
      </c>
      <c r="S578" s="3">
        <v>0</v>
      </c>
      <c r="T578" s="3">
        <v>2.094E-2</v>
      </c>
      <c r="U578" s="3">
        <v>1.83E-3</v>
      </c>
      <c r="V578" s="3">
        <v>0</v>
      </c>
      <c r="W578" s="3">
        <v>0</v>
      </c>
      <c r="AA578" s="3" t="str">
        <f t="shared" si="5"/>
        <v>276_64__vv</v>
      </c>
      <c r="AB578" s="3" t="str">
        <f t="shared" si="4"/>
        <v>276_64__vv_1</v>
      </c>
      <c r="AD578" s="3" t="s">
        <v>37</v>
      </c>
    </row>
    <row r="579" spans="1:30" ht="12.5">
      <c r="A579" s="3">
        <v>578</v>
      </c>
      <c r="F579" s="3"/>
      <c r="H579" s="3"/>
      <c r="M579" s="3" t="s">
        <v>38</v>
      </c>
      <c r="N579" s="3">
        <v>13</v>
      </c>
      <c r="O579" s="3">
        <v>7</v>
      </c>
      <c r="P579" s="3">
        <v>7</v>
      </c>
      <c r="S579" s="3">
        <v>0</v>
      </c>
      <c r="T579" s="3">
        <v>5.1950000000000003E-2</v>
      </c>
      <c r="U579" s="3">
        <v>3.7100000000000002E-3</v>
      </c>
      <c r="V579" s="3">
        <v>0</v>
      </c>
      <c r="W579" s="3">
        <v>0</v>
      </c>
      <c r="AA579" s="3" t="str">
        <f t="shared" si="5"/>
        <v>___</v>
      </c>
      <c r="AB579" s="3" t="str">
        <f t="shared" si="4"/>
        <v>____</v>
      </c>
    </row>
    <row r="580" spans="1:30" ht="12.5">
      <c r="A580" s="3">
        <v>579</v>
      </c>
      <c r="F580" s="3"/>
      <c r="H580" s="3"/>
      <c r="M580" s="3" t="s">
        <v>39</v>
      </c>
      <c r="N580" s="3">
        <v>6</v>
      </c>
      <c r="O580" s="3">
        <v>4</v>
      </c>
      <c r="P580" s="3">
        <v>5</v>
      </c>
      <c r="S580" s="3">
        <v>0</v>
      </c>
      <c r="T580" s="3">
        <v>1.7309999999999999E-2</v>
      </c>
      <c r="U580" s="3">
        <v>1.4499999999999999E-3</v>
      </c>
      <c r="V580" s="3">
        <v>0</v>
      </c>
      <c r="W580" s="3">
        <v>0</v>
      </c>
      <c r="AA580" s="3" t="str">
        <f t="shared" si="5"/>
        <v>___</v>
      </c>
      <c r="AB580" s="3" t="str">
        <f t="shared" si="4"/>
        <v>____</v>
      </c>
    </row>
    <row r="581" spans="1:30" ht="12.5">
      <c r="A581" s="3">
        <v>580</v>
      </c>
      <c r="B581" s="12">
        <v>45493</v>
      </c>
      <c r="C581" s="3">
        <v>276</v>
      </c>
      <c r="D581" s="3">
        <v>64</v>
      </c>
      <c r="F581" s="3"/>
      <c r="H581" s="3" t="s">
        <v>35</v>
      </c>
      <c r="I581" s="3">
        <v>2</v>
      </c>
      <c r="J581" s="4">
        <v>45445</v>
      </c>
      <c r="K581" s="4">
        <v>45384</v>
      </c>
      <c r="L581" s="3">
        <v>2</v>
      </c>
      <c r="M581" s="3" t="s">
        <v>36</v>
      </c>
      <c r="N581" s="3">
        <v>10</v>
      </c>
      <c r="O581" s="3">
        <v>8</v>
      </c>
      <c r="P581" s="3">
        <v>8</v>
      </c>
      <c r="S581" s="3">
        <v>0</v>
      </c>
      <c r="T581" s="3">
        <v>3.0470000000000001E-2</v>
      </c>
      <c r="U581" s="3">
        <v>1.99E-3</v>
      </c>
      <c r="V581" s="3">
        <v>0</v>
      </c>
      <c r="W581" s="3">
        <v>0</v>
      </c>
      <c r="X581" s="3"/>
      <c r="Y581" s="3" t="s">
        <v>56</v>
      </c>
      <c r="AA581" s="3" t="str">
        <f t="shared" si="5"/>
        <v>276_64__vv</v>
      </c>
      <c r="AB581" s="3" t="str">
        <f t="shared" si="4"/>
        <v>276_64__vv_2</v>
      </c>
      <c r="AD581" s="3" t="s">
        <v>37</v>
      </c>
    </row>
    <row r="582" spans="1:30" ht="12.5">
      <c r="A582" s="3">
        <v>581</v>
      </c>
      <c r="F582" s="3"/>
      <c r="H582" s="3"/>
      <c r="M582" s="3" t="s">
        <v>38</v>
      </c>
      <c r="N582" s="3">
        <v>15</v>
      </c>
      <c r="O582" s="3">
        <v>5</v>
      </c>
      <c r="P582" s="3">
        <v>8</v>
      </c>
      <c r="S582" s="3">
        <v>0</v>
      </c>
      <c r="T582" s="3">
        <v>2.2409999999999999E-2</v>
      </c>
      <c r="U582" s="3">
        <v>4.7499999999999999E-3</v>
      </c>
      <c r="V582" s="3">
        <v>0</v>
      </c>
      <c r="W582" s="3">
        <v>0</v>
      </c>
      <c r="AA582" s="3" t="str">
        <f t="shared" si="5"/>
        <v>___</v>
      </c>
      <c r="AB582" s="3" t="str">
        <f t="shared" si="4"/>
        <v>____</v>
      </c>
    </row>
    <row r="583" spans="1:30" ht="12.5">
      <c r="A583" s="3">
        <v>582</v>
      </c>
      <c r="F583" s="3"/>
      <c r="H583" s="3"/>
      <c r="M583" s="3" t="s">
        <v>39</v>
      </c>
      <c r="N583" s="3" t="s">
        <v>47</v>
      </c>
      <c r="O583" s="3" t="s">
        <v>47</v>
      </c>
      <c r="P583" s="3" t="s">
        <v>47</v>
      </c>
      <c r="AA583" s="3" t="str">
        <f t="shared" si="5"/>
        <v>___</v>
      </c>
      <c r="AB583" s="3" t="str">
        <f t="shared" si="4"/>
        <v>____</v>
      </c>
    </row>
    <row r="584" spans="1:30" ht="12.5">
      <c r="A584" s="3">
        <v>583</v>
      </c>
      <c r="B584" s="12">
        <v>45493</v>
      </c>
      <c r="C584" s="3">
        <v>276</v>
      </c>
      <c r="D584" s="3">
        <v>64</v>
      </c>
      <c r="F584" s="3"/>
      <c r="H584" s="3" t="s">
        <v>35</v>
      </c>
      <c r="I584" s="3">
        <v>3</v>
      </c>
      <c r="J584" s="3">
        <v>4</v>
      </c>
      <c r="K584" s="3">
        <v>4</v>
      </c>
      <c r="L584" s="3">
        <v>3</v>
      </c>
      <c r="M584" s="3" t="s">
        <v>36</v>
      </c>
      <c r="N584" s="3">
        <v>22</v>
      </c>
      <c r="O584" s="3">
        <v>7</v>
      </c>
      <c r="P584" s="3">
        <v>7</v>
      </c>
      <c r="S584" s="3">
        <v>0</v>
      </c>
      <c r="T584" s="3">
        <v>4.4470000000000003E-2</v>
      </c>
      <c r="U584" s="3">
        <v>5.2599999999999999E-3</v>
      </c>
      <c r="V584" s="3">
        <v>0</v>
      </c>
      <c r="W584" s="3">
        <v>0</v>
      </c>
      <c r="AA584" s="3" t="str">
        <f t="shared" si="5"/>
        <v>276_64__vv</v>
      </c>
      <c r="AB584" s="3" t="str">
        <f t="shared" si="4"/>
        <v>276_64__vv_3</v>
      </c>
      <c r="AD584" s="3" t="s">
        <v>37</v>
      </c>
    </row>
    <row r="585" spans="1:30" ht="12.5">
      <c r="A585" s="3">
        <v>584</v>
      </c>
      <c r="F585" s="3"/>
      <c r="H585" s="3"/>
      <c r="M585" s="3" t="s">
        <v>38</v>
      </c>
      <c r="N585" s="3">
        <v>13</v>
      </c>
      <c r="O585" s="3">
        <v>4</v>
      </c>
      <c r="P585" s="3">
        <v>7</v>
      </c>
      <c r="S585" s="3">
        <v>0</v>
      </c>
      <c r="T585" s="3">
        <v>8.7500000000000008E-3</v>
      </c>
      <c r="U585" s="3">
        <v>3.2299999999999998E-3</v>
      </c>
      <c r="V585" s="3">
        <v>0</v>
      </c>
      <c r="W585" s="3">
        <v>0</v>
      </c>
      <c r="AA585" s="3" t="str">
        <f t="shared" si="5"/>
        <v>___</v>
      </c>
      <c r="AB585" s="3" t="str">
        <f t="shared" si="4"/>
        <v>____</v>
      </c>
    </row>
    <row r="586" spans="1:30" ht="12.5">
      <c r="A586" s="3">
        <v>585</v>
      </c>
      <c r="F586" s="3"/>
      <c r="H586" s="3"/>
      <c r="M586" s="3" t="s">
        <v>39</v>
      </c>
      <c r="N586" s="3">
        <v>5</v>
      </c>
      <c r="O586" s="3">
        <v>4</v>
      </c>
      <c r="P586" s="3">
        <v>0</v>
      </c>
      <c r="S586" s="3">
        <v>0</v>
      </c>
      <c r="T586" s="3">
        <v>0</v>
      </c>
      <c r="U586" s="3">
        <v>1.1999999999999999E-3</v>
      </c>
      <c r="V586" s="3">
        <v>0</v>
      </c>
      <c r="W586" s="3">
        <v>0</v>
      </c>
      <c r="AA586" s="3" t="str">
        <f t="shared" si="5"/>
        <v>___</v>
      </c>
      <c r="AB586" s="3" t="str">
        <f t="shared" si="4"/>
        <v>____</v>
      </c>
    </row>
    <row r="587" spans="1:30" ht="12.5">
      <c r="A587" s="3">
        <v>586</v>
      </c>
      <c r="B587" s="12">
        <v>45493</v>
      </c>
      <c r="C587" s="6">
        <v>276</v>
      </c>
      <c r="D587" s="6">
        <v>42</v>
      </c>
      <c r="F587" s="3"/>
      <c r="H587" s="3" t="s">
        <v>40</v>
      </c>
      <c r="I587" s="3">
        <v>1</v>
      </c>
      <c r="J587" s="4">
        <v>45478</v>
      </c>
      <c r="K587" s="4">
        <v>45356</v>
      </c>
      <c r="L587" s="3">
        <v>4</v>
      </c>
      <c r="M587" s="3" t="s">
        <v>36</v>
      </c>
      <c r="N587" s="3">
        <v>30</v>
      </c>
      <c r="O587" s="3">
        <v>6</v>
      </c>
      <c r="P587" s="3">
        <v>6</v>
      </c>
      <c r="S587" s="3">
        <v>0</v>
      </c>
      <c r="T587" s="3">
        <v>2.971E-2</v>
      </c>
      <c r="U587" s="3">
        <v>9.6900000000000007E-3</v>
      </c>
      <c r="V587" s="3">
        <v>0</v>
      </c>
      <c r="W587" s="3">
        <v>0</v>
      </c>
      <c r="AA587" s="3" t="str">
        <f t="shared" si="5"/>
        <v>276_42__vm</v>
      </c>
      <c r="AB587" s="3" t="str">
        <f t="shared" si="4"/>
        <v>276_42__vm_1</v>
      </c>
      <c r="AD587" s="3" t="s">
        <v>37</v>
      </c>
    </row>
    <row r="588" spans="1:30" ht="12.5">
      <c r="A588" s="3">
        <v>587</v>
      </c>
      <c r="F588" s="3"/>
      <c r="H588" s="3"/>
      <c r="M588" s="3" t="s">
        <v>38</v>
      </c>
      <c r="N588" s="3">
        <v>15</v>
      </c>
      <c r="O588" s="3">
        <v>0</v>
      </c>
      <c r="P588" s="3">
        <v>3</v>
      </c>
      <c r="Q588" s="3">
        <v>1</v>
      </c>
      <c r="R588" s="3">
        <v>1</v>
      </c>
      <c r="S588" s="3">
        <v>0</v>
      </c>
      <c r="T588" s="3">
        <v>0</v>
      </c>
      <c r="U588" s="3">
        <v>5.8199999999999997E-3</v>
      </c>
      <c r="V588" s="3">
        <v>1.3899999999999999E-2</v>
      </c>
      <c r="W588" s="3">
        <v>0</v>
      </c>
      <c r="AA588" s="3" t="str">
        <f t="shared" si="5"/>
        <v>___</v>
      </c>
      <c r="AB588" s="3" t="str">
        <f t="shared" si="4"/>
        <v>____</v>
      </c>
    </row>
    <row r="589" spans="1:30" ht="12.5">
      <c r="A589" s="3">
        <v>588</v>
      </c>
      <c r="F589" s="3"/>
      <c r="H589" s="3"/>
      <c r="M589" s="3" t="s">
        <v>39</v>
      </c>
      <c r="N589" s="3">
        <v>8</v>
      </c>
      <c r="O589" s="3">
        <v>0</v>
      </c>
      <c r="P589" s="3">
        <v>2</v>
      </c>
      <c r="Q589" s="3">
        <v>2</v>
      </c>
      <c r="R589" s="3">
        <v>2</v>
      </c>
      <c r="S589" s="3">
        <v>0</v>
      </c>
      <c r="T589" s="3">
        <v>0</v>
      </c>
      <c r="U589" s="3">
        <v>6.0800000000000003E-3</v>
      </c>
      <c r="V589" s="3">
        <v>6.0740000000000002E-2</v>
      </c>
      <c r="W589" s="3">
        <v>0</v>
      </c>
      <c r="AA589" s="3" t="str">
        <f t="shared" si="5"/>
        <v>___</v>
      </c>
      <c r="AB589" s="3" t="str">
        <f t="shared" si="4"/>
        <v>____</v>
      </c>
    </row>
    <row r="590" spans="1:30" ht="12.5">
      <c r="A590" s="3">
        <v>589</v>
      </c>
      <c r="B590" s="12">
        <v>45493</v>
      </c>
      <c r="C590" s="3">
        <v>276</v>
      </c>
      <c r="D590" s="3">
        <v>42</v>
      </c>
      <c r="F590" s="3"/>
      <c r="H590" s="3" t="s">
        <v>40</v>
      </c>
      <c r="I590" s="3">
        <v>2</v>
      </c>
      <c r="J590" s="4">
        <v>45418</v>
      </c>
      <c r="K590" s="4">
        <v>45510</v>
      </c>
      <c r="L590" s="3">
        <v>3</v>
      </c>
      <c r="M590" s="3" t="s">
        <v>36</v>
      </c>
      <c r="N590" s="3">
        <v>24</v>
      </c>
      <c r="O590" s="3">
        <v>7</v>
      </c>
      <c r="P590" s="3">
        <v>7</v>
      </c>
      <c r="S590" s="3">
        <v>0</v>
      </c>
      <c r="T590" s="3">
        <v>2.615E-2</v>
      </c>
      <c r="U590" s="3">
        <v>9.9599999999999994E-2</v>
      </c>
      <c r="V590" s="3">
        <v>0</v>
      </c>
      <c r="W590" s="3">
        <v>0</v>
      </c>
      <c r="AA590" s="3" t="str">
        <f t="shared" si="5"/>
        <v>276_42__vm</v>
      </c>
      <c r="AB590" s="3" t="str">
        <f t="shared" si="4"/>
        <v>276_42__vm_2</v>
      </c>
      <c r="AD590" s="3" t="s">
        <v>37</v>
      </c>
    </row>
    <row r="591" spans="1:30" ht="12.5">
      <c r="A591" s="3">
        <v>590</v>
      </c>
      <c r="F591" s="3"/>
      <c r="H591" s="3"/>
      <c r="M591" s="3" t="s">
        <v>38</v>
      </c>
      <c r="N591" s="3">
        <v>39</v>
      </c>
      <c r="O591" s="3">
        <v>0</v>
      </c>
      <c r="P591" s="3">
        <v>3</v>
      </c>
      <c r="Q591" s="3">
        <v>4</v>
      </c>
      <c r="R591" s="3">
        <v>3</v>
      </c>
      <c r="S591" s="3">
        <v>0</v>
      </c>
      <c r="T591" s="3">
        <v>0</v>
      </c>
      <c r="U591" s="3">
        <v>2.9080000000000002E-2</v>
      </c>
      <c r="V591" s="3">
        <v>7.1999999999999995E-2</v>
      </c>
      <c r="W591" s="3">
        <v>0</v>
      </c>
      <c r="X591" s="3"/>
      <c r="Y591" s="3" t="s">
        <v>60</v>
      </c>
      <c r="AA591" s="3" t="str">
        <f t="shared" si="5"/>
        <v>___</v>
      </c>
      <c r="AB591" s="3" t="str">
        <f t="shared" si="4"/>
        <v>____</v>
      </c>
    </row>
    <row r="592" spans="1:30" ht="12.5">
      <c r="A592" s="3">
        <v>591</v>
      </c>
      <c r="F592" s="3"/>
      <c r="H592" s="3"/>
      <c r="M592" s="3" t="s">
        <v>39</v>
      </c>
      <c r="N592" s="3">
        <v>7</v>
      </c>
      <c r="O592" s="3">
        <v>0</v>
      </c>
      <c r="P592" s="3">
        <v>1</v>
      </c>
      <c r="Q592" s="3">
        <v>1</v>
      </c>
      <c r="R592" s="3">
        <v>1</v>
      </c>
      <c r="S592" s="3">
        <v>0</v>
      </c>
      <c r="T592" s="3">
        <v>0</v>
      </c>
      <c r="U592" s="3">
        <v>5.0800000000000003E-3</v>
      </c>
      <c r="V592" s="3">
        <v>4.2000000000000002E-4</v>
      </c>
      <c r="W592" s="3">
        <v>0</v>
      </c>
      <c r="AA592" s="3" t="str">
        <f t="shared" si="5"/>
        <v>___</v>
      </c>
      <c r="AB592" s="3" t="str">
        <f t="shared" si="4"/>
        <v>____</v>
      </c>
    </row>
    <row r="593" spans="1:30" ht="12.5">
      <c r="A593" s="3">
        <v>592</v>
      </c>
      <c r="B593" s="12">
        <v>45493</v>
      </c>
      <c r="C593" s="3">
        <v>276</v>
      </c>
      <c r="D593" s="3">
        <v>42</v>
      </c>
      <c r="F593" s="3"/>
      <c r="H593" s="3" t="s">
        <v>35</v>
      </c>
      <c r="I593" s="3">
        <v>2</v>
      </c>
      <c r="J593" s="4">
        <v>45414</v>
      </c>
      <c r="K593" s="4">
        <v>45414</v>
      </c>
      <c r="L593" s="3">
        <v>4</v>
      </c>
      <c r="M593" s="3" t="s">
        <v>36</v>
      </c>
      <c r="N593" s="3">
        <v>11</v>
      </c>
      <c r="O593" s="3">
        <v>6</v>
      </c>
      <c r="P593" s="3">
        <v>6</v>
      </c>
      <c r="S593" s="3">
        <v>0</v>
      </c>
      <c r="T593" s="3">
        <v>3.2300000000000002E-2</v>
      </c>
      <c r="U593" s="3">
        <v>2.8999999999999998E-3</v>
      </c>
      <c r="V593" s="3">
        <v>0</v>
      </c>
      <c r="W593" s="3">
        <v>0</v>
      </c>
      <c r="Y593" s="3" t="s">
        <v>79</v>
      </c>
      <c r="AA593" s="3" t="str">
        <f t="shared" si="5"/>
        <v>276_42__vv</v>
      </c>
      <c r="AB593" s="3" t="str">
        <f t="shared" si="4"/>
        <v>276_42__vv_2</v>
      </c>
      <c r="AD593" s="3" t="s">
        <v>37</v>
      </c>
    </row>
    <row r="594" spans="1:30" ht="12.5">
      <c r="A594" s="3">
        <v>593</v>
      </c>
      <c r="F594" s="3"/>
      <c r="H594" s="3"/>
      <c r="M594" s="3" t="s">
        <v>38</v>
      </c>
      <c r="N594" s="3">
        <v>6</v>
      </c>
      <c r="O594" s="3">
        <v>0</v>
      </c>
      <c r="P594" s="3">
        <v>6</v>
      </c>
      <c r="S594" s="3">
        <v>0</v>
      </c>
      <c r="T594" s="3">
        <v>5.8799999999999998E-3</v>
      </c>
      <c r="U594" s="3">
        <v>2.0500000000000002E-3</v>
      </c>
      <c r="V594" s="3">
        <v>0</v>
      </c>
      <c r="W594" s="3">
        <v>0</v>
      </c>
      <c r="AA594" s="3" t="str">
        <f t="shared" si="5"/>
        <v>___</v>
      </c>
      <c r="AB594" s="3" t="str">
        <f t="shared" si="4"/>
        <v>____</v>
      </c>
    </row>
    <row r="595" spans="1:30" ht="12.5">
      <c r="A595" s="3">
        <v>594</v>
      </c>
      <c r="F595" s="3"/>
      <c r="H595" s="3"/>
      <c r="M595" s="3" t="s">
        <v>39</v>
      </c>
      <c r="N595" s="3">
        <v>5</v>
      </c>
      <c r="O595" s="3">
        <v>0</v>
      </c>
      <c r="P595" s="3">
        <v>5</v>
      </c>
      <c r="S595" s="3">
        <v>0</v>
      </c>
      <c r="T595" s="3">
        <v>0</v>
      </c>
      <c r="U595" s="3">
        <v>4.2900000000000004E-3</v>
      </c>
      <c r="V595" s="3">
        <v>7.2999999999999996E-4</v>
      </c>
      <c r="W595" s="3">
        <v>0</v>
      </c>
      <c r="AA595" s="3" t="str">
        <f t="shared" si="5"/>
        <v>___</v>
      </c>
      <c r="AB595" s="3" t="str">
        <f t="shared" si="4"/>
        <v>____</v>
      </c>
    </row>
    <row r="596" spans="1:30" ht="12.5">
      <c r="A596" s="3">
        <v>595</v>
      </c>
      <c r="B596" s="12">
        <v>45493</v>
      </c>
      <c r="C596" s="3">
        <v>276</v>
      </c>
      <c r="D596" s="3">
        <v>42</v>
      </c>
      <c r="F596" s="3"/>
      <c r="H596" s="3" t="s">
        <v>35</v>
      </c>
      <c r="I596" s="3">
        <v>3</v>
      </c>
      <c r="J596" s="4">
        <v>45293</v>
      </c>
      <c r="K596" s="4">
        <v>45384</v>
      </c>
      <c r="L596" s="3">
        <v>3</v>
      </c>
      <c r="M596" s="3" t="s">
        <v>36</v>
      </c>
      <c r="N596" s="3">
        <v>14</v>
      </c>
      <c r="O596" s="3">
        <v>7</v>
      </c>
      <c r="P596" s="3">
        <v>8</v>
      </c>
      <c r="S596" s="3">
        <v>0</v>
      </c>
      <c r="T596" s="3">
        <v>3.8539999999999998E-2</v>
      </c>
      <c r="U596" s="3">
        <v>3.3400000000000001E-3</v>
      </c>
      <c r="V596" s="3">
        <v>0</v>
      </c>
      <c r="W596" s="3">
        <v>0</v>
      </c>
      <c r="AA596" s="3" t="str">
        <f t="shared" si="5"/>
        <v>276_42__vv</v>
      </c>
      <c r="AB596" s="3" t="str">
        <f t="shared" si="4"/>
        <v>276_42__vv_3</v>
      </c>
      <c r="AD596" s="3" t="s">
        <v>37</v>
      </c>
    </row>
    <row r="597" spans="1:30" ht="12.5">
      <c r="A597" s="3">
        <v>596</v>
      </c>
      <c r="F597" s="3"/>
      <c r="H597" s="3"/>
      <c r="M597" s="3" t="s">
        <v>38</v>
      </c>
      <c r="N597" s="3">
        <v>8</v>
      </c>
      <c r="O597" s="3">
        <v>1</v>
      </c>
      <c r="P597" s="3">
        <v>5</v>
      </c>
      <c r="S597" s="3">
        <v>0</v>
      </c>
      <c r="T597" s="3">
        <v>0</v>
      </c>
      <c r="U597" s="3">
        <v>1.7600000000000001E-3</v>
      </c>
      <c r="V597" s="3">
        <v>0</v>
      </c>
      <c r="W597" s="3">
        <v>0</v>
      </c>
      <c r="AA597" s="3" t="str">
        <f t="shared" si="5"/>
        <v>___</v>
      </c>
      <c r="AB597" s="3" t="str">
        <f t="shared" si="4"/>
        <v>____</v>
      </c>
    </row>
    <row r="598" spans="1:30" ht="12.5">
      <c r="A598" s="3">
        <v>597</v>
      </c>
      <c r="F598" s="3"/>
      <c r="H598" s="3"/>
      <c r="M598" s="3" t="s">
        <v>39</v>
      </c>
      <c r="N598" s="3">
        <v>9</v>
      </c>
      <c r="O598" s="3">
        <v>0</v>
      </c>
      <c r="P598" s="3">
        <v>8</v>
      </c>
      <c r="Q598" s="3">
        <v>2</v>
      </c>
      <c r="R598" s="3">
        <v>1</v>
      </c>
      <c r="S598" s="3">
        <v>0</v>
      </c>
      <c r="T598" s="3">
        <v>0</v>
      </c>
      <c r="U598" s="3">
        <v>2.5699999999999998E-3</v>
      </c>
      <c r="V598" s="3">
        <v>1.4189999999999999E-2</v>
      </c>
      <c r="W598" s="3">
        <v>0</v>
      </c>
      <c r="X598" s="3"/>
      <c r="Y598" s="3" t="s">
        <v>60</v>
      </c>
      <c r="AA598" s="3" t="str">
        <f t="shared" si="5"/>
        <v>___</v>
      </c>
      <c r="AB598" s="3" t="str">
        <f t="shared" si="4"/>
        <v>____</v>
      </c>
    </row>
    <row r="599" spans="1:30" ht="12.5">
      <c r="A599" s="3">
        <v>598</v>
      </c>
      <c r="B599" s="12">
        <v>45493</v>
      </c>
      <c r="C599" s="3">
        <v>276</v>
      </c>
      <c r="D599" s="3">
        <v>42</v>
      </c>
      <c r="F599" s="3"/>
      <c r="H599" s="3" t="s">
        <v>35</v>
      </c>
      <c r="I599" s="3">
        <v>4</v>
      </c>
      <c r="J599" s="4">
        <v>45414</v>
      </c>
      <c r="K599" s="3">
        <v>2</v>
      </c>
      <c r="L599" s="3">
        <v>3</v>
      </c>
      <c r="M599" s="3" t="s">
        <v>36</v>
      </c>
      <c r="N599" s="3">
        <v>15</v>
      </c>
      <c r="O599" s="3">
        <v>8</v>
      </c>
      <c r="P599" s="3">
        <v>8</v>
      </c>
      <c r="S599" s="3">
        <v>0</v>
      </c>
      <c r="T599" s="3">
        <v>2.7539999999999999E-2</v>
      </c>
      <c r="U599" s="3">
        <v>1.64E-3</v>
      </c>
      <c r="V599" s="3">
        <v>0</v>
      </c>
      <c r="W599" s="3">
        <v>0</v>
      </c>
      <c r="AA599" s="3" t="str">
        <f t="shared" si="5"/>
        <v>276_42__vv</v>
      </c>
      <c r="AB599" s="3" t="str">
        <f t="shared" si="4"/>
        <v>276_42__vv_4</v>
      </c>
      <c r="AD599" s="3" t="s">
        <v>37</v>
      </c>
    </row>
    <row r="600" spans="1:30" ht="12.5">
      <c r="A600" s="3">
        <v>599</v>
      </c>
      <c r="F600" s="3"/>
      <c r="H600" s="3"/>
      <c r="M600" s="3" t="s">
        <v>38</v>
      </c>
      <c r="N600" s="3">
        <v>6</v>
      </c>
      <c r="O600" s="3">
        <v>0</v>
      </c>
      <c r="P600" s="3">
        <v>5</v>
      </c>
      <c r="S600" s="3">
        <v>0</v>
      </c>
      <c r="T600" s="3">
        <v>0</v>
      </c>
      <c r="U600" s="3">
        <v>1.0200000000000001E-3</v>
      </c>
      <c r="V600" s="3">
        <v>0</v>
      </c>
      <c r="W600" s="3">
        <v>0</v>
      </c>
      <c r="AA600" s="3" t="str">
        <f t="shared" si="5"/>
        <v>___</v>
      </c>
      <c r="AB600" s="3" t="str">
        <f t="shared" si="4"/>
        <v>____</v>
      </c>
    </row>
    <row r="601" spans="1:30" ht="12.5">
      <c r="A601" s="3">
        <v>600</v>
      </c>
      <c r="F601" s="3"/>
      <c r="H601" s="3"/>
      <c r="M601" s="3" t="s">
        <v>39</v>
      </c>
      <c r="N601" s="3">
        <v>7</v>
      </c>
      <c r="O601" s="3">
        <v>0</v>
      </c>
      <c r="P601" s="3">
        <v>3</v>
      </c>
      <c r="S601" s="3">
        <v>0</v>
      </c>
      <c r="T601" s="3">
        <v>0</v>
      </c>
      <c r="U601" s="3">
        <v>1.31E-3</v>
      </c>
      <c r="V601" s="3">
        <v>0</v>
      </c>
      <c r="W601" s="3">
        <v>0</v>
      </c>
      <c r="AA601" s="3" t="str">
        <f t="shared" si="5"/>
        <v>___</v>
      </c>
      <c r="AB601" s="3" t="str">
        <f t="shared" si="4"/>
        <v>____</v>
      </c>
    </row>
    <row r="602" spans="1:30" ht="12.5">
      <c r="A602" s="3">
        <v>601</v>
      </c>
      <c r="B602" s="12">
        <v>45533</v>
      </c>
      <c r="C602" s="13" t="s">
        <v>80</v>
      </c>
      <c r="D602" s="10">
        <v>13</v>
      </c>
      <c r="E602" s="3" t="s">
        <v>81</v>
      </c>
      <c r="F602" s="3"/>
      <c r="G602" s="3" t="s">
        <v>82</v>
      </c>
      <c r="H602" s="3" t="s">
        <v>40</v>
      </c>
      <c r="I602" s="3">
        <v>1</v>
      </c>
      <c r="J602" s="4">
        <v>45431</v>
      </c>
      <c r="K602" s="4">
        <v>45464</v>
      </c>
      <c r="L602" s="3">
        <v>3</v>
      </c>
      <c r="M602" s="3" t="s">
        <v>36</v>
      </c>
      <c r="N602" s="3">
        <v>49</v>
      </c>
      <c r="O602" s="3">
        <v>7</v>
      </c>
      <c r="P602" s="3">
        <v>7</v>
      </c>
      <c r="AA602" s="3" t="str">
        <f t="shared" si="5"/>
        <v>0907_13_T4C5_vm</v>
      </c>
      <c r="AB602" s="3" t="str">
        <f t="shared" si="4"/>
        <v>0907_13_T4C5_vm_1</v>
      </c>
    </row>
    <row r="603" spans="1:30" ht="12.5">
      <c r="A603" s="3">
        <v>602</v>
      </c>
      <c r="F603" s="3"/>
      <c r="H603" s="3"/>
      <c r="M603" s="3" t="s">
        <v>38</v>
      </c>
      <c r="N603" s="3">
        <v>31</v>
      </c>
      <c r="O603" s="3">
        <v>0</v>
      </c>
      <c r="P603" s="3">
        <v>3</v>
      </c>
      <c r="R603" s="3">
        <v>1</v>
      </c>
      <c r="AA603" s="3" t="str">
        <f t="shared" si="5"/>
        <v>___</v>
      </c>
      <c r="AB603" s="3" t="str">
        <f t="shared" si="4"/>
        <v>____</v>
      </c>
    </row>
    <row r="604" spans="1:30" ht="12.5">
      <c r="A604" s="3">
        <v>603</v>
      </c>
      <c r="F604" s="3"/>
      <c r="H604" s="3"/>
      <c r="M604" s="3" t="s">
        <v>39</v>
      </c>
      <c r="N604" s="3">
        <v>89</v>
      </c>
      <c r="O604" s="3">
        <v>0</v>
      </c>
      <c r="P604" s="3">
        <v>8</v>
      </c>
      <c r="R604" s="3">
        <v>2</v>
      </c>
      <c r="AA604" s="3" t="str">
        <f t="shared" si="5"/>
        <v>___</v>
      </c>
      <c r="AB604" s="3" t="str">
        <f t="shared" si="4"/>
        <v>____</v>
      </c>
    </row>
    <row r="605" spans="1:30" ht="12.5">
      <c r="A605" s="3">
        <v>604</v>
      </c>
      <c r="B605" s="12">
        <v>45533</v>
      </c>
      <c r="C605" s="14" t="s">
        <v>80</v>
      </c>
      <c r="D605" s="3">
        <v>13</v>
      </c>
      <c r="E605" s="3" t="s">
        <v>81</v>
      </c>
      <c r="F605" s="3"/>
      <c r="G605" s="3" t="s">
        <v>82</v>
      </c>
      <c r="H605" s="3" t="s">
        <v>35</v>
      </c>
      <c r="I605" s="3">
        <v>1</v>
      </c>
      <c r="J605" s="3">
        <v>18</v>
      </c>
      <c r="K605" s="4">
        <v>45402</v>
      </c>
      <c r="L605" s="3">
        <v>3</v>
      </c>
      <c r="M605" s="3" t="s">
        <v>36</v>
      </c>
      <c r="N605" s="3">
        <v>54</v>
      </c>
      <c r="O605" s="3">
        <v>14</v>
      </c>
      <c r="P605" s="3">
        <v>16</v>
      </c>
      <c r="AA605" s="3" t="str">
        <f t="shared" si="5"/>
        <v>0907_13_T4C5_vv</v>
      </c>
      <c r="AB605" s="3" t="str">
        <f t="shared" si="4"/>
        <v>0907_13_T4C5_vv_1</v>
      </c>
    </row>
    <row r="606" spans="1:30" ht="12.5">
      <c r="A606" s="3">
        <v>605</v>
      </c>
      <c r="F606" s="3"/>
      <c r="H606" s="3"/>
      <c r="M606" s="3" t="s">
        <v>38</v>
      </c>
      <c r="N606" s="3">
        <v>50</v>
      </c>
      <c r="O606" s="3">
        <v>12</v>
      </c>
      <c r="P606" s="3">
        <v>13</v>
      </c>
      <c r="R606" s="3">
        <v>1</v>
      </c>
      <c r="AA606" s="3" t="str">
        <f t="shared" si="5"/>
        <v>___</v>
      </c>
      <c r="AB606" s="3" t="str">
        <f t="shared" si="4"/>
        <v>____</v>
      </c>
    </row>
    <row r="607" spans="1:30" ht="12.5">
      <c r="A607" s="3">
        <v>606</v>
      </c>
      <c r="F607" s="3"/>
      <c r="H607" s="3"/>
      <c r="M607" s="3" t="s">
        <v>39</v>
      </c>
      <c r="N607" s="3">
        <v>78</v>
      </c>
      <c r="O607" s="3">
        <v>1</v>
      </c>
      <c r="P607" s="3">
        <v>9</v>
      </c>
      <c r="AA607" s="3" t="str">
        <f t="shared" si="5"/>
        <v>___</v>
      </c>
      <c r="AB607" s="3" t="str">
        <f t="shared" si="4"/>
        <v>____</v>
      </c>
    </row>
    <row r="608" spans="1:30" ht="12.5">
      <c r="A608" s="3">
        <v>607</v>
      </c>
      <c r="B608" s="12">
        <v>45533</v>
      </c>
      <c r="C608" s="14" t="s">
        <v>80</v>
      </c>
      <c r="D608" s="3">
        <v>13</v>
      </c>
      <c r="E608" s="3" t="s">
        <v>81</v>
      </c>
      <c r="F608" s="3"/>
      <c r="G608" s="3" t="s">
        <v>82</v>
      </c>
      <c r="H608" s="3" t="s">
        <v>35</v>
      </c>
      <c r="I608" s="3">
        <v>2</v>
      </c>
      <c r="J608" s="3">
        <v>24</v>
      </c>
      <c r="K608" s="3">
        <v>25</v>
      </c>
      <c r="L608" s="3">
        <v>3</v>
      </c>
      <c r="M608" s="3" t="s">
        <v>36</v>
      </c>
      <c r="N608" s="3">
        <v>52</v>
      </c>
      <c r="O608" s="3">
        <v>10</v>
      </c>
      <c r="P608" s="3">
        <v>11</v>
      </c>
      <c r="AA608" s="3" t="str">
        <f t="shared" si="5"/>
        <v>0907_13_T4C5_vv</v>
      </c>
      <c r="AB608" s="3" t="str">
        <f t="shared" si="4"/>
        <v>0907_13_T4C5_vv_2</v>
      </c>
    </row>
    <row r="609" spans="1:28" ht="12.5">
      <c r="A609" s="3">
        <v>608</v>
      </c>
      <c r="F609" s="3"/>
      <c r="H609" s="3"/>
      <c r="M609" s="3" t="s">
        <v>38</v>
      </c>
      <c r="N609" s="3">
        <v>50</v>
      </c>
      <c r="O609" s="3">
        <v>10</v>
      </c>
      <c r="P609" s="3">
        <v>10</v>
      </c>
      <c r="AA609" s="3" t="str">
        <f t="shared" si="5"/>
        <v>___</v>
      </c>
      <c r="AB609" s="3" t="str">
        <f t="shared" si="4"/>
        <v>____</v>
      </c>
    </row>
    <row r="610" spans="1:28" ht="12.5">
      <c r="A610" s="3">
        <v>609</v>
      </c>
      <c r="F610" s="3"/>
      <c r="H610" s="3"/>
      <c r="M610" s="3" t="s">
        <v>39</v>
      </c>
      <c r="N610" s="3">
        <v>71</v>
      </c>
      <c r="O610" s="3">
        <v>4</v>
      </c>
      <c r="P610" s="3">
        <v>10</v>
      </c>
      <c r="AA610" s="3" t="str">
        <f t="shared" si="5"/>
        <v>___</v>
      </c>
      <c r="AB610" s="3" t="str">
        <f t="shared" si="4"/>
        <v>____</v>
      </c>
    </row>
    <row r="611" spans="1:28" ht="12.5">
      <c r="A611" s="3">
        <v>610</v>
      </c>
      <c r="B611" s="12">
        <v>45533</v>
      </c>
      <c r="C611" s="14" t="s">
        <v>80</v>
      </c>
      <c r="D611" s="3">
        <v>13</v>
      </c>
      <c r="E611" s="3" t="s">
        <v>81</v>
      </c>
      <c r="F611" s="3"/>
      <c r="G611" s="3" t="s">
        <v>82</v>
      </c>
      <c r="H611" s="3" t="s">
        <v>40</v>
      </c>
      <c r="I611" s="3">
        <v>2</v>
      </c>
      <c r="J611" s="4">
        <v>45341</v>
      </c>
      <c r="K611" s="4">
        <v>45402</v>
      </c>
      <c r="L611" s="3">
        <v>3</v>
      </c>
      <c r="M611" s="3" t="s">
        <v>36</v>
      </c>
      <c r="N611" s="3">
        <v>46</v>
      </c>
      <c r="O611" s="3">
        <v>5</v>
      </c>
      <c r="P611" s="3">
        <v>6</v>
      </c>
      <c r="AA611" s="3" t="str">
        <f t="shared" si="5"/>
        <v>0907_13_T4C5_vm</v>
      </c>
      <c r="AB611" s="3" t="str">
        <f t="shared" si="4"/>
        <v>0907_13_T4C5_vm_2</v>
      </c>
    </row>
    <row r="612" spans="1:28" ht="12.5">
      <c r="A612" s="3">
        <v>611</v>
      </c>
      <c r="F612" s="3"/>
      <c r="H612" s="3"/>
      <c r="M612" s="3" t="s">
        <v>38</v>
      </c>
      <c r="N612" s="3">
        <v>65</v>
      </c>
      <c r="O612" s="3">
        <v>0</v>
      </c>
      <c r="P612" s="3">
        <v>8</v>
      </c>
      <c r="AA612" s="3" t="str">
        <f t="shared" si="5"/>
        <v>___</v>
      </c>
      <c r="AB612" s="3" t="str">
        <f t="shared" si="4"/>
        <v>____</v>
      </c>
    </row>
    <row r="613" spans="1:28" ht="12.5">
      <c r="A613" s="3">
        <v>612</v>
      </c>
      <c r="F613" s="3"/>
      <c r="H613" s="3"/>
      <c r="M613" s="3" t="s">
        <v>39</v>
      </c>
      <c r="N613" s="3">
        <v>89</v>
      </c>
      <c r="O613" s="3">
        <v>0</v>
      </c>
      <c r="P613" s="3">
        <v>5</v>
      </c>
      <c r="AA613" s="3" t="str">
        <f t="shared" si="5"/>
        <v>___</v>
      </c>
      <c r="AB613" s="3" t="str">
        <f t="shared" si="4"/>
        <v>____</v>
      </c>
    </row>
    <row r="614" spans="1:28" ht="12.5">
      <c r="A614" s="3">
        <v>613</v>
      </c>
      <c r="B614" s="12">
        <v>45533</v>
      </c>
      <c r="C614" s="13" t="s">
        <v>80</v>
      </c>
      <c r="D614" s="10">
        <v>35</v>
      </c>
      <c r="E614" s="3" t="s">
        <v>81</v>
      </c>
      <c r="F614" s="3"/>
      <c r="G614" s="3" t="s">
        <v>83</v>
      </c>
      <c r="H614" s="3" t="s">
        <v>35</v>
      </c>
      <c r="I614" s="3">
        <v>3</v>
      </c>
      <c r="J614" s="3">
        <v>15</v>
      </c>
      <c r="K614" s="4">
        <v>45523</v>
      </c>
      <c r="L614" s="3">
        <v>3</v>
      </c>
      <c r="M614" s="3" t="s">
        <v>36</v>
      </c>
      <c r="N614" s="3">
        <v>36</v>
      </c>
      <c r="O614" s="3">
        <v>6</v>
      </c>
      <c r="P614" s="3">
        <v>6</v>
      </c>
      <c r="AA614" s="3" t="str">
        <f t="shared" si="5"/>
        <v>0907_35_T32C3_vv</v>
      </c>
      <c r="AB614" s="3" t="str">
        <f t="shared" si="4"/>
        <v>0907_35_T32C3_vv_3</v>
      </c>
    </row>
    <row r="615" spans="1:28" ht="12.5">
      <c r="A615" s="3">
        <v>614</v>
      </c>
      <c r="F615" s="3"/>
      <c r="H615" s="3"/>
      <c r="M615" s="3" t="s">
        <v>38</v>
      </c>
      <c r="N615" s="3">
        <v>74</v>
      </c>
      <c r="O615" s="3">
        <v>0</v>
      </c>
      <c r="P615" s="3">
        <v>8</v>
      </c>
      <c r="R615" s="3">
        <v>4</v>
      </c>
      <c r="AA615" s="3" t="str">
        <f t="shared" si="5"/>
        <v>___</v>
      </c>
      <c r="AB615" s="3" t="str">
        <f t="shared" si="4"/>
        <v>____</v>
      </c>
    </row>
    <row r="616" spans="1:28" ht="12.5">
      <c r="A616" s="3">
        <v>615</v>
      </c>
      <c r="F616" s="3"/>
      <c r="H616" s="3"/>
      <c r="M616" s="3" t="s">
        <v>39</v>
      </c>
      <c r="N616" s="3">
        <v>75</v>
      </c>
      <c r="O616" s="3">
        <v>0</v>
      </c>
      <c r="P616" s="3">
        <v>5</v>
      </c>
      <c r="R616" s="3">
        <v>2</v>
      </c>
      <c r="AA616" s="3" t="str">
        <f t="shared" si="5"/>
        <v>___</v>
      </c>
      <c r="AB616" s="3" t="str">
        <f t="shared" si="4"/>
        <v>____</v>
      </c>
    </row>
    <row r="617" spans="1:28" ht="12.5">
      <c r="A617" s="3">
        <v>616</v>
      </c>
      <c r="B617" s="12">
        <v>45533</v>
      </c>
      <c r="C617" s="14" t="s">
        <v>80</v>
      </c>
      <c r="D617" s="3">
        <v>35</v>
      </c>
      <c r="E617" s="3" t="s">
        <v>81</v>
      </c>
      <c r="F617" s="3"/>
      <c r="G617" s="3" t="s">
        <v>83</v>
      </c>
      <c r="H617" s="3" t="s">
        <v>40</v>
      </c>
      <c r="I617" s="3">
        <v>2</v>
      </c>
      <c r="J617" s="4">
        <v>45396</v>
      </c>
      <c r="K617" s="4">
        <v>45460</v>
      </c>
      <c r="L617" s="3">
        <v>3</v>
      </c>
      <c r="M617" s="3" t="s">
        <v>36</v>
      </c>
      <c r="N617" s="3">
        <v>22</v>
      </c>
      <c r="O617" s="3">
        <v>5</v>
      </c>
      <c r="P617" s="3">
        <v>6</v>
      </c>
      <c r="AA617" s="3" t="str">
        <f t="shared" si="5"/>
        <v>0907_35_T32C3_vm</v>
      </c>
      <c r="AB617" s="3" t="str">
        <f t="shared" si="4"/>
        <v>0907_35_T32C3_vm_2</v>
      </c>
    </row>
    <row r="618" spans="1:28" ht="12.5">
      <c r="A618" s="3">
        <v>617</v>
      </c>
      <c r="F618" s="3"/>
      <c r="H618" s="3"/>
      <c r="M618" s="3" t="s">
        <v>38</v>
      </c>
      <c r="N618" s="3">
        <v>64</v>
      </c>
      <c r="O618" s="3">
        <v>0</v>
      </c>
      <c r="P618" s="3">
        <v>7</v>
      </c>
      <c r="R618" s="3">
        <v>5</v>
      </c>
      <c r="AA618" s="3" t="str">
        <f t="shared" si="5"/>
        <v>___</v>
      </c>
      <c r="AB618" s="3" t="str">
        <f t="shared" si="4"/>
        <v>____</v>
      </c>
    </row>
    <row r="619" spans="1:28" ht="12.5">
      <c r="A619" s="3">
        <v>618</v>
      </c>
      <c r="F619" s="3"/>
      <c r="H619" s="3"/>
      <c r="M619" s="3" t="s">
        <v>39</v>
      </c>
      <c r="N619" s="3">
        <v>105</v>
      </c>
      <c r="O619" s="3">
        <v>0</v>
      </c>
      <c r="P619" s="3">
        <v>8</v>
      </c>
      <c r="R619" s="3">
        <v>4</v>
      </c>
      <c r="AA619" s="3" t="str">
        <f t="shared" si="5"/>
        <v>___</v>
      </c>
      <c r="AB619" s="3" t="str">
        <f t="shared" si="4"/>
        <v>____</v>
      </c>
    </row>
    <row r="620" spans="1:28" ht="12.5">
      <c r="A620" s="3">
        <v>619</v>
      </c>
      <c r="B620" s="12">
        <v>45533</v>
      </c>
      <c r="C620" s="14" t="s">
        <v>80</v>
      </c>
      <c r="D620" s="3">
        <v>35</v>
      </c>
      <c r="E620" s="3" t="s">
        <v>81</v>
      </c>
      <c r="F620" s="3"/>
      <c r="G620" s="3" t="s">
        <v>83</v>
      </c>
      <c r="H620" s="3" t="s">
        <v>40</v>
      </c>
      <c r="I620" s="3">
        <v>1</v>
      </c>
      <c r="J620" s="4">
        <v>45426</v>
      </c>
      <c r="K620" s="4">
        <v>45368</v>
      </c>
      <c r="L620" s="3">
        <v>3</v>
      </c>
      <c r="M620" s="3" t="s">
        <v>36</v>
      </c>
      <c r="N620" s="3">
        <v>23</v>
      </c>
      <c r="O620" s="3">
        <v>4</v>
      </c>
      <c r="P620" s="3">
        <v>4</v>
      </c>
      <c r="AA620" s="3" t="str">
        <f t="shared" si="5"/>
        <v>0907_35_T32C3_vm</v>
      </c>
      <c r="AB620" s="3" t="str">
        <f t="shared" si="4"/>
        <v>0907_35_T32C3_vm_1</v>
      </c>
    </row>
    <row r="621" spans="1:28" ht="12.5">
      <c r="A621" s="3">
        <v>620</v>
      </c>
      <c r="F621" s="3"/>
      <c r="H621" s="3"/>
      <c r="M621" s="3" t="s">
        <v>38</v>
      </c>
      <c r="N621" s="3">
        <v>65</v>
      </c>
      <c r="O621" s="3">
        <v>0</v>
      </c>
      <c r="P621" s="3">
        <v>7</v>
      </c>
      <c r="R621" s="3">
        <v>3</v>
      </c>
      <c r="AA621" s="3" t="str">
        <f t="shared" si="5"/>
        <v>___</v>
      </c>
      <c r="AB621" s="3" t="str">
        <f t="shared" si="4"/>
        <v>____</v>
      </c>
    </row>
    <row r="622" spans="1:28" ht="12.5">
      <c r="A622" s="3">
        <v>621</v>
      </c>
      <c r="F622" s="3"/>
      <c r="H622" s="3"/>
      <c r="M622" s="3" t="s">
        <v>39</v>
      </c>
      <c r="N622" s="3">
        <v>138</v>
      </c>
      <c r="O622" s="3">
        <v>0</v>
      </c>
      <c r="P622" s="3">
        <v>12</v>
      </c>
      <c r="R622" s="3">
        <v>6</v>
      </c>
      <c r="AA622" s="3" t="str">
        <f t="shared" si="5"/>
        <v>___</v>
      </c>
      <c r="AB622" s="3" t="str">
        <f t="shared" si="4"/>
        <v>____</v>
      </c>
    </row>
    <row r="623" spans="1:28" ht="12.5">
      <c r="A623" s="3">
        <v>622</v>
      </c>
      <c r="B623" s="12">
        <v>45533</v>
      </c>
      <c r="C623" s="14" t="s">
        <v>80</v>
      </c>
      <c r="D623" s="3">
        <v>35</v>
      </c>
      <c r="E623" s="3" t="s">
        <v>81</v>
      </c>
      <c r="F623" s="3"/>
      <c r="G623" s="3" t="s">
        <v>83</v>
      </c>
      <c r="H623" s="3" t="s">
        <v>40</v>
      </c>
      <c r="I623" s="3">
        <v>1</v>
      </c>
      <c r="J623" s="4">
        <v>45429</v>
      </c>
      <c r="K623" s="4">
        <v>45400</v>
      </c>
      <c r="L623" s="3">
        <v>3</v>
      </c>
      <c r="M623" s="3" t="s">
        <v>36</v>
      </c>
      <c r="N623" s="3">
        <v>51</v>
      </c>
      <c r="O623" s="3">
        <v>11</v>
      </c>
      <c r="P623" s="3">
        <v>12</v>
      </c>
      <c r="AA623" s="3" t="str">
        <f t="shared" si="5"/>
        <v>0907_35_T32C3_vm</v>
      </c>
      <c r="AB623" s="3" t="str">
        <f t="shared" si="4"/>
        <v>0907_35_T32C3_vm_1</v>
      </c>
    </row>
    <row r="624" spans="1:28" ht="12.5">
      <c r="A624" s="3">
        <v>623</v>
      </c>
      <c r="F624" s="3"/>
      <c r="H624" s="3"/>
      <c r="M624" s="3" t="s">
        <v>38</v>
      </c>
      <c r="N624" s="3">
        <v>61</v>
      </c>
      <c r="O624" s="3">
        <v>10</v>
      </c>
      <c r="P624" s="3">
        <v>11</v>
      </c>
      <c r="R624" s="3">
        <v>1</v>
      </c>
      <c r="AA624" s="3" t="str">
        <f t="shared" si="5"/>
        <v>___</v>
      </c>
      <c r="AB624" s="3" t="str">
        <f t="shared" si="4"/>
        <v>____</v>
      </c>
    </row>
    <row r="625" spans="1:28" ht="12.5">
      <c r="A625" s="3">
        <v>624</v>
      </c>
      <c r="F625" s="3"/>
      <c r="H625" s="3"/>
      <c r="M625" s="3" t="s">
        <v>39</v>
      </c>
      <c r="N625" s="3">
        <v>48</v>
      </c>
      <c r="O625" s="3">
        <v>4</v>
      </c>
      <c r="P625" s="3">
        <v>11</v>
      </c>
      <c r="AA625" s="3" t="str">
        <f t="shared" si="5"/>
        <v>___</v>
      </c>
      <c r="AB625" s="3" t="str">
        <f t="shared" si="4"/>
        <v>____</v>
      </c>
    </row>
    <row r="626" spans="1:28" ht="12.5">
      <c r="A626" s="3">
        <v>625</v>
      </c>
      <c r="B626" s="17">
        <v>45531</v>
      </c>
      <c r="D626" s="3" t="s">
        <v>84</v>
      </c>
      <c r="E626" s="3" t="s">
        <v>81</v>
      </c>
      <c r="F626" s="3" t="s">
        <v>42</v>
      </c>
      <c r="H626" s="3" t="s">
        <v>35</v>
      </c>
      <c r="I626" s="3">
        <v>4</v>
      </c>
      <c r="J626" s="4">
        <v>45335</v>
      </c>
      <c r="K626" s="4">
        <v>45455</v>
      </c>
      <c r="L626" s="3">
        <v>4</v>
      </c>
      <c r="M626" s="3" t="s">
        <v>36</v>
      </c>
      <c r="N626" s="3">
        <v>3</v>
      </c>
      <c r="O626" s="3">
        <v>5</v>
      </c>
      <c r="P626" s="3">
        <v>5</v>
      </c>
      <c r="R626" s="3">
        <v>0</v>
      </c>
      <c r="S626" s="3">
        <v>0</v>
      </c>
      <c r="AA626" s="3" t="str">
        <f t="shared" si="5"/>
        <v>_MK8_4__vv</v>
      </c>
      <c r="AB626" s="3" t="str">
        <f t="shared" si="4"/>
        <v>_MK8_4__vv_4</v>
      </c>
    </row>
    <row r="627" spans="1:28" ht="12.5">
      <c r="A627" s="3">
        <v>626</v>
      </c>
      <c r="F627" s="3"/>
      <c r="H627" s="3"/>
      <c r="M627" s="3" t="s">
        <v>38</v>
      </c>
      <c r="N627" s="3">
        <v>17</v>
      </c>
      <c r="O627" s="3">
        <v>5</v>
      </c>
      <c r="P627" s="3">
        <v>7</v>
      </c>
      <c r="R627" s="3">
        <v>0</v>
      </c>
      <c r="S627" s="3">
        <v>0</v>
      </c>
      <c r="AA627" s="3" t="str">
        <f t="shared" si="5"/>
        <v>___</v>
      </c>
      <c r="AB627" s="3" t="str">
        <f t="shared" si="4"/>
        <v>____</v>
      </c>
    </row>
    <row r="628" spans="1:28" ht="12.5">
      <c r="A628" s="3">
        <v>627</v>
      </c>
      <c r="F628" s="3"/>
      <c r="H628" s="3"/>
      <c r="M628" s="3" t="s">
        <v>39</v>
      </c>
      <c r="N628" s="3">
        <v>53</v>
      </c>
      <c r="O628" s="3">
        <v>12</v>
      </c>
      <c r="P628" s="3">
        <v>14</v>
      </c>
      <c r="R628" s="3">
        <v>0</v>
      </c>
      <c r="S628" s="3">
        <v>0</v>
      </c>
      <c r="AA628" s="3" t="str">
        <f t="shared" si="5"/>
        <v>___</v>
      </c>
      <c r="AB628" s="3" t="str">
        <f t="shared" si="4"/>
        <v>____</v>
      </c>
    </row>
    <row r="629" spans="1:28" ht="12.5">
      <c r="A629" s="3">
        <v>628</v>
      </c>
      <c r="B629" s="17">
        <v>45531</v>
      </c>
      <c r="D629" s="3" t="s">
        <v>85</v>
      </c>
      <c r="E629" s="3" t="s">
        <v>81</v>
      </c>
      <c r="F629" s="3" t="s">
        <v>42</v>
      </c>
      <c r="H629" s="3" t="s">
        <v>35</v>
      </c>
      <c r="I629" s="3">
        <v>2</v>
      </c>
      <c r="J629" s="4">
        <v>45460</v>
      </c>
      <c r="K629" s="4">
        <v>45399</v>
      </c>
      <c r="L629" s="3">
        <v>5</v>
      </c>
      <c r="M629" s="3" t="s">
        <v>36</v>
      </c>
      <c r="N629" s="3">
        <v>35</v>
      </c>
      <c r="O629" s="3">
        <v>10</v>
      </c>
      <c r="P629" s="3">
        <v>17</v>
      </c>
      <c r="R629" s="3">
        <v>0</v>
      </c>
      <c r="S629" s="3">
        <v>0</v>
      </c>
      <c r="AA629" s="3" t="str">
        <f t="shared" si="5"/>
        <v>_MK9_2__vv</v>
      </c>
      <c r="AB629" s="3" t="str">
        <f t="shared" si="4"/>
        <v>_MK9_2__vv_2</v>
      </c>
    </row>
    <row r="630" spans="1:28" ht="12.5">
      <c r="A630" s="3">
        <v>629</v>
      </c>
      <c r="F630" s="3"/>
      <c r="H630" s="3"/>
      <c r="M630" s="3" t="s">
        <v>38</v>
      </c>
      <c r="N630" s="3">
        <v>22</v>
      </c>
      <c r="O630" s="3">
        <v>5</v>
      </c>
      <c r="P630" s="3">
        <v>10</v>
      </c>
      <c r="R630" s="3">
        <v>0</v>
      </c>
      <c r="S630" s="3">
        <v>0</v>
      </c>
      <c r="AA630" s="3" t="str">
        <f t="shared" si="5"/>
        <v>___</v>
      </c>
      <c r="AB630" s="3" t="str">
        <f t="shared" si="4"/>
        <v>____</v>
      </c>
    </row>
    <row r="631" spans="1:28" ht="12.5">
      <c r="A631" s="3">
        <v>630</v>
      </c>
      <c r="F631" s="3"/>
      <c r="H631" s="3"/>
      <c r="M631" s="3" t="s">
        <v>39</v>
      </c>
      <c r="N631" s="3">
        <v>34</v>
      </c>
      <c r="O631" s="3">
        <v>1</v>
      </c>
      <c r="P631" s="3">
        <v>9</v>
      </c>
      <c r="R631" s="3">
        <v>1</v>
      </c>
      <c r="S631" s="3">
        <v>0</v>
      </c>
      <c r="AA631" s="3" t="str">
        <f t="shared" si="5"/>
        <v>___</v>
      </c>
      <c r="AB631" s="3" t="str">
        <f t="shared" si="4"/>
        <v>____</v>
      </c>
    </row>
    <row r="632" spans="1:28" ht="12.5">
      <c r="A632" s="3">
        <v>631</v>
      </c>
      <c r="B632" s="17">
        <v>45531</v>
      </c>
      <c r="D632" s="3" t="s">
        <v>86</v>
      </c>
      <c r="E632" s="3" t="s">
        <v>81</v>
      </c>
      <c r="F632" s="3" t="s">
        <v>42</v>
      </c>
      <c r="H632" s="3" t="s">
        <v>35</v>
      </c>
      <c r="I632" s="3">
        <v>2</v>
      </c>
      <c r="J632" s="4">
        <v>45517</v>
      </c>
      <c r="K632" s="4">
        <v>45335</v>
      </c>
      <c r="L632" s="3">
        <v>3</v>
      </c>
      <c r="M632" s="3" t="s">
        <v>36</v>
      </c>
      <c r="N632" s="3">
        <v>57</v>
      </c>
      <c r="O632" s="3">
        <v>9</v>
      </c>
      <c r="P632" s="3">
        <v>14</v>
      </c>
      <c r="R632" s="3">
        <v>0</v>
      </c>
      <c r="S632" s="3">
        <v>0</v>
      </c>
      <c r="T632" s="3"/>
      <c r="U632" s="3"/>
      <c r="V632" s="3"/>
      <c r="W632" s="3"/>
      <c r="X632" s="3"/>
      <c r="Y632" s="3" t="s">
        <v>87</v>
      </c>
      <c r="AA632" s="3" t="str">
        <f t="shared" si="5"/>
        <v>_MK8_2__vv</v>
      </c>
      <c r="AB632" s="3" t="str">
        <f t="shared" si="4"/>
        <v>_MK8_2__vv_2</v>
      </c>
    </row>
    <row r="633" spans="1:28" ht="12.5">
      <c r="A633" s="3">
        <v>632</v>
      </c>
      <c r="F633" s="3"/>
      <c r="H633" s="3"/>
      <c r="M633" s="3" t="s">
        <v>38</v>
      </c>
      <c r="N633" s="3">
        <v>77</v>
      </c>
      <c r="O633" s="3">
        <v>7</v>
      </c>
      <c r="P633" s="3">
        <v>14</v>
      </c>
      <c r="R633" s="3">
        <v>0</v>
      </c>
      <c r="S633" s="3">
        <v>0</v>
      </c>
      <c r="AA633" s="3" t="str">
        <f t="shared" si="5"/>
        <v>___</v>
      </c>
      <c r="AB633" s="3" t="str">
        <f t="shared" si="4"/>
        <v>____</v>
      </c>
    </row>
    <row r="634" spans="1:28" ht="12.5">
      <c r="A634" s="3">
        <v>633</v>
      </c>
      <c r="F634" s="3"/>
      <c r="H634" s="3"/>
      <c r="M634" s="3"/>
      <c r="AA634" s="3" t="str">
        <f t="shared" si="5"/>
        <v>___</v>
      </c>
      <c r="AB634" s="3" t="str">
        <f t="shared" si="4"/>
        <v>____</v>
      </c>
    </row>
    <row r="635" spans="1:28" ht="12.5">
      <c r="A635" s="3">
        <v>634</v>
      </c>
      <c r="B635" s="17">
        <v>45534</v>
      </c>
      <c r="D635" s="3" t="s">
        <v>88</v>
      </c>
      <c r="E635" s="3" t="s">
        <v>81</v>
      </c>
      <c r="F635" s="3" t="s">
        <v>34</v>
      </c>
      <c r="H635" s="3" t="s">
        <v>35</v>
      </c>
      <c r="I635" s="3">
        <v>1</v>
      </c>
      <c r="J635" s="4">
        <v>45421</v>
      </c>
      <c r="K635" s="3" t="s">
        <v>89</v>
      </c>
      <c r="L635" s="3">
        <v>4</v>
      </c>
      <c r="M635" s="3" t="s">
        <v>36</v>
      </c>
      <c r="N635" s="3">
        <v>26</v>
      </c>
      <c r="O635" s="3">
        <v>7</v>
      </c>
      <c r="P635" s="3">
        <v>11</v>
      </c>
      <c r="R635" s="3">
        <v>0</v>
      </c>
      <c r="S635" s="3">
        <v>0</v>
      </c>
      <c r="T635" s="3"/>
      <c r="U635" s="3"/>
      <c r="V635" s="3"/>
      <c r="W635" s="3"/>
      <c r="X635" s="3"/>
      <c r="Y635" s="3" t="s">
        <v>90</v>
      </c>
      <c r="AA635" s="3" t="str">
        <f t="shared" si="5"/>
        <v>_MK19_1__vv</v>
      </c>
      <c r="AB635" s="3" t="str">
        <f t="shared" si="4"/>
        <v>_MK19_1__vv_1</v>
      </c>
    </row>
    <row r="636" spans="1:28" ht="12.5">
      <c r="A636" s="3">
        <v>635</v>
      </c>
      <c r="F636" s="3"/>
      <c r="H636" s="3"/>
      <c r="M636" s="3" t="s">
        <v>38</v>
      </c>
      <c r="N636" s="3">
        <v>29</v>
      </c>
      <c r="O636" s="3">
        <v>8</v>
      </c>
      <c r="P636" s="3">
        <v>11</v>
      </c>
      <c r="R636" s="3">
        <v>0</v>
      </c>
      <c r="S636" s="3">
        <v>0</v>
      </c>
      <c r="AA636" s="3" t="str">
        <f t="shared" si="5"/>
        <v>___</v>
      </c>
      <c r="AB636" s="3" t="str">
        <f t="shared" si="4"/>
        <v>____</v>
      </c>
    </row>
    <row r="637" spans="1:28" ht="12.5">
      <c r="A637" s="3">
        <v>636</v>
      </c>
      <c r="F637" s="3"/>
      <c r="H637" s="3"/>
      <c r="M637" s="3" t="s">
        <v>39</v>
      </c>
      <c r="N637" s="3">
        <v>36</v>
      </c>
      <c r="O637" s="3">
        <v>2</v>
      </c>
      <c r="P637" s="3">
        <v>11</v>
      </c>
      <c r="R637" s="3">
        <v>0</v>
      </c>
      <c r="S637" s="3">
        <v>0</v>
      </c>
      <c r="AA637" s="3" t="str">
        <f t="shared" si="5"/>
        <v>___</v>
      </c>
      <c r="AB637" s="3" t="str">
        <f t="shared" si="4"/>
        <v>____</v>
      </c>
    </row>
    <row r="638" spans="1:28" ht="12.5">
      <c r="A638" s="3">
        <v>637</v>
      </c>
      <c r="B638" s="17">
        <v>45531</v>
      </c>
      <c r="D638" s="3" t="s">
        <v>91</v>
      </c>
      <c r="E638" s="3" t="s">
        <v>81</v>
      </c>
      <c r="F638" s="3" t="s">
        <v>42</v>
      </c>
      <c r="H638" s="3" t="s">
        <v>35</v>
      </c>
      <c r="I638" s="3">
        <v>3</v>
      </c>
      <c r="J638" s="4">
        <v>45426</v>
      </c>
      <c r="K638" s="4">
        <v>45551</v>
      </c>
      <c r="L638" s="3">
        <v>4</v>
      </c>
      <c r="M638" s="3" t="s">
        <v>36</v>
      </c>
      <c r="N638" s="3">
        <v>34</v>
      </c>
      <c r="O638" s="3">
        <v>11</v>
      </c>
      <c r="P638" s="3">
        <v>11</v>
      </c>
      <c r="R638" s="3">
        <v>0</v>
      </c>
      <c r="S638" s="3">
        <v>0</v>
      </c>
      <c r="AA638" s="3" t="str">
        <f t="shared" si="5"/>
        <v>_MK8_3__vv</v>
      </c>
      <c r="AB638" s="3" t="str">
        <f t="shared" si="4"/>
        <v>_MK8_3__vv_3</v>
      </c>
    </row>
    <row r="639" spans="1:28" ht="12.5">
      <c r="A639" s="3">
        <v>638</v>
      </c>
      <c r="F639" s="3"/>
      <c r="H639" s="3"/>
      <c r="M639" s="3" t="s">
        <v>38</v>
      </c>
      <c r="N639" s="3">
        <v>47</v>
      </c>
      <c r="O639" s="3">
        <v>9</v>
      </c>
      <c r="P639" s="3">
        <v>13</v>
      </c>
      <c r="R639" s="3">
        <v>0</v>
      </c>
      <c r="S639" s="3">
        <v>0</v>
      </c>
      <c r="AA639" s="3" t="str">
        <f t="shared" si="5"/>
        <v>___</v>
      </c>
      <c r="AB639" s="3" t="str">
        <f t="shared" si="4"/>
        <v>____</v>
      </c>
    </row>
    <row r="640" spans="1:28" ht="12.5">
      <c r="A640" s="3">
        <v>639</v>
      </c>
      <c r="F640" s="3"/>
      <c r="H640" s="3"/>
      <c r="M640" s="3" t="s">
        <v>39</v>
      </c>
      <c r="N640" s="3">
        <v>69</v>
      </c>
      <c r="O640" s="3">
        <v>6</v>
      </c>
      <c r="P640" s="3">
        <v>12</v>
      </c>
      <c r="R640" s="3">
        <v>1</v>
      </c>
      <c r="S640" s="3">
        <v>0</v>
      </c>
      <c r="AA640" s="3" t="str">
        <f t="shared" si="5"/>
        <v>___</v>
      </c>
      <c r="AB640" s="3" t="str">
        <f t="shared" si="4"/>
        <v>____</v>
      </c>
    </row>
    <row r="641" spans="1:28" ht="12.5">
      <c r="A641" s="3">
        <v>640</v>
      </c>
      <c r="B641" s="17">
        <v>45531</v>
      </c>
      <c r="D641" s="3" t="s">
        <v>92</v>
      </c>
      <c r="E641" s="3" t="s">
        <v>81</v>
      </c>
      <c r="F641" s="3" t="s">
        <v>42</v>
      </c>
      <c r="H641" s="3" t="s">
        <v>35</v>
      </c>
      <c r="I641" s="3">
        <v>1</v>
      </c>
      <c r="J641" s="4">
        <v>45333</v>
      </c>
      <c r="K641" s="4">
        <v>45515</v>
      </c>
      <c r="L641" s="3">
        <v>3</v>
      </c>
      <c r="M641" s="3" t="s">
        <v>36</v>
      </c>
      <c r="N641" s="3">
        <v>61</v>
      </c>
      <c r="O641" s="3">
        <v>11</v>
      </c>
      <c r="P641" s="3">
        <v>12</v>
      </c>
      <c r="R641" s="3">
        <v>0</v>
      </c>
      <c r="S641" s="3">
        <v>0</v>
      </c>
      <c r="AA641" s="3" t="str">
        <f t="shared" si="5"/>
        <v>_MK8_1__vv</v>
      </c>
      <c r="AB641" s="3" t="str">
        <f t="shared" si="4"/>
        <v>_MK8_1__vv_1</v>
      </c>
    </row>
    <row r="642" spans="1:28" ht="12.5">
      <c r="A642" s="3">
        <v>641</v>
      </c>
      <c r="F642" s="3"/>
      <c r="H642" s="3"/>
      <c r="M642" s="3" t="s">
        <v>38</v>
      </c>
      <c r="N642" s="3">
        <v>40</v>
      </c>
      <c r="O642" s="3">
        <v>4</v>
      </c>
      <c r="P642" s="3">
        <v>11</v>
      </c>
      <c r="R642" s="3">
        <v>0</v>
      </c>
      <c r="S642" s="3">
        <v>0</v>
      </c>
      <c r="AA642" s="3" t="str">
        <f t="shared" si="5"/>
        <v>___</v>
      </c>
      <c r="AB642" s="3" t="str">
        <f t="shared" si="4"/>
        <v>____</v>
      </c>
    </row>
    <row r="643" spans="1:28" ht="12.5">
      <c r="A643" s="3">
        <v>642</v>
      </c>
      <c r="F643" s="3"/>
      <c r="H643" s="3"/>
      <c r="M643" s="3" t="s">
        <v>39</v>
      </c>
      <c r="N643" s="3">
        <v>28</v>
      </c>
      <c r="O643" s="3">
        <v>0</v>
      </c>
      <c r="P643" s="3">
        <v>6</v>
      </c>
      <c r="R643" s="3">
        <v>1</v>
      </c>
      <c r="S643" s="3">
        <v>0</v>
      </c>
      <c r="AA643" s="3" t="str">
        <f t="shared" si="5"/>
        <v>___</v>
      </c>
      <c r="AB643" s="3" t="str">
        <f t="shared" si="4"/>
        <v>____</v>
      </c>
    </row>
    <row r="644" spans="1:28" ht="12.5">
      <c r="A644" s="3">
        <v>643</v>
      </c>
      <c r="B644" s="17">
        <v>45531</v>
      </c>
      <c r="D644" s="3" t="s">
        <v>94</v>
      </c>
      <c r="E644" s="3" t="s">
        <v>81</v>
      </c>
      <c r="F644" s="3" t="s">
        <v>34</v>
      </c>
      <c r="H644" s="3" t="s">
        <v>35</v>
      </c>
      <c r="I644" s="3">
        <v>4</v>
      </c>
      <c r="J644" s="3">
        <v>13</v>
      </c>
      <c r="K644" s="4">
        <v>45457</v>
      </c>
      <c r="L644" s="3">
        <v>4</v>
      </c>
      <c r="M644" s="3" t="s">
        <v>36</v>
      </c>
      <c r="N644" s="3">
        <v>38</v>
      </c>
      <c r="O644" s="3">
        <v>9</v>
      </c>
      <c r="P644" s="3">
        <v>11</v>
      </c>
      <c r="R644" s="3">
        <v>0</v>
      </c>
      <c r="S644" s="3">
        <v>0</v>
      </c>
      <c r="AA644" s="3" t="str">
        <f t="shared" si="5"/>
        <v>_MK9_4__vv</v>
      </c>
      <c r="AB644" s="3" t="str">
        <f t="shared" si="4"/>
        <v>_MK9_4__vv_4</v>
      </c>
    </row>
    <row r="645" spans="1:28" ht="12.5">
      <c r="A645" s="3">
        <v>644</v>
      </c>
      <c r="F645" s="3"/>
      <c r="H645" s="3"/>
      <c r="M645" s="3" t="s">
        <v>38</v>
      </c>
      <c r="N645" s="3">
        <v>30</v>
      </c>
      <c r="O645" s="3">
        <v>4</v>
      </c>
      <c r="P645" s="3">
        <v>10</v>
      </c>
      <c r="R645" s="3">
        <v>0</v>
      </c>
      <c r="S645" s="3">
        <v>0</v>
      </c>
      <c r="AA645" s="3" t="str">
        <f t="shared" si="5"/>
        <v>___</v>
      </c>
      <c r="AB645" s="3" t="str">
        <f t="shared" si="4"/>
        <v>____</v>
      </c>
    </row>
    <row r="646" spans="1:28" ht="12.5">
      <c r="A646" s="3">
        <v>645</v>
      </c>
      <c r="F646" s="3"/>
      <c r="H646" s="3"/>
      <c r="M646" s="3" t="s">
        <v>39</v>
      </c>
      <c r="N646" s="3">
        <v>46</v>
      </c>
      <c r="O646" s="3">
        <v>0</v>
      </c>
      <c r="P646" s="3">
        <v>7</v>
      </c>
      <c r="R646" s="3">
        <v>0</v>
      </c>
      <c r="S646" s="3">
        <v>0</v>
      </c>
      <c r="AA646" s="3" t="str">
        <f t="shared" si="5"/>
        <v>___</v>
      </c>
      <c r="AB646" s="3" t="str">
        <f t="shared" si="4"/>
        <v>____</v>
      </c>
    </row>
    <row r="647" spans="1:28" ht="12.5">
      <c r="A647" s="3">
        <v>646</v>
      </c>
      <c r="B647" s="17">
        <v>45531</v>
      </c>
      <c r="D647" s="3" t="s">
        <v>95</v>
      </c>
      <c r="E647" s="3" t="s">
        <v>81</v>
      </c>
      <c r="F647" s="3" t="s">
        <v>34</v>
      </c>
      <c r="H647" s="3" t="s">
        <v>35</v>
      </c>
      <c r="I647" s="3">
        <v>3</v>
      </c>
      <c r="J647" s="4">
        <v>45425</v>
      </c>
      <c r="K647" s="4">
        <v>45394</v>
      </c>
      <c r="L647" s="3">
        <v>2</v>
      </c>
      <c r="M647" s="3" t="s">
        <v>36</v>
      </c>
      <c r="N647" s="3">
        <v>46</v>
      </c>
      <c r="O647" s="3">
        <v>11</v>
      </c>
      <c r="P647" s="3">
        <v>17</v>
      </c>
      <c r="R647" s="3">
        <v>0</v>
      </c>
      <c r="S647" s="3">
        <v>0</v>
      </c>
      <c r="AA647" s="3" t="str">
        <f t="shared" si="5"/>
        <v>_MK9_3__vv</v>
      </c>
      <c r="AB647" s="3" t="str">
        <f t="shared" si="4"/>
        <v>_MK9_3__vv_3</v>
      </c>
    </row>
    <row r="648" spans="1:28" ht="12.5">
      <c r="A648" s="3">
        <v>647</v>
      </c>
      <c r="F648" s="3"/>
      <c r="H648" s="3"/>
      <c r="M648" s="3" t="s">
        <v>38</v>
      </c>
      <c r="N648" s="3">
        <v>78</v>
      </c>
      <c r="O648" s="3">
        <v>2</v>
      </c>
      <c r="P648" s="3">
        <v>14</v>
      </c>
      <c r="R648" s="3">
        <v>1</v>
      </c>
      <c r="S648" s="3">
        <v>0</v>
      </c>
      <c r="AA648" s="3" t="str">
        <f t="shared" si="5"/>
        <v>___</v>
      </c>
      <c r="AB648" s="3" t="str">
        <f t="shared" si="4"/>
        <v>____</v>
      </c>
    </row>
    <row r="649" spans="1:28" ht="12.5">
      <c r="A649" s="3">
        <v>648</v>
      </c>
      <c r="F649" s="3"/>
      <c r="H649" s="3"/>
      <c r="M649" s="3"/>
      <c r="AA649" s="3" t="str">
        <f t="shared" si="5"/>
        <v>___</v>
      </c>
      <c r="AB649" s="3" t="str">
        <f t="shared" si="4"/>
        <v>____</v>
      </c>
    </row>
    <row r="650" spans="1:28" ht="12.5">
      <c r="A650" s="3">
        <v>649</v>
      </c>
      <c r="B650" s="12">
        <v>45533</v>
      </c>
      <c r="C650" s="13" t="s">
        <v>80</v>
      </c>
      <c r="D650" s="10">
        <v>35</v>
      </c>
      <c r="E650" s="3" t="s">
        <v>81</v>
      </c>
      <c r="F650" s="3"/>
      <c r="G650" s="3" t="s">
        <v>83</v>
      </c>
      <c r="H650" s="3" t="s">
        <v>35</v>
      </c>
      <c r="I650" s="3">
        <v>2</v>
      </c>
      <c r="J650" s="4">
        <v>45521</v>
      </c>
      <c r="K650" s="4">
        <v>45428</v>
      </c>
      <c r="L650" s="3">
        <v>3</v>
      </c>
      <c r="M650" s="3" t="s">
        <v>36</v>
      </c>
      <c r="N650" s="3">
        <v>61</v>
      </c>
      <c r="O650" s="3">
        <v>12</v>
      </c>
      <c r="P650" s="3">
        <v>14</v>
      </c>
      <c r="AA650" s="3" t="str">
        <f t="shared" si="5"/>
        <v>0907_35_T32C3_vv</v>
      </c>
      <c r="AB650" s="3" t="str">
        <f t="shared" si="4"/>
        <v>0907_35_T32C3_vv_2</v>
      </c>
    </row>
    <row r="651" spans="1:28" ht="12.5">
      <c r="A651" s="3">
        <v>650</v>
      </c>
      <c r="F651" s="3"/>
      <c r="H651" s="3"/>
      <c r="M651" s="3" t="s">
        <v>38</v>
      </c>
      <c r="N651" s="3">
        <v>26</v>
      </c>
      <c r="O651" s="3">
        <v>8</v>
      </c>
      <c r="P651" s="3">
        <v>9</v>
      </c>
      <c r="AA651" s="3" t="str">
        <f t="shared" si="5"/>
        <v>___</v>
      </c>
      <c r="AB651" s="3" t="str">
        <f t="shared" si="4"/>
        <v>____</v>
      </c>
    </row>
    <row r="652" spans="1:28" ht="12.5">
      <c r="A652" s="3">
        <v>651</v>
      </c>
      <c r="F652" s="3"/>
      <c r="H652" s="3"/>
      <c r="M652" s="3" t="s">
        <v>39</v>
      </c>
      <c r="N652" s="3">
        <v>125</v>
      </c>
      <c r="O652" s="3">
        <v>0</v>
      </c>
      <c r="P652" s="3">
        <v>13</v>
      </c>
      <c r="AA652" s="3" t="str">
        <f t="shared" si="5"/>
        <v>___</v>
      </c>
      <c r="AB652" s="3" t="str">
        <f t="shared" si="4"/>
        <v>____</v>
      </c>
    </row>
    <row r="653" spans="1:28" ht="12.5">
      <c r="A653" s="3">
        <v>652</v>
      </c>
      <c r="B653" s="12">
        <v>45533</v>
      </c>
      <c r="C653" s="14" t="s">
        <v>80</v>
      </c>
      <c r="D653" s="3">
        <v>35</v>
      </c>
      <c r="E653" s="3" t="s">
        <v>81</v>
      </c>
      <c r="F653" s="3"/>
      <c r="G653" s="3" t="s">
        <v>83</v>
      </c>
      <c r="H653" s="3" t="s">
        <v>40</v>
      </c>
      <c r="I653" s="3">
        <v>1</v>
      </c>
      <c r="J653" s="4">
        <v>45429</v>
      </c>
      <c r="K653" s="4">
        <v>45400</v>
      </c>
      <c r="L653" s="3">
        <v>3</v>
      </c>
      <c r="M653" s="3" t="s">
        <v>36</v>
      </c>
      <c r="N653" s="3">
        <v>57</v>
      </c>
      <c r="O653" s="3">
        <v>10</v>
      </c>
      <c r="P653" s="3">
        <v>12</v>
      </c>
      <c r="AA653" s="3" t="str">
        <f t="shared" si="5"/>
        <v>0907_35_T32C3_vm</v>
      </c>
      <c r="AB653" s="3" t="str">
        <f t="shared" si="4"/>
        <v>0907_35_T32C3_vm_1</v>
      </c>
    </row>
    <row r="654" spans="1:28" ht="12.5">
      <c r="A654" s="3">
        <v>653</v>
      </c>
      <c r="F654" s="3"/>
      <c r="H654" s="3"/>
      <c r="M654" s="3" t="s">
        <v>38</v>
      </c>
      <c r="N654" s="3">
        <v>37</v>
      </c>
      <c r="O654" s="3">
        <v>2</v>
      </c>
      <c r="P654" s="3">
        <v>8</v>
      </c>
      <c r="AA654" s="3" t="str">
        <f t="shared" si="5"/>
        <v>___</v>
      </c>
      <c r="AB654" s="3" t="str">
        <f t="shared" si="4"/>
        <v>____</v>
      </c>
    </row>
    <row r="655" spans="1:28" ht="12.5">
      <c r="A655" s="3">
        <v>654</v>
      </c>
      <c r="F655" s="3"/>
      <c r="H655" s="3"/>
      <c r="M655" s="3" t="s">
        <v>39</v>
      </c>
      <c r="N655" s="3">
        <v>82</v>
      </c>
      <c r="O655" s="3">
        <v>0</v>
      </c>
      <c r="P655" s="3">
        <v>8</v>
      </c>
      <c r="AA655" s="3" t="str">
        <f t="shared" si="5"/>
        <v>___</v>
      </c>
      <c r="AB655" s="3" t="str">
        <f t="shared" si="4"/>
        <v>____</v>
      </c>
    </row>
    <row r="656" spans="1:28" ht="12.5">
      <c r="A656" s="3">
        <v>655</v>
      </c>
      <c r="B656" s="17">
        <v>45565</v>
      </c>
      <c r="C656" s="10">
        <v>1296</v>
      </c>
      <c r="D656" s="10">
        <v>66</v>
      </c>
      <c r="E656" s="3" t="s">
        <v>81</v>
      </c>
      <c r="F656" s="3"/>
      <c r="H656" s="3" t="s">
        <v>40</v>
      </c>
      <c r="I656" s="3">
        <v>2</v>
      </c>
      <c r="J656" s="4">
        <v>45484</v>
      </c>
      <c r="K656" s="4">
        <v>45366</v>
      </c>
      <c r="L656" s="3">
        <v>3</v>
      </c>
      <c r="M656" s="3" t="s">
        <v>36</v>
      </c>
      <c r="N656" s="3">
        <v>66</v>
      </c>
      <c r="O656" s="3">
        <v>7</v>
      </c>
      <c r="P656" s="3">
        <v>7</v>
      </c>
      <c r="AA656" s="3" t="str">
        <f t="shared" si="5"/>
        <v>1296_66__vm</v>
      </c>
      <c r="AB656" s="3" t="str">
        <f t="shared" si="4"/>
        <v>1296_66__vm_2</v>
      </c>
    </row>
    <row r="657" spans="1:30" ht="12.5">
      <c r="A657" s="3">
        <v>656</v>
      </c>
      <c r="F657" s="3"/>
      <c r="H657" s="3"/>
      <c r="M657" s="3" t="s">
        <v>38</v>
      </c>
      <c r="N657" s="3">
        <v>46</v>
      </c>
      <c r="O657" s="3">
        <v>0</v>
      </c>
      <c r="P657" s="3">
        <v>4</v>
      </c>
      <c r="R657" s="3">
        <v>2</v>
      </c>
      <c r="AA657" s="3" t="str">
        <f t="shared" si="5"/>
        <v>___</v>
      </c>
      <c r="AB657" s="3" t="str">
        <f t="shared" si="4"/>
        <v>____</v>
      </c>
    </row>
    <row r="658" spans="1:30" ht="12.5">
      <c r="A658" s="3">
        <v>657</v>
      </c>
      <c r="F658" s="3"/>
      <c r="H658" s="3"/>
      <c r="M658" s="3" t="s">
        <v>39</v>
      </c>
      <c r="N658" s="3">
        <v>47</v>
      </c>
      <c r="O658" s="3">
        <v>0</v>
      </c>
      <c r="P658" s="3">
        <v>5</v>
      </c>
      <c r="AA658" s="3" t="str">
        <f t="shared" si="5"/>
        <v>___</v>
      </c>
      <c r="AB658" s="3" t="str">
        <f t="shared" si="4"/>
        <v>____</v>
      </c>
    </row>
    <row r="659" spans="1:30" ht="12.5">
      <c r="A659" s="3">
        <v>658</v>
      </c>
      <c r="B659" s="17">
        <v>45565</v>
      </c>
      <c r="C659" s="3">
        <v>1296</v>
      </c>
      <c r="D659" s="3">
        <v>66</v>
      </c>
      <c r="E659" s="3" t="s">
        <v>81</v>
      </c>
      <c r="F659" s="3"/>
      <c r="H659" s="3" t="s">
        <v>40</v>
      </c>
      <c r="I659" s="3">
        <v>1</v>
      </c>
      <c r="J659" s="4">
        <v>45428</v>
      </c>
      <c r="K659" s="4">
        <v>45396</v>
      </c>
      <c r="L659" s="3">
        <v>3</v>
      </c>
      <c r="M659" s="3" t="s">
        <v>36</v>
      </c>
      <c r="N659" s="3">
        <v>43</v>
      </c>
      <c r="O659" s="3">
        <v>7</v>
      </c>
      <c r="P659" s="3">
        <v>7</v>
      </c>
      <c r="AA659" s="3" t="str">
        <f t="shared" si="5"/>
        <v>1296_66__vm</v>
      </c>
      <c r="AB659" s="3" t="str">
        <f t="shared" si="4"/>
        <v>1296_66__vm_1</v>
      </c>
    </row>
    <row r="660" spans="1:30" ht="12.5">
      <c r="A660" s="3">
        <v>659</v>
      </c>
      <c r="F660" s="3"/>
      <c r="H660" s="3"/>
      <c r="M660" s="3" t="s">
        <v>38</v>
      </c>
      <c r="N660" s="3">
        <v>57</v>
      </c>
      <c r="O660" s="3">
        <v>0</v>
      </c>
      <c r="P660" s="3">
        <v>6</v>
      </c>
      <c r="R660" s="3">
        <v>3</v>
      </c>
      <c r="AA660" s="3" t="str">
        <f t="shared" si="5"/>
        <v>___</v>
      </c>
      <c r="AB660" s="3" t="str">
        <f t="shared" si="4"/>
        <v>____</v>
      </c>
    </row>
    <row r="661" spans="1:30" ht="12.5">
      <c r="A661" s="3">
        <v>660</v>
      </c>
      <c r="F661" s="3"/>
      <c r="H661" s="3"/>
      <c r="M661" s="3" t="s">
        <v>39</v>
      </c>
      <c r="N661" s="3">
        <v>49</v>
      </c>
      <c r="O661" s="3">
        <v>0</v>
      </c>
      <c r="P661" s="3">
        <v>4</v>
      </c>
      <c r="R661" s="3">
        <v>3</v>
      </c>
      <c r="AA661" s="3" t="str">
        <f t="shared" si="5"/>
        <v>___</v>
      </c>
      <c r="AB661" s="3" t="str">
        <f t="shared" si="4"/>
        <v>____</v>
      </c>
    </row>
    <row r="662" spans="1:30" ht="12.5">
      <c r="A662" s="3">
        <v>661</v>
      </c>
      <c r="B662" s="17">
        <v>45565</v>
      </c>
      <c r="C662" s="3">
        <v>1296</v>
      </c>
      <c r="D662" s="3">
        <v>66</v>
      </c>
      <c r="E662" s="3" t="s">
        <v>81</v>
      </c>
      <c r="F662" s="3"/>
      <c r="H662" s="3" t="s">
        <v>35</v>
      </c>
      <c r="I662" s="3">
        <v>2</v>
      </c>
      <c r="J662" s="4">
        <v>45423</v>
      </c>
      <c r="K662" s="4">
        <v>45364</v>
      </c>
      <c r="L662" s="3">
        <v>3</v>
      </c>
      <c r="M662" s="3" t="s">
        <v>36</v>
      </c>
      <c r="N662" s="3">
        <v>65</v>
      </c>
      <c r="O662" s="3">
        <v>11</v>
      </c>
      <c r="P662" s="3">
        <v>13</v>
      </c>
      <c r="AA662" s="3" t="str">
        <f t="shared" si="5"/>
        <v>1296_66__vv</v>
      </c>
      <c r="AB662" s="3" t="str">
        <f t="shared" si="4"/>
        <v>1296_66__vv_2</v>
      </c>
    </row>
    <row r="663" spans="1:30" ht="12.5">
      <c r="A663" s="3">
        <v>662</v>
      </c>
      <c r="F663" s="3"/>
      <c r="H663" s="3"/>
      <c r="M663" s="3" t="s">
        <v>38</v>
      </c>
      <c r="N663" s="3">
        <v>38</v>
      </c>
      <c r="O663" s="3">
        <v>5</v>
      </c>
      <c r="P663" s="3">
        <v>8</v>
      </c>
      <c r="AA663" s="3" t="str">
        <f t="shared" si="5"/>
        <v>___</v>
      </c>
      <c r="AB663" s="3" t="str">
        <f t="shared" si="4"/>
        <v>____</v>
      </c>
    </row>
    <row r="664" spans="1:30" ht="12.5">
      <c r="A664" s="3">
        <v>663</v>
      </c>
      <c r="F664" s="3"/>
      <c r="H664" s="3"/>
      <c r="M664" s="3" t="s">
        <v>39</v>
      </c>
      <c r="N664" s="3">
        <v>35</v>
      </c>
      <c r="O664" s="3">
        <v>0</v>
      </c>
      <c r="P664" s="3">
        <v>3</v>
      </c>
      <c r="AA664" s="3" t="str">
        <f t="shared" si="5"/>
        <v>___</v>
      </c>
      <c r="AB664" s="3" t="str">
        <f t="shared" si="4"/>
        <v>____</v>
      </c>
    </row>
    <row r="665" spans="1:30" ht="12.5">
      <c r="A665" s="3">
        <v>664</v>
      </c>
      <c r="B665" s="17">
        <v>45565</v>
      </c>
      <c r="C665" s="3">
        <v>1296</v>
      </c>
      <c r="D665" s="3">
        <v>66</v>
      </c>
      <c r="E665" s="3" t="s">
        <v>81</v>
      </c>
      <c r="F665" s="3"/>
      <c r="H665" s="3" t="s">
        <v>35</v>
      </c>
      <c r="I665" s="3">
        <v>1</v>
      </c>
      <c r="J665" s="4">
        <v>45368</v>
      </c>
      <c r="K665" s="3">
        <v>18</v>
      </c>
      <c r="L665" s="3">
        <v>3</v>
      </c>
      <c r="M665" s="3" t="s">
        <v>36</v>
      </c>
      <c r="N665" s="3">
        <v>82</v>
      </c>
      <c r="O665" s="3">
        <v>14</v>
      </c>
      <c r="P665" s="3">
        <v>15</v>
      </c>
      <c r="AA665" s="3" t="str">
        <f t="shared" si="5"/>
        <v>1296_66__vv</v>
      </c>
      <c r="AB665" s="3" t="str">
        <f t="shared" si="4"/>
        <v>1296_66__vv_1</v>
      </c>
    </row>
    <row r="666" spans="1:30" ht="12.5">
      <c r="A666" s="3">
        <v>665</v>
      </c>
      <c r="F666" s="3"/>
      <c r="H666" s="3"/>
      <c r="M666" s="3" t="s">
        <v>38</v>
      </c>
      <c r="N666" s="3">
        <v>60</v>
      </c>
      <c r="O666" s="3">
        <v>8</v>
      </c>
      <c r="AA666" s="3" t="str">
        <f t="shared" si="5"/>
        <v>___</v>
      </c>
      <c r="AB666" s="3" t="str">
        <f t="shared" si="4"/>
        <v>____</v>
      </c>
    </row>
    <row r="667" spans="1:30" ht="12.5">
      <c r="A667" s="3">
        <v>666</v>
      </c>
      <c r="F667" s="3"/>
      <c r="H667" s="3"/>
      <c r="M667" s="3" t="s">
        <v>39</v>
      </c>
      <c r="N667" s="3">
        <v>25</v>
      </c>
      <c r="O667" s="3">
        <v>0</v>
      </c>
      <c r="P667" s="3">
        <v>3</v>
      </c>
      <c r="R667" s="3">
        <v>1</v>
      </c>
      <c r="AA667" s="3" t="str">
        <f t="shared" si="5"/>
        <v>___</v>
      </c>
      <c r="AB667" s="3" t="str">
        <f t="shared" si="4"/>
        <v>____</v>
      </c>
    </row>
    <row r="668" spans="1:30" ht="12.5">
      <c r="A668" s="3">
        <v>667</v>
      </c>
      <c r="B668" s="17">
        <v>45544</v>
      </c>
      <c r="C668" s="5" t="s">
        <v>96</v>
      </c>
      <c r="D668" s="5"/>
      <c r="E668" s="3" t="s">
        <v>97</v>
      </c>
      <c r="F668" s="3" t="s">
        <v>34</v>
      </c>
      <c r="H668" s="3" t="s">
        <v>40</v>
      </c>
      <c r="I668" s="3">
        <v>1</v>
      </c>
      <c r="J668" s="4">
        <v>45359</v>
      </c>
      <c r="K668" s="4">
        <v>45361</v>
      </c>
      <c r="L668" s="3">
        <v>4</v>
      </c>
      <c r="M668" s="3" t="s">
        <v>36</v>
      </c>
      <c r="N668" s="3">
        <v>23</v>
      </c>
      <c r="O668" s="3">
        <v>6</v>
      </c>
      <c r="P668" s="3">
        <v>6</v>
      </c>
      <c r="R668" s="3">
        <v>0</v>
      </c>
      <c r="S668" s="9">
        <v>0</v>
      </c>
      <c r="T668" s="8">
        <v>0.19400000000000001</v>
      </c>
      <c r="U668" s="8">
        <v>8.4799999999999997E-3</v>
      </c>
      <c r="V668" s="8">
        <v>0</v>
      </c>
      <c r="W668" s="8">
        <v>0</v>
      </c>
      <c r="AA668" s="3" t="str">
        <f t="shared" si="5"/>
        <v>LY_O___vm</v>
      </c>
      <c r="AB668" s="3" t="str">
        <f t="shared" si="4"/>
        <v>LY_O___vm_1</v>
      </c>
      <c r="AD668" s="3" t="s">
        <v>37</v>
      </c>
    </row>
    <row r="669" spans="1:30" ht="12.5">
      <c r="A669" s="3">
        <v>668</v>
      </c>
      <c r="F669" s="3"/>
      <c r="H669" s="3"/>
      <c r="M669" s="3" t="s">
        <v>38</v>
      </c>
      <c r="N669" s="3">
        <v>33</v>
      </c>
      <c r="O669" s="3">
        <v>0</v>
      </c>
      <c r="P669" s="3">
        <v>7</v>
      </c>
      <c r="R669" s="3">
        <v>1</v>
      </c>
      <c r="S669" s="9">
        <v>0</v>
      </c>
      <c r="T669" s="8">
        <v>0</v>
      </c>
      <c r="U669" s="8">
        <v>2.4709999999999999E-2</v>
      </c>
      <c r="V669" s="8">
        <v>1.447E-2</v>
      </c>
      <c r="W669" s="8">
        <v>0</v>
      </c>
      <c r="AA669" s="3" t="str">
        <f t="shared" si="5"/>
        <v>___</v>
      </c>
      <c r="AB669" s="3" t="str">
        <f t="shared" si="4"/>
        <v>____</v>
      </c>
    </row>
    <row r="670" spans="1:30" ht="12.5">
      <c r="A670" s="3">
        <v>669</v>
      </c>
      <c r="F670" s="3"/>
      <c r="H670" s="3"/>
      <c r="M670" s="3" t="s">
        <v>39</v>
      </c>
      <c r="N670" s="3">
        <v>22</v>
      </c>
      <c r="O670" s="3">
        <v>0</v>
      </c>
      <c r="P670" s="3">
        <v>6</v>
      </c>
      <c r="R670" s="3">
        <v>2</v>
      </c>
      <c r="S670" s="9">
        <v>0</v>
      </c>
      <c r="T670" s="8">
        <v>0</v>
      </c>
      <c r="U670" s="8">
        <v>1.9220000000000001E-2</v>
      </c>
      <c r="V670" s="8">
        <v>5.0200000000000002E-3</v>
      </c>
      <c r="W670" s="8">
        <v>0</v>
      </c>
      <c r="AA670" s="3" t="str">
        <f t="shared" si="5"/>
        <v>___</v>
      </c>
      <c r="AB670" s="3" t="str">
        <f t="shared" si="4"/>
        <v>____</v>
      </c>
    </row>
    <row r="671" spans="1:30" ht="12.5">
      <c r="A671" s="3">
        <v>670</v>
      </c>
      <c r="B671" s="17">
        <v>45544</v>
      </c>
      <c r="C671" s="3" t="s">
        <v>96</v>
      </c>
      <c r="E671" s="3" t="s">
        <v>97</v>
      </c>
      <c r="F671" s="3" t="s">
        <v>34</v>
      </c>
      <c r="H671" s="3" t="s">
        <v>40</v>
      </c>
      <c r="I671" s="3">
        <v>2</v>
      </c>
      <c r="J671" s="4">
        <v>45545</v>
      </c>
      <c r="K671" s="4">
        <v>45484</v>
      </c>
      <c r="L671" s="3">
        <v>6</v>
      </c>
      <c r="M671" s="3" t="s">
        <v>36</v>
      </c>
      <c r="N671" s="3">
        <v>31</v>
      </c>
      <c r="O671" s="3">
        <v>4</v>
      </c>
      <c r="P671" s="3">
        <v>5</v>
      </c>
      <c r="R671" s="3">
        <v>0</v>
      </c>
      <c r="S671" s="9">
        <v>0</v>
      </c>
      <c r="T671" s="8">
        <v>2.2679999999999999E-2</v>
      </c>
      <c r="U671" s="8">
        <v>1.2239999999999999E-2</v>
      </c>
      <c r="V671" s="8">
        <v>0</v>
      </c>
      <c r="W671" s="8">
        <v>0</v>
      </c>
      <c r="X671" s="3"/>
      <c r="Y671" s="3" t="s">
        <v>98</v>
      </c>
      <c r="AA671" s="3" t="str">
        <f t="shared" si="5"/>
        <v>LY_O___vm</v>
      </c>
      <c r="AB671" s="3" t="str">
        <f t="shared" si="4"/>
        <v>LY_O___vm_2</v>
      </c>
      <c r="AD671" s="3" t="s">
        <v>37</v>
      </c>
    </row>
    <row r="672" spans="1:30" ht="12.5">
      <c r="A672" s="3">
        <v>671</v>
      </c>
      <c r="F672" s="3"/>
      <c r="H672" s="3"/>
      <c r="M672" s="3" t="s">
        <v>38</v>
      </c>
      <c r="N672" s="3">
        <v>22</v>
      </c>
      <c r="O672" s="3">
        <v>0</v>
      </c>
      <c r="P672" s="3">
        <v>6</v>
      </c>
      <c r="R672" s="3">
        <v>2</v>
      </c>
      <c r="S672" s="9">
        <v>0</v>
      </c>
      <c r="T672" s="8">
        <v>0</v>
      </c>
      <c r="U672" s="8">
        <v>1.2540000000000001E-2</v>
      </c>
      <c r="V672" s="8">
        <v>3.594E-2</v>
      </c>
      <c r="W672" s="8">
        <v>0</v>
      </c>
      <c r="AA672" s="3" t="str">
        <f t="shared" si="5"/>
        <v>___</v>
      </c>
      <c r="AB672" s="3" t="str">
        <f t="shared" si="4"/>
        <v>____</v>
      </c>
    </row>
    <row r="673" spans="1:30" ht="12.5">
      <c r="A673" s="3">
        <v>672</v>
      </c>
      <c r="F673" s="3"/>
      <c r="H673" s="3"/>
      <c r="M673" s="3" t="s">
        <v>39</v>
      </c>
      <c r="N673" s="3">
        <v>24</v>
      </c>
      <c r="O673" s="3">
        <v>0</v>
      </c>
      <c r="P673" s="3">
        <v>5</v>
      </c>
      <c r="R673" s="3">
        <v>0</v>
      </c>
      <c r="S673" s="9">
        <v>0</v>
      </c>
      <c r="T673" s="8">
        <v>0</v>
      </c>
      <c r="U673" s="8">
        <v>2.681E-2</v>
      </c>
      <c r="V673" s="8">
        <v>0</v>
      </c>
      <c r="W673" s="8">
        <v>0</v>
      </c>
      <c r="AA673" s="3" t="str">
        <f t="shared" si="5"/>
        <v>___</v>
      </c>
      <c r="AB673" s="3" t="str">
        <f t="shared" si="4"/>
        <v>____</v>
      </c>
    </row>
    <row r="674" spans="1:30" ht="12.5">
      <c r="A674" s="3">
        <v>673</v>
      </c>
      <c r="B674" s="17">
        <v>45544</v>
      </c>
      <c r="C674" s="3" t="s">
        <v>96</v>
      </c>
      <c r="E674" s="3" t="s">
        <v>97</v>
      </c>
      <c r="F674" s="3" t="s">
        <v>34</v>
      </c>
      <c r="H674" s="3" t="s">
        <v>35</v>
      </c>
      <c r="I674" s="3">
        <v>2</v>
      </c>
      <c r="J674" s="4">
        <v>45361</v>
      </c>
      <c r="K674" s="4">
        <v>45335</v>
      </c>
      <c r="L674" s="3">
        <v>5</v>
      </c>
      <c r="M674" s="3" t="s">
        <v>36</v>
      </c>
      <c r="N674" s="3">
        <v>37</v>
      </c>
      <c r="O674" s="3">
        <v>11</v>
      </c>
      <c r="P674" s="3">
        <v>13</v>
      </c>
      <c r="R674" s="3">
        <v>0</v>
      </c>
      <c r="S674" s="9">
        <v>0</v>
      </c>
      <c r="T674" s="8">
        <v>0.11860999999999999</v>
      </c>
      <c r="U674" s="8">
        <v>1.831E-2</v>
      </c>
      <c r="V674" s="8">
        <v>0</v>
      </c>
      <c r="W674" s="8">
        <v>0</v>
      </c>
      <c r="AA674" s="3" t="str">
        <f t="shared" si="5"/>
        <v>LY_O___vv</v>
      </c>
      <c r="AB674" s="3" t="str">
        <f t="shared" si="4"/>
        <v>LY_O___vv_2</v>
      </c>
      <c r="AD674" s="3" t="s">
        <v>37</v>
      </c>
    </row>
    <row r="675" spans="1:30" ht="12.5">
      <c r="A675" s="3">
        <v>674</v>
      </c>
      <c r="F675" s="3"/>
      <c r="H675" s="3"/>
      <c r="M675" s="3" t="s">
        <v>38</v>
      </c>
      <c r="N675" s="3">
        <v>32</v>
      </c>
      <c r="O675" s="3">
        <v>6</v>
      </c>
      <c r="P675" s="3">
        <v>10</v>
      </c>
      <c r="R675" s="3">
        <v>0</v>
      </c>
      <c r="S675" s="9">
        <v>0</v>
      </c>
      <c r="T675" s="8">
        <v>5.5550000000000002E-2</v>
      </c>
      <c r="U675" s="8">
        <v>2.2960000000000001E-2</v>
      </c>
      <c r="V675" s="8">
        <v>0</v>
      </c>
      <c r="W675" s="8">
        <v>0</v>
      </c>
      <c r="AA675" s="3" t="str">
        <f t="shared" si="5"/>
        <v>___</v>
      </c>
      <c r="AB675" s="3" t="str">
        <f t="shared" si="4"/>
        <v>____</v>
      </c>
    </row>
    <row r="676" spans="1:30" ht="12.5">
      <c r="A676" s="3">
        <v>675</v>
      </c>
      <c r="F676" s="3"/>
      <c r="H676" s="3"/>
      <c r="M676" s="3" t="s">
        <v>39</v>
      </c>
      <c r="N676" s="3">
        <v>29</v>
      </c>
      <c r="O676" s="3">
        <v>0</v>
      </c>
      <c r="P676" s="3">
        <v>8</v>
      </c>
      <c r="R676" s="3">
        <v>0</v>
      </c>
      <c r="S676" s="9">
        <v>0</v>
      </c>
      <c r="T676" s="8">
        <v>0</v>
      </c>
      <c r="U676" s="8">
        <v>2.2610000000000002E-2</v>
      </c>
      <c r="V676" s="8">
        <v>0</v>
      </c>
      <c r="W676" s="8">
        <v>0</v>
      </c>
      <c r="X676" s="3"/>
      <c r="Y676" s="3" t="s">
        <v>99</v>
      </c>
      <c r="AA676" s="3" t="str">
        <f t="shared" si="5"/>
        <v>___</v>
      </c>
      <c r="AB676" s="3" t="str">
        <f t="shared" si="4"/>
        <v>____</v>
      </c>
    </row>
    <row r="677" spans="1:30" ht="12.5">
      <c r="A677" s="3">
        <v>676</v>
      </c>
      <c r="B677" s="17">
        <v>45544</v>
      </c>
      <c r="C677" s="3" t="s">
        <v>96</v>
      </c>
      <c r="E677" s="3" t="s">
        <v>97</v>
      </c>
      <c r="F677" s="3" t="s">
        <v>34</v>
      </c>
      <c r="H677" s="3" t="s">
        <v>40</v>
      </c>
      <c r="I677" s="3">
        <v>3</v>
      </c>
      <c r="J677" s="4">
        <v>45480</v>
      </c>
      <c r="K677" s="3" t="s">
        <v>100</v>
      </c>
      <c r="L677" s="3">
        <v>3</v>
      </c>
      <c r="M677" s="3" t="s">
        <v>36</v>
      </c>
      <c r="N677" s="3">
        <v>27</v>
      </c>
      <c r="O677" s="3">
        <v>6</v>
      </c>
      <c r="P677" s="3">
        <v>7</v>
      </c>
      <c r="R677" s="3">
        <v>0</v>
      </c>
      <c r="S677" s="9">
        <v>0</v>
      </c>
      <c r="T677" s="8">
        <v>2.4639999999999999E-2</v>
      </c>
      <c r="U677" s="8">
        <v>1.2E-2</v>
      </c>
      <c r="V677" s="8">
        <v>0</v>
      </c>
      <c r="W677" s="8">
        <v>0</v>
      </c>
      <c r="AA677" s="3" t="str">
        <f t="shared" si="5"/>
        <v>LY_O___vm</v>
      </c>
      <c r="AB677" s="3" t="str">
        <f t="shared" si="4"/>
        <v>LY_O___vm_3</v>
      </c>
      <c r="AD677" s="3" t="s">
        <v>37</v>
      </c>
    </row>
    <row r="678" spans="1:30" ht="12.5">
      <c r="A678" s="3">
        <v>677</v>
      </c>
      <c r="F678" s="3"/>
      <c r="H678" s="3"/>
      <c r="M678" s="3" t="s">
        <v>38</v>
      </c>
      <c r="N678" s="3">
        <v>35</v>
      </c>
      <c r="O678" s="3">
        <v>0</v>
      </c>
      <c r="P678" s="3">
        <v>9</v>
      </c>
      <c r="R678" s="3">
        <v>2</v>
      </c>
      <c r="S678" s="9">
        <v>0</v>
      </c>
      <c r="T678" s="8">
        <v>0</v>
      </c>
      <c r="U678" s="8">
        <v>3.1199999999999999E-2</v>
      </c>
      <c r="V678" s="8">
        <v>0.42630000000000001</v>
      </c>
      <c r="W678" s="8">
        <v>0</v>
      </c>
      <c r="AA678" s="3" t="str">
        <f t="shared" si="5"/>
        <v>___</v>
      </c>
      <c r="AB678" s="3" t="str">
        <f t="shared" si="4"/>
        <v>____</v>
      </c>
    </row>
    <row r="679" spans="1:30" ht="12.5">
      <c r="A679" s="3">
        <v>678</v>
      </c>
      <c r="F679" s="3"/>
      <c r="H679" s="3"/>
      <c r="M679" s="3" t="s">
        <v>39</v>
      </c>
      <c r="N679" s="3">
        <v>29</v>
      </c>
      <c r="O679" s="3">
        <v>0</v>
      </c>
      <c r="P679" s="3">
        <v>8</v>
      </c>
      <c r="R679" s="3">
        <v>0</v>
      </c>
      <c r="S679" s="9">
        <v>0</v>
      </c>
      <c r="T679" s="8">
        <v>0</v>
      </c>
      <c r="U679" s="8">
        <v>2.681E-2</v>
      </c>
      <c r="V679" s="8">
        <v>0</v>
      </c>
      <c r="W679" s="8">
        <v>0</v>
      </c>
      <c r="AA679" s="3" t="str">
        <f t="shared" si="5"/>
        <v>___</v>
      </c>
      <c r="AB679" s="3" t="str">
        <f t="shared" si="4"/>
        <v>____</v>
      </c>
    </row>
    <row r="680" spans="1:30" ht="12.5">
      <c r="A680" s="3">
        <v>679</v>
      </c>
      <c r="B680" s="17">
        <v>45544</v>
      </c>
      <c r="C680" s="3" t="s">
        <v>96</v>
      </c>
      <c r="E680" s="3" t="s">
        <v>97</v>
      </c>
      <c r="F680" s="3" t="s">
        <v>34</v>
      </c>
      <c r="H680" s="3" t="s">
        <v>35</v>
      </c>
      <c r="I680" s="3">
        <v>3</v>
      </c>
      <c r="J680" s="4">
        <v>45360</v>
      </c>
      <c r="K680" s="4">
        <v>45299</v>
      </c>
      <c r="L680" s="3">
        <v>3</v>
      </c>
      <c r="M680" s="3" t="s">
        <v>36</v>
      </c>
      <c r="N680" s="3">
        <v>15</v>
      </c>
      <c r="O680" s="3">
        <v>12</v>
      </c>
      <c r="P680" s="3">
        <v>12</v>
      </c>
      <c r="R680" s="3">
        <v>0</v>
      </c>
      <c r="S680" s="9">
        <v>0</v>
      </c>
      <c r="T680" s="8">
        <v>4.5830000000000003E-2</v>
      </c>
      <c r="U680" s="8">
        <v>3.9699999999999996E-3</v>
      </c>
      <c r="V680" s="8">
        <v>0</v>
      </c>
      <c r="W680" s="8">
        <v>0</v>
      </c>
      <c r="AA680" s="3" t="str">
        <f t="shared" si="5"/>
        <v>LY_O___vv</v>
      </c>
      <c r="AB680" s="3" t="str">
        <f t="shared" si="4"/>
        <v>LY_O___vv_3</v>
      </c>
      <c r="AD680" s="3" t="s">
        <v>37</v>
      </c>
    </row>
    <row r="681" spans="1:30" ht="12.5">
      <c r="A681" s="3">
        <v>680</v>
      </c>
      <c r="F681" s="3"/>
      <c r="H681" s="3"/>
      <c r="M681" s="3" t="s">
        <v>38</v>
      </c>
      <c r="N681" s="3" t="s">
        <v>101</v>
      </c>
      <c r="O681" s="3">
        <v>7</v>
      </c>
      <c r="P681" s="3">
        <v>16</v>
      </c>
      <c r="R681" s="3">
        <v>0</v>
      </c>
      <c r="S681" s="9">
        <v>0</v>
      </c>
      <c r="T681" s="8">
        <v>3.619E-2</v>
      </c>
      <c r="U681" s="8">
        <v>3.1850000000000003E-2</v>
      </c>
      <c r="V681" s="8">
        <v>0</v>
      </c>
      <c r="W681" s="8">
        <v>0</v>
      </c>
      <c r="AA681" s="3" t="str">
        <f t="shared" si="5"/>
        <v>___</v>
      </c>
      <c r="AB681" s="3" t="str">
        <f t="shared" si="4"/>
        <v>____</v>
      </c>
    </row>
    <row r="682" spans="1:30" ht="12.5">
      <c r="A682" s="3">
        <v>681</v>
      </c>
      <c r="F682" s="3"/>
      <c r="H682" s="3"/>
      <c r="M682" s="3" t="s">
        <v>39</v>
      </c>
      <c r="N682" s="3">
        <v>3</v>
      </c>
      <c r="O682" s="3">
        <v>0</v>
      </c>
      <c r="P682" s="3">
        <v>1</v>
      </c>
      <c r="R682" s="3">
        <v>0</v>
      </c>
      <c r="S682" s="9">
        <v>0</v>
      </c>
      <c r="T682" s="8">
        <v>0</v>
      </c>
      <c r="U682" s="8">
        <v>1.6000000000000001E-3</v>
      </c>
      <c r="V682" s="8">
        <v>0</v>
      </c>
      <c r="W682" s="11">
        <v>0</v>
      </c>
      <c r="AA682" s="3" t="str">
        <f t="shared" si="5"/>
        <v>___</v>
      </c>
      <c r="AB682" s="3" t="str">
        <f t="shared" si="4"/>
        <v>____</v>
      </c>
    </row>
    <row r="683" spans="1:30" ht="12.5">
      <c r="A683" s="3">
        <v>682</v>
      </c>
      <c r="B683" s="17">
        <v>45544</v>
      </c>
      <c r="C683" s="3" t="s">
        <v>102</v>
      </c>
      <c r="E683" s="3" t="s">
        <v>97</v>
      </c>
      <c r="F683" s="3" t="s">
        <v>42</v>
      </c>
      <c r="H683" s="3" t="s">
        <v>35</v>
      </c>
      <c r="I683" s="3">
        <v>1</v>
      </c>
      <c r="J683" s="4">
        <v>45518</v>
      </c>
      <c r="K683" s="4">
        <v>45532</v>
      </c>
      <c r="L683" s="3">
        <v>8</v>
      </c>
      <c r="M683" s="3" t="s">
        <v>36</v>
      </c>
      <c r="N683" s="3">
        <v>20</v>
      </c>
      <c r="O683" s="3">
        <v>8</v>
      </c>
      <c r="P683" s="3">
        <v>9</v>
      </c>
      <c r="R683" s="3">
        <v>0</v>
      </c>
      <c r="S683" s="9">
        <v>0</v>
      </c>
      <c r="T683" s="11">
        <v>3.7589999999999998E-2</v>
      </c>
      <c r="U683" s="11">
        <v>3.48E-3</v>
      </c>
      <c r="V683" s="11">
        <v>0</v>
      </c>
      <c r="W683" s="11">
        <v>0</v>
      </c>
      <c r="X683" s="3"/>
      <c r="Y683" s="3" t="s">
        <v>103</v>
      </c>
      <c r="AA683" s="3" t="str">
        <f t="shared" si="5"/>
        <v>LY_F___vv</v>
      </c>
      <c r="AB683" s="3" t="str">
        <f t="shared" si="4"/>
        <v>LY_F___vv_1</v>
      </c>
      <c r="AD683" s="3" t="s">
        <v>37</v>
      </c>
    </row>
    <row r="684" spans="1:30" ht="12.5">
      <c r="A684" s="3">
        <v>683</v>
      </c>
      <c r="F684" s="3"/>
      <c r="H684" s="3"/>
      <c r="M684" s="3" t="s">
        <v>38</v>
      </c>
      <c r="N684" s="3">
        <v>35</v>
      </c>
      <c r="O684" s="3">
        <v>5</v>
      </c>
      <c r="P684" s="3">
        <v>11</v>
      </c>
      <c r="R684" s="3">
        <v>0</v>
      </c>
      <c r="S684" s="9">
        <v>0</v>
      </c>
      <c r="T684" s="18">
        <v>6.2170000000000003E-2</v>
      </c>
      <c r="U684" s="11">
        <v>1.512E-2</v>
      </c>
      <c r="V684" s="11">
        <v>0</v>
      </c>
      <c r="W684" s="11">
        <v>0</v>
      </c>
      <c r="AA684" s="3" t="str">
        <f t="shared" si="5"/>
        <v>___</v>
      </c>
      <c r="AB684" s="3" t="str">
        <f t="shared" si="4"/>
        <v>____</v>
      </c>
    </row>
    <row r="685" spans="1:30" ht="12.5">
      <c r="A685" s="3">
        <v>684</v>
      </c>
      <c r="F685" s="3"/>
      <c r="H685" s="3"/>
      <c r="M685" s="3" t="s">
        <v>39</v>
      </c>
      <c r="N685" s="3">
        <v>58</v>
      </c>
      <c r="O685" s="3">
        <v>1</v>
      </c>
      <c r="P685" s="3">
        <v>13</v>
      </c>
      <c r="R685" s="3">
        <v>0</v>
      </c>
      <c r="S685" s="9">
        <v>0</v>
      </c>
      <c r="T685" s="11">
        <v>1.2630000000000001E-2</v>
      </c>
      <c r="U685" s="11">
        <v>4.5370000000000001E-2</v>
      </c>
      <c r="V685" s="11">
        <v>0</v>
      </c>
      <c r="W685" s="11">
        <v>0</v>
      </c>
      <c r="AA685" s="3" t="str">
        <f t="shared" si="5"/>
        <v>___</v>
      </c>
      <c r="AB685" s="3" t="str">
        <f t="shared" si="4"/>
        <v>____</v>
      </c>
    </row>
    <row r="686" spans="1:30" ht="12.5">
      <c r="A686" s="3">
        <v>685</v>
      </c>
      <c r="B686" s="17">
        <v>45544</v>
      </c>
      <c r="C686" s="3" t="s">
        <v>102</v>
      </c>
      <c r="E686" s="3" t="s">
        <v>97</v>
      </c>
      <c r="F686" s="3" t="s">
        <v>42</v>
      </c>
      <c r="H686" s="3" t="s">
        <v>40</v>
      </c>
      <c r="I686" s="3">
        <v>1</v>
      </c>
      <c r="J686" s="4">
        <v>45443</v>
      </c>
      <c r="K686" s="3" t="s">
        <v>104</v>
      </c>
      <c r="L686" s="3">
        <v>5</v>
      </c>
      <c r="M686" s="3" t="s">
        <v>36</v>
      </c>
      <c r="N686" s="3">
        <v>41</v>
      </c>
      <c r="O686" s="3">
        <v>4</v>
      </c>
      <c r="P686" s="3">
        <v>6</v>
      </c>
      <c r="R686" s="3">
        <v>0</v>
      </c>
      <c r="S686" s="9">
        <v>0</v>
      </c>
      <c r="T686" s="11">
        <v>3.5290000000000002E-2</v>
      </c>
      <c r="U686" s="11">
        <v>2.554E-2</v>
      </c>
      <c r="V686" s="11">
        <v>0</v>
      </c>
      <c r="W686" s="11">
        <v>0</v>
      </c>
      <c r="AA686" s="3" t="str">
        <f t="shared" si="5"/>
        <v>LY_F___vm</v>
      </c>
      <c r="AB686" s="3" t="str">
        <f t="shared" si="4"/>
        <v>LY_F___vm_1</v>
      </c>
      <c r="AD686" s="3" t="s">
        <v>37</v>
      </c>
    </row>
    <row r="687" spans="1:30" ht="12.5">
      <c r="A687" s="3">
        <v>686</v>
      </c>
      <c r="F687" s="3"/>
      <c r="H687" s="3"/>
      <c r="M687" s="3" t="s">
        <v>38</v>
      </c>
      <c r="N687" s="3">
        <v>91</v>
      </c>
      <c r="O687" s="3">
        <v>0</v>
      </c>
      <c r="P687" s="3">
        <v>9</v>
      </c>
      <c r="R687" s="3">
        <v>3</v>
      </c>
      <c r="S687" s="9">
        <v>0</v>
      </c>
      <c r="T687" s="11">
        <v>0</v>
      </c>
      <c r="U687" s="11">
        <v>9.0679999999999997E-2</v>
      </c>
      <c r="V687" s="11">
        <v>0.10592</v>
      </c>
      <c r="W687" s="11">
        <v>0</v>
      </c>
      <c r="AA687" s="3" t="str">
        <f t="shared" si="5"/>
        <v>___</v>
      </c>
      <c r="AB687" s="3" t="str">
        <f t="shared" si="4"/>
        <v>____</v>
      </c>
    </row>
    <row r="688" spans="1:30" ht="12.5">
      <c r="A688" s="3">
        <v>687</v>
      </c>
      <c r="F688" s="3"/>
      <c r="H688" s="3"/>
      <c r="M688" s="3" t="s">
        <v>39</v>
      </c>
      <c r="N688" s="3">
        <v>156</v>
      </c>
      <c r="O688" s="3">
        <v>0</v>
      </c>
      <c r="P688" s="3">
        <v>13</v>
      </c>
      <c r="R688" s="3">
        <v>7</v>
      </c>
      <c r="S688" s="9">
        <v>0</v>
      </c>
      <c r="T688" s="11">
        <v>0</v>
      </c>
      <c r="U688" s="11">
        <v>0.41421000000000002</v>
      </c>
      <c r="V688" s="11">
        <v>0.51893999999999996</v>
      </c>
      <c r="W688" s="11">
        <v>0</v>
      </c>
      <c r="AA688" s="3" t="str">
        <f t="shared" si="5"/>
        <v>___</v>
      </c>
      <c r="AB688" s="3" t="str">
        <f t="shared" si="4"/>
        <v>____</v>
      </c>
    </row>
    <row r="689" spans="1:30" ht="12.5">
      <c r="A689" s="3">
        <v>688</v>
      </c>
      <c r="B689" s="17">
        <v>45544</v>
      </c>
      <c r="C689" s="3" t="s">
        <v>102</v>
      </c>
      <c r="E689" s="3" t="s">
        <v>97</v>
      </c>
      <c r="F689" s="3" t="s">
        <v>42</v>
      </c>
      <c r="H689" s="3" t="s">
        <v>40</v>
      </c>
      <c r="I689" s="3">
        <v>3</v>
      </c>
      <c r="J689" s="3" t="s">
        <v>105</v>
      </c>
      <c r="K689" s="3" t="s">
        <v>106</v>
      </c>
      <c r="L689" s="3">
        <v>12</v>
      </c>
      <c r="M689" s="3" t="s">
        <v>36</v>
      </c>
      <c r="N689" s="3">
        <v>45</v>
      </c>
      <c r="O689" s="3">
        <v>7</v>
      </c>
      <c r="P689" s="3">
        <v>7</v>
      </c>
      <c r="R689" s="3">
        <v>0</v>
      </c>
      <c r="S689" s="9">
        <v>0</v>
      </c>
      <c r="T689" s="11">
        <v>5.6210000000000003E-2</v>
      </c>
      <c r="U689" s="11">
        <v>2.308E-2</v>
      </c>
      <c r="V689" s="11">
        <v>0</v>
      </c>
      <c r="W689" s="11">
        <v>0</v>
      </c>
      <c r="X689" s="3"/>
      <c r="Y689" s="3" t="s">
        <v>107</v>
      </c>
      <c r="AA689" s="3" t="str">
        <f t="shared" si="5"/>
        <v>LY_F___vm</v>
      </c>
      <c r="AB689" s="3" t="str">
        <f t="shared" si="4"/>
        <v>LY_F___vm_3</v>
      </c>
      <c r="AD689" s="3" t="s">
        <v>37</v>
      </c>
    </row>
    <row r="690" spans="1:30" ht="12.5">
      <c r="A690" s="3">
        <v>689</v>
      </c>
      <c r="F690" s="3"/>
      <c r="H690" s="3"/>
      <c r="M690" s="3" t="s">
        <v>38</v>
      </c>
      <c r="N690" s="3">
        <v>113</v>
      </c>
      <c r="O690" s="3">
        <v>0</v>
      </c>
      <c r="P690" s="3">
        <v>11</v>
      </c>
      <c r="R690" s="3">
        <v>3</v>
      </c>
      <c r="S690" s="9">
        <v>0</v>
      </c>
      <c r="T690" s="11">
        <v>0</v>
      </c>
      <c r="U690" s="11">
        <v>0.14939</v>
      </c>
      <c r="V690" s="11">
        <v>0.21045</v>
      </c>
      <c r="W690" s="11">
        <v>0</v>
      </c>
      <c r="AA690" s="3" t="str">
        <f t="shared" si="5"/>
        <v>___</v>
      </c>
      <c r="AB690" s="3" t="str">
        <f t="shared" si="4"/>
        <v>____</v>
      </c>
    </row>
    <row r="691" spans="1:30" ht="12.5">
      <c r="A691" s="3">
        <v>690</v>
      </c>
      <c r="F691" s="3"/>
      <c r="H691" s="3"/>
      <c r="M691" s="3" t="s">
        <v>39</v>
      </c>
      <c r="N691" s="3">
        <v>58</v>
      </c>
      <c r="O691" s="3">
        <v>0</v>
      </c>
      <c r="P691" s="3">
        <v>6</v>
      </c>
      <c r="R691" s="3">
        <v>3</v>
      </c>
      <c r="S691" s="9">
        <v>0</v>
      </c>
      <c r="T691" s="11">
        <v>0</v>
      </c>
      <c r="U691" s="11">
        <v>0.13572000000000001</v>
      </c>
      <c r="V691" s="11">
        <v>0.44151000000000001</v>
      </c>
      <c r="W691" s="11">
        <v>0</v>
      </c>
      <c r="AA691" s="3" t="str">
        <f t="shared" si="5"/>
        <v>___</v>
      </c>
      <c r="AB691" s="3" t="str">
        <f t="shared" si="4"/>
        <v>____</v>
      </c>
    </row>
    <row r="692" spans="1:30" ht="12.5">
      <c r="A692" s="3">
        <v>691</v>
      </c>
      <c r="B692" s="17">
        <v>45544</v>
      </c>
      <c r="C692" s="3" t="s">
        <v>102</v>
      </c>
      <c r="E692" s="3" t="s">
        <v>97</v>
      </c>
      <c r="F692" s="3" t="s">
        <v>42</v>
      </c>
      <c r="H692" s="3" t="s">
        <v>35</v>
      </c>
      <c r="I692" s="3">
        <v>3</v>
      </c>
      <c r="J692" s="4">
        <v>45437</v>
      </c>
      <c r="K692" s="3" t="s">
        <v>108</v>
      </c>
      <c r="L692" s="3">
        <v>7</v>
      </c>
      <c r="M692" s="3" t="s">
        <v>36</v>
      </c>
      <c r="N692" s="3">
        <v>37</v>
      </c>
      <c r="O692" s="3">
        <v>11</v>
      </c>
      <c r="P692" s="3">
        <v>13</v>
      </c>
      <c r="R692" s="3">
        <v>0</v>
      </c>
      <c r="S692" s="9">
        <v>0</v>
      </c>
      <c r="T692" s="11">
        <v>8.4229999999999999E-2</v>
      </c>
      <c r="U692" s="11">
        <v>1.042E-2</v>
      </c>
      <c r="V692" s="11">
        <v>0</v>
      </c>
      <c r="W692" s="11">
        <v>0</v>
      </c>
      <c r="Y692" s="3" t="s">
        <v>109</v>
      </c>
      <c r="AA692" s="3" t="str">
        <f t="shared" si="5"/>
        <v>LY_F___vv</v>
      </c>
      <c r="AB692" s="3" t="str">
        <f t="shared" si="4"/>
        <v>LY_F___vv_3</v>
      </c>
      <c r="AD692" s="3" t="s">
        <v>37</v>
      </c>
    </row>
    <row r="693" spans="1:30" ht="12.5">
      <c r="A693" s="3">
        <v>692</v>
      </c>
      <c r="F693" s="3"/>
      <c r="H693" s="3"/>
      <c r="M693" s="3" t="s">
        <v>38</v>
      </c>
      <c r="N693" s="3">
        <v>61</v>
      </c>
      <c r="O693" s="3">
        <v>9</v>
      </c>
      <c r="P693" s="3">
        <v>15</v>
      </c>
      <c r="R693" s="3">
        <v>0</v>
      </c>
      <c r="S693" s="9">
        <v>0</v>
      </c>
      <c r="T693" s="11">
        <v>0.18951000000000001</v>
      </c>
      <c r="U693" s="11">
        <v>3.8780000000000002E-2</v>
      </c>
      <c r="V693" s="11">
        <v>0</v>
      </c>
      <c r="W693" s="11">
        <v>0</v>
      </c>
      <c r="AA693" s="3" t="str">
        <f t="shared" si="5"/>
        <v>___</v>
      </c>
      <c r="AB693" s="3" t="str">
        <f t="shared" si="4"/>
        <v>____</v>
      </c>
    </row>
    <row r="694" spans="1:30" ht="12.5">
      <c r="A694" s="3">
        <v>693</v>
      </c>
      <c r="F694" s="3"/>
      <c r="H694" s="3"/>
      <c r="M694" s="3" t="s">
        <v>39</v>
      </c>
      <c r="N694" s="3">
        <v>56</v>
      </c>
      <c r="O694" s="3">
        <v>5</v>
      </c>
      <c r="P694" s="3">
        <v>13</v>
      </c>
      <c r="R694" s="3">
        <v>1</v>
      </c>
      <c r="S694" s="9">
        <v>0</v>
      </c>
      <c r="T694" s="11">
        <v>9.4390000000000002E-2</v>
      </c>
      <c r="U694" s="11">
        <v>5.3100000000000001E-2</v>
      </c>
      <c r="V694" s="11">
        <v>0</v>
      </c>
      <c r="W694" s="11">
        <v>0</v>
      </c>
      <c r="AA694" s="3" t="str">
        <f t="shared" si="5"/>
        <v>___</v>
      </c>
      <c r="AB694" s="3" t="str">
        <f t="shared" si="4"/>
        <v>____</v>
      </c>
    </row>
    <row r="695" spans="1:30" ht="12.5">
      <c r="A695" s="3">
        <v>694</v>
      </c>
      <c r="B695" s="17">
        <v>45544</v>
      </c>
      <c r="C695" s="3" t="s">
        <v>102</v>
      </c>
      <c r="E695" s="3" t="s">
        <v>97</v>
      </c>
      <c r="F695" s="3" t="s">
        <v>42</v>
      </c>
      <c r="H695" s="3" t="s">
        <v>40</v>
      </c>
      <c r="I695" s="3">
        <v>2</v>
      </c>
      <c r="J695" s="3" t="s">
        <v>110</v>
      </c>
      <c r="K695" s="3" t="s">
        <v>111</v>
      </c>
      <c r="L695" s="3">
        <v>9</v>
      </c>
      <c r="M695" s="3" t="s">
        <v>36</v>
      </c>
      <c r="N695" s="3">
        <v>78</v>
      </c>
      <c r="O695" s="3">
        <v>9</v>
      </c>
      <c r="P695" s="3">
        <v>10</v>
      </c>
      <c r="R695" s="3">
        <v>0</v>
      </c>
      <c r="S695" s="9">
        <v>2</v>
      </c>
      <c r="T695" s="11">
        <v>8.4750000000000006E-2</v>
      </c>
      <c r="U695" s="11">
        <v>7.6109999999999997E-2</v>
      </c>
      <c r="V695" s="11">
        <v>0</v>
      </c>
      <c r="W695" s="11">
        <v>6.7580000000000001E-2</v>
      </c>
      <c r="AA695" s="3" t="str">
        <f t="shared" si="5"/>
        <v>LY_F___vm</v>
      </c>
      <c r="AB695" s="3" t="str">
        <f t="shared" si="4"/>
        <v>LY_F___vm_2</v>
      </c>
      <c r="AD695" s="3" t="s">
        <v>37</v>
      </c>
    </row>
    <row r="696" spans="1:30" ht="12.5">
      <c r="A696" s="3">
        <v>695</v>
      </c>
      <c r="F696" s="3"/>
      <c r="H696" s="3"/>
      <c r="M696" s="3" t="s">
        <v>38</v>
      </c>
      <c r="N696" s="3">
        <v>75</v>
      </c>
      <c r="O696" s="3">
        <v>0</v>
      </c>
      <c r="P696" s="3">
        <v>8</v>
      </c>
      <c r="R696" s="3">
        <v>1</v>
      </c>
      <c r="S696" s="9">
        <v>0</v>
      </c>
      <c r="T696" s="11">
        <v>0</v>
      </c>
      <c r="U696" s="11">
        <v>0.1545</v>
      </c>
      <c r="V696" s="11">
        <v>0.17025999999999999</v>
      </c>
      <c r="W696" s="11">
        <v>0</v>
      </c>
      <c r="AA696" s="3" t="str">
        <f t="shared" si="5"/>
        <v>___</v>
      </c>
      <c r="AB696" s="3" t="str">
        <f t="shared" si="4"/>
        <v>____</v>
      </c>
    </row>
    <row r="697" spans="1:30" ht="12.5">
      <c r="A697" s="3">
        <v>696</v>
      </c>
      <c r="F697" s="3"/>
      <c r="H697" s="3"/>
      <c r="M697" s="3" t="s">
        <v>39</v>
      </c>
      <c r="N697" s="3">
        <v>43</v>
      </c>
      <c r="O697" s="3">
        <v>0</v>
      </c>
      <c r="P697" s="3">
        <v>5</v>
      </c>
      <c r="R697" s="3">
        <v>3</v>
      </c>
      <c r="S697" s="9">
        <v>0</v>
      </c>
      <c r="T697" s="11">
        <v>0</v>
      </c>
      <c r="U697" s="11">
        <v>0.14843999999999999</v>
      </c>
      <c r="V697" s="11">
        <v>0.82399999999999995</v>
      </c>
      <c r="W697" s="11">
        <v>0</v>
      </c>
      <c r="AA697" s="3" t="str">
        <f t="shared" si="5"/>
        <v>___</v>
      </c>
      <c r="AB697" s="3" t="str">
        <f t="shared" si="4"/>
        <v>____</v>
      </c>
    </row>
    <row r="698" spans="1:30" ht="12.5">
      <c r="A698" s="3">
        <v>697</v>
      </c>
      <c r="B698" s="17">
        <v>45544</v>
      </c>
      <c r="C698" s="3" t="s">
        <v>102</v>
      </c>
      <c r="E698" s="3" t="s">
        <v>97</v>
      </c>
      <c r="F698" s="3" t="s">
        <v>42</v>
      </c>
      <c r="H698" s="3" t="s">
        <v>35</v>
      </c>
      <c r="I698" s="3">
        <v>2</v>
      </c>
      <c r="J698" s="4">
        <v>45313</v>
      </c>
      <c r="K698" s="4">
        <v>45408</v>
      </c>
      <c r="L698" s="3">
        <v>7</v>
      </c>
      <c r="M698" s="3" t="s">
        <v>36</v>
      </c>
      <c r="N698" s="3">
        <v>57</v>
      </c>
      <c r="O698" s="3">
        <v>11</v>
      </c>
      <c r="P698" s="3">
        <v>16</v>
      </c>
      <c r="R698" s="3">
        <v>0</v>
      </c>
      <c r="S698" s="9">
        <v>0</v>
      </c>
      <c r="T698" s="11">
        <v>0.11138000000000001</v>
      </c>
      <c r="U698" s="11">
        <v>2.452E-2</v>
      </c>
      <c r="V698" s="11">
        <v>0</v>
      </c>
      <c r="W698" s="11">
        <v>0</v>
      </c>
      <c r="Y698" s="5" t="s">
        <v>112</v>
      </c>
      <c r="AA698" s="3" t="str">
        <f t="shared" si="5"/>
        <v>LY_F___vv</v>
      </c>
      <c r="AB698" s="3" t="str">
        <f t="shared" si="4"/>
        <v>LY_F___vv_2</v>
      </c>
      <c r="AD698" s="3" t="s">
        <v>37</v>
      </c>
    </row>
    <row r="699" spans="1:30" ht="12.5">
      <c r="A699" s="3">
        <v>698</v>
      </c>
      <c r="F699" s="3"/>
      <c r="H699" s="3"/>
      <c r="M699" s="3" t="s">
        <v>38</v>
      </c>
      <c r="N699" s="3">
        <v>48</v>
      </c>
      <c r="O699" s="3">
        <v>8</v>
      </c>
      <c r="P699" s="3">
        <v>10</v>
      </c>
      <c r="R699" s="3">
        <v>0</v>
      </c>
      <c r="S699" s="9">
        <v>0</v>
      </c>
      <c r="T699" s="11">
        <v>6.4119999999999996E-2</v>
      </c>
      <c r="U699" s="11">
        <v>2.717E-2</v>
      </c>
      <c r="V699" s="11">
        <v>0</v>
      </c>
      <c r="W699" s="11">
        <v>0</v>
      </c>
      <c r="AA699" s="3" t="str">
        <f t="shared" si="5"/>
        <v>___</v>
      </c>
      <c r="AB699" s="3" t="str">
        <f t="shared" si="4"/>
        <v>____</v>
      </c>
    </row>
    <row r="700" spans="1:30" ht="12.5">
      <c r="A700" s="3">
        <v>699</v>
      </c>
      <c r="F700" s="3"/>
      <c r="H700" s="3"/>
      <c r="M700" s="3" t="s">
        <v>39</v>
      </c>
      <c r="N700" s="3">
        <v>31</v>
      </c>
      <c r="O700" s="3">
        <v>2</v>
      </c>
      <c r="P700" s="3">
        <v>11</v>
      </c>
      <c r="R700" s="3">
        <v>1</v>
      </c>
      <c r="S700" s="9">
        <v>0</v>
      </c>
      <c r="T700" s="11">
        <v>3.8600000000000001E-3</v>
      </c>
      <c r="U700" s="11">
        <v>3.0509999999999999E-2</v>
      </c>
      <c r="V700" s="11">
        <v>2.1160000000000002E-2</v>
      </c>
      <c r="W700" s="11">
        <v>0</v>
      </c>
      <c r="AA700" s="3" t="str">
        <f t="shared" si="5"/>
        <v>___</v>
      </c>
      <c r="AB700" s="3" t="str">
        <f t="shared" si="4"/>
        <v>____</v>
      </c>
    </row>
    <row r="701" spans="1:30" ht="12.5">
      <c r="A701" s="3">
        <v>700</v>
      </c>
      <c r="C701" s="3" t="s">
        <v>113</v>
      </c>
      <c r="E701" s="3" t="s">
        <v>97</v>
      </c>
      <c r="F701" s="3" t="s">
        <v>42</v>
      </c>
      <c r="H701" s="3" t="s">
        <v>35</v>
      </c>
      <c r="I701" s="3">
        <v>1</v>
      </c>
      <c r="J701" s="3" t="s">
        <v>114</v>
      </c>
      <c r="K701" s="4">
        <v>45310</v>
      </c>
      <c r="L701" s="3">
        <v>3</v>
      </c>
      <c r="M701" s="3" t="s">
        <v>36</v>
      </c>
      <c r="N701" s="3">
        <v>48</v>
      </c>
      <c r="O701" s="3">
        <v>13</v>
      </c>
      <c r="P701" s="3">
        <v>14</v>
      </c>
      <c r="R701" s="3">
        <v>0</v>
      </c>
      <c r="S701" s="9">
        <v>0</v>
      </c>
      <c r="T701" s="11">
        <v>0.20931</v>
      </c>
      <c r="U701" s="11">
        <v>2.7480000000000001E-2</v>
      </c>
      <c r="V701" s="11">
        <v>0</v>
      </c>
      <c r="W701" s="11">
        <v>0</v>
      </c>
      <c r="AA701" s="3" t="str">
        <f t="shared" si="5"/>
        <v>SO_F___vv</v>
      </c>
      <c r="AB701" s="3" t="str">
        <f t="shared" si="4"/>
        <v>SO_F___vv_1</v>
      </c>
      <c r="AD701" s="3" t="s">
        <v>37</v>
      </c>
    </row>
    <row r="702" spans="1:30" ht="12.5">
      <c r="A702" s="3">
        <v>701</v>
      </c>
      <c r="F702" s="3"/>
      <c r="H702" s="3"/>
      <c r="M702" s="3" t="s">
        <v>38</v>
      </c>
      <c r="N702" s="3">
        <v>62</v>
      </c>
      <c r="O702" s="3">
        <v>10</v>
      </c>
      <c r="P702" s="3">
        <v>17</v>
      </c>
      <c r="R702" s="3">
        <v>0</v>
      </c>
      <c r="S702" s="9">
        <v>0</v>
      </c>
      <c r="T702" s="11">
        <v>0.15336</v>
      </c>
      <c r="U702" s="11">
        <v>5.5100000000000003E-2</v>
      </c>
      <c r="V702" s="11">
        <v>0</v>
      </c>
      <c r="W702" s="11">
        <v>0</v>
      </c>
      <c r="AA702" s="3" t="str">
        <f t="shared" si="5"/>
        <v>___</v>
      </c>
      <c r="AB702" s="3" t="str">
        <f t="shared" si="4"/>
        <v>____</v>
      </c>
    </row>
    <row r="703" spans="1:30" ht="12.5">
      <c r="A703" s="3">
        <v>702</v>
      </c>
      <c r="F703" s="3"/>
      <c r="H703" s="3"/>
      <c r="M703" s="3" t="s">
        <v>39</v>
      </c>
      <c r="N703" s="3">
        <v>75</v>
      </c>
      <c r="O703" s="3">
        <v>7</v>
      </c>
      <c r="P703" s="3">
        <v>13</v>
      </c>
      <c r="R703" s="3">
        <v>0</v>
      </c>
      <c r="S703" s="9">
        <v>0</v>
      </c>
      <c r="T703" s="11">
        <v>8.5360000000000005E-2</v>
      </c>
      <c r="U703" s="11">
        <v>7.5170000000000001E-2</v>
      </c>
      <c r="V703" s="11">
        <v>0</v>
      </c>
      <c r="W703" s="11">
        <v>0</v>
      </c>
      <c r="AA703" s="3" t="str">
        <f t="shared" si="5"/>
        <v>___</v>
      </c>
      <c r="AB703" s="3" t="str">
        <f t="shared" si="4"/>
        <v>____</v>
      </c>
    </row>
    <row r="704" spans="1:30" ht="12.5">
      <c r="A704" s="3">
        <v>703</v>
      </c>
      <c r="C704" s="3" t="s">
        <v>113</v>
      </c>
      <c r="E704" s="3" t="s">
        <v>97</v>
      </c>
      <c r="F704" s="3" t="s">
        <v>42</v>
      </c>
      <c r="H704" s="3" t="s">
        <v>35</v>
      </c>
      <c r="I704" s="3">
        <v>2</v>
      </c>
      <c r="J704" s="4">
        <v>45346</v>
      </c>
      <c r="K704" s="4">
        <v>45407</v>
      </c>
      <c r="L704" s="3">
        <v>3</v>
      </c>
      <c r="M704" s="3" t="s">
        <v>36</v>
      </c>
      <c r="N704" s="3">
        <v>60</v>
      </c>
      <c r="O704" s="3">
        <v>10</v>
      </c>
      <c r="P704" s="3">
        <v>18</v>
      </c>
      <c r="R704" s="3">
        <v>0</v>
      </c>
      <c r="S704" s="9">
        <v>0</v>
      </c>
      <c r="T704" s="11">
        <v>0.21646000000000001</v>
      </c>
      <c r="U704" s="11">
        <v>4.4990000000000002E-2</v>
      </c>
      <c r="V704" s="11">
        <v>0</v>
      </c>
      <c r="W704" s="11">
        <v>0</v>
      </c>
      <c r="AA704" s="3" t="str">
        <f t="shared" si="5"/>
        <v>SO_F___vv</v>
      </c>
      <c r="AB704" s="3" t="str">
        <f t="shared" si="4"/>
        <v>SO_F___vv_2</v>
      </c>
      <c r="AD704" s="3" t="s">
        <v>37</v>
      </c>
    </row>
    <row r="705" spans="1:30" ht="12.5">
      <c r="A705" s="3">
        <v>704</v>
      </c>
      <c r="F705" s="3"/>
      <c r="H705" s="3"/>
      <c r="M705" s="3" t="s">
        <v>38</v>
      </c>
      <c r="N705" s="3">
        <v>77</v>
      </c>
      <c r="O705" s="3">
        <v>10</v>
      </c>
      <c r="P705" s="3">
        <v>21</v>
      </c>
      <c r="R705" s="3">
        <v>0</v>
      </c>
      <c r="S705" s="9">
        <v>0</v>
      </c>
      <c r="T705" s="11">
        <v>0.32058999999999999</v>
      </c>
      <c r="U705" s="11">
        <v>0.10019</v>
      </c>
      <c r="V705" s="11">
        <v>0</v>
      </c>
      <c r="W705" s="11">
        <v>0</v>
      </c>
      <c r="AA705" s="3" t="str">
        <f t="shared" si="5"/>
        <v>___</v>
      </c>
      <c r="AB705" s="3" t="str">
        <f t="shared" si="4"/>
        <v>____</v>
      </c>
    </row>
    <row r="706" spans="1:30" ht="12.5">
      <c r="A706" s="3">
        <v>705</v>
      </c>
      <c r="F706" s="3"/>
      <c r="H706" s="3"/>
      <c r="M706" s="3" t="s">
        <v>39</v>
      </c>
      <c r="N706" s="3">
        <v>111</v>
      </c>
      <c r="O706" s="3">
        <v>3</v>
      </c>
      <c r="P706" s="3">
        <v>12</v>
      </c>
      <c r="R706" s="3">
        <v>0</v>
      </c>
      <c r="S706" s="9">
        <v>0</v>
      </c>
      <c r="T706" s="11">
        <v>5.0799999999999998E-2</v>
      </c>
      <c r="U706" s="11">
        <v>0.20755000000000001</v>
      </c>
      <c r="V706" s="11">
        <v>0</v>
      </c>
      <c r="W706" s="11">
        <v>0</v>
      </c>
      <c r="AA706" s="3" t="str">
        <f t="shared" si="5"/>
        <v>___</v>
      </c>
      <c r="AB706" s="3" t="str">
        <f t="shared" si="4"/>
        <v>____</v>
      </c>
    </row>
    <row r="707" spans="1:30" ht="12.5">
      <c r="A707" s="3">
        <v>706</v>
      </c>
      <c r="C707" s="3" t="s">
        <v>113</v>
      </c>
      <c r="E707" s="3" t="s">
        <v>97</v>
      </c>
      <c r="F707" s="3" t="s">
        <v>42</v>
      </c>
      <c r="H707" s="3" t="s">
        <v>35</v>
      </c>
      <c r="I707" s="3">
        <v>3</v>
      </c>
      <c r="J707" s="4">
        <v>45398</v>
      </c>
      <c r="K707" s="4">
        <v>45315</v>
      </c>
      <c r="L707" s="3">
        <v>4</v>
      </c>
      <c r="M707" s="3" t="s">
        <v>36</v>
      </c>
      <c r="N707" s="3">
        <v>56</v>
      </c>
      <c r="O707" s="3">
        <v>12</v>
      </c>
      <c r="P707" s="3">
        <v>14</v>
      </c>
      <c r="R707" s="3">
        <v>0</v>
      </c>
      <c r="S707" s="9">
        <v>0</v>
      </c>
      <c r="T707" s="11">
        <v>0.20039999999999999</v>
      </c>
      <c r="U707" s="11">
        <v>3.5889999999999998E-2</v>
      </c>
      <c r="V707" s="11">
        <v>0</v>
      </c>
      <c r="W707" s="11">
        <v>0</v>
      </c>
      <c r="AA707" s="3" t="str">
        <f t="shared" si="5"/>
        <v>SO_F___vv</v>
      </c>
      <c r="AB707" s="3" t="str">
        <f t="shared" si="4"/>
        <v>SO_F___vv_3</v>
      </c>
      <c r="AD707" s="3" t="s">
        <v>37</v>
      </c>
    </row>
    <row r="708" spans="1:30" ht="12.5">
      <c r="A708" s="3">
        <v>707</v>
      </c>
      <c r="F708" s="3"/>
      <c r="H708" s="3"/>
      <c r="M708" s="3" t="s">
        <v>38</v>
      </c>
      <c r="N708" s="3">
        <v>70</v>
      </c>
      <c r="O708" s="3">
        <v>10</v>
      </c>
      <c r="P708" s="3">
        <v>16</v>
      </c>
      <c r="R708" s="3">
        <v>0</v>
      </c>
      <c r="S708" s="9">
        <v>0</v>
      </c>
      <c r="T708" s="11">
        <v>0.18160999999999999</v>
      </c>
      <c r="U708" s="11">
        <v>6.7089999999999997E-2</v>
      </c>
      <c r="V708" s="11">
        <v>0</v>
      </c>
      <c r="W708" s="11">
        <v>0</v>
      </c>
      <c r="AA708" s="3" t="str">
        <f t="shared" si="5"/>
        <v>___</v>
      </c>
      <c r="AB708" s="3" t="str">
        <f t="shared" si="4"/>
        <v>____</v>
      </c>
    </row>
    <row r="709" spans="1:30" ht="12.5">
      <c r="A709" s="3">
        <v>708</v>
      </c>
      <c r="F709" s="3"/>
      <c r="H709" s="3"/>
      <c r="M709" s="3" t="s">
        <v>39</v>
      </c>
      <c r="N709" s="3">
        <v>46</v>
      </c>
      <c r="O709" s="3">
        <v>2</v>
      </c>
      <c r="P709" s="3">
        <v>9</v>
      </c>
      <c r="R709" s="3">
        <v>0</v>
      </c>
      <c r="S709" s="9">
        <v>0</v>
      </c>
      <c r="T709" s="11">
        <v>8.9599999999999992E-3</v>
      </c>
      <c r="U709" s="11">
        <v>4.1910000000000003E-2</v>
      </c>
      <c r="V709" s="11">
        <v>0</v>
      </c>
      <c r="W709" s="11">
        <v>0</v>
      </c>
      <c r="AA709" s="3" t="str">
        <f t="shared" si="5"/>
        <v>___</v>
      </c>
      <c r="AB709" s="3" t="str">
        <f t="shared" si="4"/>
        <v>____</v>
      </c>
    </row>
    <row r="710" spans="1:30" ht="12.5">
      <c r="A710" s="3">
        <v>709</v>
      </c>
      <c r="C710" s="3" t="s">
        <v>113</v>
      </c>
      <c r="E710" s="3" t="s">
        <v>97</v>
      </c>
      <c r="F710" s="3" t="s">
        <v>42</v>
      </c>
      <c r="H710" s="3" t="s">
        <v>40</v>
      </c>
      <c r="I710" s="3">
        <v>1</v>
      </c>
      <c r="J710" s="4">
        <v>45346</v>
      </c>
      <c r="K710" s="4">
        <v>45410</v>
      </c>
      <c r="L710" s="3">
        <v>7</v>
      </c>
      <c r="M710" s="3" t="s">
        <v>36</v>
      </c>
      <c r="N710" s="3">
        <v>52</v>
      </c>
      <c r="O710" s="3">
        <v>7</v>
      </c>
      <c r="P710" s="3">
        <v>7</v>
      </c>
      <c r="R710" s="3">
        <v>0</v>
      </c>
      <c r="S710" s="9">
        <v>0</v>
      </c>
      <c r="T710" s="11">
        <v>5.083E-2</v>
      </c>
      <c r="U710" s="11">
        <v>3.6909999999999998E-2</v>
      </c>
      <c r="V710" s="11">
        <v>0</v>
      </c>
      <c r="W710" s="11">
        <v>0</v>
      </c>
      <c r="AA710" s="3" t="str">
        <f t="shared" si="5"/>
        <v>SO_F___vm</v>
      </c>
      <c r="AB710" s="3" t="str">
        <f t="shared" si="4"/>
        <v>SO_F___vm_1</v>
      </c>
      <c r="AD710" s="3" t="s">
        <v>37</v>
      </c>
    </row>
    <row r="711" spans="1:30" ht="12.5">
      <c r="A711" s="3">
        <v>710</v>
      </c>
      <c r="F711" s="3"/>
      <c r="H711" s="3"/>
      <c r="M711" s="3" t="s">
        <v>38</v>
      </c>
      <c r="N711" s="3">
        <v>66</v>
      </c>
      <c r="O711" s="3">
        <v>0</v>
      </c>
      <c r="P711" s="3">
        <v>7</v>
      </c>
      <c r="R711" s="3">
        <v>2</v>
      </c>
      <c r="S711" s="9">
        <v>0</v>
      </c>
      <c r="T711" s="11">
        <v>0</v>
      </c>
      <c r="U711" s="11">
        <v>8.8679999999999995E-2</v>
      </c>
      <c r="V711" s="11">
        <v>0.14548</v>
      </c>
      <c r="W711" s="11">
        <v>0</v>
      </c>
      <c r="AA711" s="3" t="str">
        <f t="shared" si="5"/>
        <v>___</v>
      </c>
      <c r="AB711" s="3" t="str">
        <f t="shared" si="4"/>
        <v>____</v>
      </c>
    </row>
    <row r="712" spans="1:30" ht="12.5">
      <c r="A712" s="3">
        <v>711</v>
      </c>
      <c r="F712" s="3"/>
      <c r="H712" s="3"/>
      <c r="M712" s="3" t="s">
        <v>39</v>
      </c>
      <c r="N712" s="3">
        <v>54</v>
      </c>
      <c r="O712" s="3">
        <v>0</v>
      </c>
      <c r="P712" s="3">
        <v>6</v>
      </c>
      <c r="R712" s="3">
        <v>2</v>
      </c>
      <c r="S712" s="9">
        <v>0</v>
      </c>
      <c r="T712" s="11">
        <v>0</v>
      </c>
      <c r="U712" s="11">
        <v>0.1179</v>
      </c>
      <c r="V712" s="11">
        <v>0.32052999999999998</v>
      </c>
      <c r="W712" s="11">
        <v>0</v>
      </c>
      <c r="AA712" s="3" t="str">
        <f t="shared" si="5"/>
        <v>___</v>
      </c>
      <c r="AB712" s="3" t="str">
        <f t="shared" si="4"/>
        <v>____</v>
      </c>
    </row>
    <row r="713" spans="1:30" ht="12.5">
      <c r="A713" s="3">
        <v>712</v>
      </c>
      <c r="C713" s="3" t="s">
        <v>113</v>
      </c>
      <c r="E713" s="3" t="s">
        <v>97</v>
      </c>
      <c r="F713" s="3" t="s">
        <v>42</v>
      </c>
      <c r="H713" s="3" t="s">
        <v>40</v>
      </c>
      <c r="I713" s="3">
        <v>2</v>
      </c>
      <c r="J713" s="4">
        <v>45407</v>
      </c>
      <c r="K713" s="4">
        <v>45346</v>
      </c>
      <c r="L713" s="3">
        <v>4</v>
      </c>
      <c r="M713" s="3" t="s">
        <v>36</v>
      </c>
      <c r="N713" s="3">
        <v>57</v>
      </c>
      <c r="O713" s="3">
        <v>7</v>
      </c>
      <c r="P713" s="3">
        <v>7</v>
      </c>
      <c r="R713" s="3">
        <v>0</v>
      </c>
      <c r="S713" s="9">
        <v>0</v>
      </c>
      <c r="T713" s="11">
        <v>5.8930000000000003E-2</v>
      </c>
      <c r="U713" s="11">
        <v>3.8530000000000002E-2</v>
      </c>
      <c r="V713" s="11">
        <v>0</v>
      </c>
      <c r="W713" s="11">
        <v>0</v>
      </c>
      <c r="AA713" s="3" t="str">
        <f t="shared" si="5"/>
        <v>SO_F___vm</v>
      </c>
      <c r="AB713" s="3" t="str">
        <f t="shared" si="4"/>
        <v>SO_F___vm_2</v>
      </c>
      <c r="AD713" s="3" t="s">
        <v>37</v>
      </c>
    </row>
    <row r="714" spans="1:30" ht="12.5">
      <c r="A714" s="3">
        <v>713</v>
      </c>
      <c r="F714" s="3"/>
      <c r="H714" s="3"/>
      <c r="M714" s="3" t="s">
        <v>38</v>
      </c>
      <c r="N714" s="3">
        <v>81</v>
      </c>
      <c r="O714" s="3">
        <v>0</v>
      </c>
      <c r="P714" s="3">
        <v>7</v>
      </c>
      <c r="R714" s="3">
        <v>2</v>
      </c>
      <c r="S714" s="9">
        <v>0</v>
      </c>
      <c r="T714" s="11">
        <v>0</v>
      </c>
      <c r="U714" s="11">
        <v>0.11514000000000001</v>
      </c>
      <c r="V714" s="11">
        <v>0.15311</v>
      </c>
      <c r="W714" s="11">
        <v>0</v>
      </c>
      <c r="AA714" s="3" t="str">
        <f t="shared" si="5"/>
        <v>___</v>
      </c>
      <c r="AB714" s="3" t="str">
        <f t="shared" si="4"/>
        <v>____</v>
      </c>
    </row>
    <row r="715" spans="1:30" ht="12.5">
      <c r="A715" s="3">
        <v>714</v>
      </c>
      <c r="F715" s="3"/>
      <c r="H715" s="3"/>
      <c r="M715" s="3" t="s">
        <v>39</v>
      </c>
      <c r="N715" s="3">
        <v>67</v>
      </c>
      <c r="O715" s="3">
        <v>0</v>
      </c>
      <c r="P715" s="3">
        <v>7</v>
      </c>
      <c r="R715" s="3">
        <v>2</v>
      </c>
      <c r="S715" s="9">
        <v>0</v>
      </c>
      <c r="T715" s="11">
        <v>0</v>
      </c>
      <c r="U715" s="11">
        <v>0.11584</v>
      </c>
      <c r="V715" s="11">
        <v>0.10695</v>
      </c>
      <c r="W715" s="11">
        <v>0</v>
      </c>
      <c r="AA715" s="3" t="str">
        <f t="shared" si="5"/>
        <v>___</v>
      </c>
      <c r="AB715" s="3" t="str">
        <f t="shared" si="4"/>
        <v>____</v>
      </c>
    </row>
    <row r="716" spans="1:30" ht="12.5">
      <c r="A716" s="3">
        <v>715</v>
      </c>
      <c r="C716" s="3" t="s">
        <v>113</v>
      </c>
      <c r="E716" s="3" t="s">
        <v>97</v>
      </c>
      <c r="F716" s="3" t="s">
        <v>42</v>
      </c>
      <c r="H716" s="3" t="s">
        <v>40</v>
      </c>
      <c r="I716" s="3">
        <v>3</v>
      </c>
      <c r="J716" s="4">
        <v>45373</v>
      </c>
      <c r="K716" s="4">
        <v>45463</v>
      </c>
      <c r="L716" s="3">
        <v>5</v>
      </c>
      <c r="M716" s="3" t="s">
        <v>36</v>
      </c>
      <c r="N716" s="3">
        <v>22</v>
      </c>
      <c r="O716" s="3">
        <v>4</v>
      </c>
      <c r="P716" s="3">
        <v>5</v>
      </c>
      <c r="R716" s="3">
        <v>0</v>
      </c>
      <c r="S716" s="9">
        <v>0</v>
      </c>
      <c r="T716" s="11">
        <v>2.1190000000000001E-2</v>
      </c>
      <c r="U716" s="11">
        <v>7.3299999999999997E-3</v>
      </c>
      <c r="V716" s="11">
        <v>0</v>
      </c>
      <c r="W716" s="11">
        <v>0</v>
      </c>
      <c r="AA716" s="3" t="str">
        <f t="shared" si="5"/>
        <v>SO_F___vm</v>
      </c>
      <c r="AB716" s="3" t="str">
        <f t="shared" si="4"/>
        <v>SO_F___vm_3</v>
      </c>
      <c r="AD716" s="3" t="s">
        <v>37</v>
      </c>
    </row>
    <row r="717" spans="1:30" ht="12.5">
      <c r="A717" s="3">
        <v>716</v>
      </c>
      <c r="F717" s="3"/>
      <c r="H717" s="3"/>
      <c r="M717" s="3" t="s">
        <v>38</v>
      </c>
      <c r="N717" s="3">
        <v>30</v>
      </c>
      <c r="O717" s="3">
        <v>0</v>
      </c>
      <c r="P717" s="3">
        <v>5</v>
      </c>
      <c r="R717" s="3">
        <v>1</v>
      </c>
      <c r="S717" s="9">
        <v>0</v>
      </c>
      <c r="T717" s="11">
        <v>0</v>
      </c>
      <c r="U717" s="11">
        <v>1.4630000000000001E-2</v>
      </c>
      <c r="V717" s="11">
        <v>1.6400000000000001E-2</v>
      </c>
      <c r="W717" s="11">
        <v>0</v>
      </c>
      <c r="AA717" s="3" t="str">
        <f t="shared" si="5"/>
        <v>___</v>
      </c>
      <c r="AB717" s="3" t="str">
        <f t="shared" si="4"/>
        <v>____</v>
      </c>
    </row>
    <row r="718" spans="1:30" ht="12.5">
      <c r="A718" s="3">
        <v>717</v>
      </c>
      <c r="F718" s="3"/>
      <c r="H718" s="3"/>
      <c r="M718" s="3" t="s">
        <v>39</v>
      </c>
      <c r="N718" s="3">
        <v>42</v>
      </c>
      <c r="O718" s="3">
        <v>0</v>
      </c>
      <c r="P718" s="3">
        <v>5</v>
      </c>
      <c r="R718" s="3">
        <v>2</v>
      </c>
      <c r="S718" s="9">
        <v>0</v>
      </c>
      <c r="T718" s="11">
        <v>0</v>
      </c>
      <c r="U718" s="11">
        <v>2.9579999999999999E-2</v>
      </c>
      <c r="V718" s="11">
        <v>6.6470000000000001E-2</v>
      </c>
      <c r="W718" s="11">
        <v>0</v>
      </c>
      <c r="AA718" s="3" t="str">
        <f t="shared" si="5"/>
        <v>___</v>
      </c>
      <c r="AB718" s="3" t="str">
        <f t="shared" si="4"/>
        <v>____</v>
      </c>
    </row>
    <row r="719" spans="1:30" ht="12.5">
      <c r="A719" s="3">
        <v>718</v>
      </c>
      <c r="C719" s="3" t="s">
        <v>115</v>
      </c>
      <c r="E719" s="3" t="s">
        <v>97</v>
      </c>
      <c r="F719" s="3" t="s">
        <v>42</v>
      </c>
      <c r="H719" s="3" t="s">
        <v>40</v>
      </c>
      <c r="I719" s="3">
        <v>1</v>
      </c>
      <c r="J719" s="4">
        <v>45433</v>
      </c>
      <c r="K719" s="4">
        <v>45405</v>
      </c>
      <c r="L719" s="3">
        <v>6</v>
      </c>
      <c r="M719" s="3" t="s">
        <v>36</v>
      </c>
      <c r="N719" s="3">
        <v>28</v>
      </c>
      <c r="O719" s="3">
        <v>6</v>
      </c>
      <c r="P719" s="3">
        <v>6</v>
      </c>
      <c r="R719" s="3">
        <v>0</v>
      </c>
      <c r="S719" s="9">
        <v>0</v>
      </c>
      <c r="T719" s="11">
        <v>2.521E-2</v>
      </c>
      <c r="U719" s="11">
        <v>1.0189999999999999E-2</v>
      </c>
      <c r="V719" s="11">
        <v>0</v>
      </c>
      <c r="W719" s="11">
        <v>0</v>
      </c>
      <c r="AA719" s="3" t="str">
        <f t="shared" si="5"/>
        <v>KK_F___vm</v>
      </c>
      <c r="AB719" s="3" t="str">
        <f t="shared" si="4"/>
        <v>KK_F___vm_1</v>
      </c>
      <c r="AD719" s="3" t="s">
        <v>37</v>
      </c>
    </row>
    <row r="720" spans="1:30" ht="12.5">
      <c r="A720" s="3">
        <v>719</v>
      </c>
      <c r="F720" s="3"/>
      <c r="H720" s="3"/>
      <c r="M720" s="3" t="s">
        <v>38</v>
      </c>
      <c r="N720" s="3">
        <v>14</v>
      </c>
      <c r="O720" s="3">
        <v>0</v>
      </c>
      <c r="P720" s="3">
        <v>1</v>
      </c>
      <c r="R720" s="3">
        <v>1</v>
      </c>
      <c r="S720" s="9">
        <v>0</v>
      </c>
      <c r="T720" s="11">
        <v>0</v>
      </c>
      <c r="U720" s="11">
        <v>8.1799999999999998E-3</v>
      </c>
      <c r="V720" s="11">
        <v>0</v>
      </c>
      <c r="W720" s="11">
        <v>0</v>
      </c>
      <c r="AA720" s="3" t="str">
        <f t="shared" si="5"/>
        <v>___</v>
      </c>
      <c r="AB720" s="3" t="str">
        <f t="shared" si="4"/>
        <v>____</v>
      </c>
    </row>
    <row r="721" spans="1:30" ht="12.5">
      <c r="A721" s="3">
        <v>720</v>
      </c>
      <c r="F721" s="3"/>
      <c r="H721" s="3"/>
      <c r="M721" s="3" t="s">
        <v>39</v>
      </c>
      <c r="N721" s="3">
        <v>32</v>
      </c>
      <c r="O721" s="3">
        <v>0</v>
      </c>
      <c r="P721" s="3">
        <v>6</v>
      </c>
      <c r="R721" s="3">
        <v>1</v>
      </c>
      <c r="S721" s="9">
        <v>0</v>
      </c>
      <c r="T721" s="11">
        <v>0</v>
      </c>
      <c r="U721" s="11">
        <v>2.325E-2</v>
      </c>
      <c r="V721" s="11">
        <v>2.8670000000000001E-2</v>
      </c>
      <c r="W721" s="11">
        <v>0</v>
      </c>
      <c r="AA721" s="3" t="str">
        <f t="shared" si="5"/>
        <v>___</v>
      </c>
      <c r="AB721" s="3" t="str">
        <f t="shared" si="4"/>
        <v>____</v>
      </c>
    </row>
    <row r="722" spans="1:30" ht="12.5">
      <c r="A722" s="3">
        <v>721</v>
      </c>
      <c r="C722" s="3" t="s">
        <v>115</v>
      </c>
      <c r="E722" s="3" t="s">
        <v>97</v>
      </c>
      <c r="F722" s="3" t="s">
        <v>42</v>
      </c>
      <c r="H722" s="3" t="s">
        <v>40</v>
      </c>
      <c r="I722" s="3">
        <v>2</v>
      </c>
      <c r="J722" s="4">
        <v>45343</v>
      </c>
      <c r="K722" s="4">
        <v>45463</v>
      </c>
      <c r="L722" s="3">
        <v>6</v>
      </c>
      <c r="M722" s="3" t="s">
        <v>36</v>
      </c>
      <c r="N722" s="3">
        <v>55</v>
      </c>
      <c r="O722" s="3">
        <v>7</v>
      </c>
      <c r="P722" s="3">
        <v>7</v>
      </c>
      <c r="R722" s="3">
        <v>0</v>
      </c>
      <c r="S722" s="9">
        <v>0</v>
      </c>
      <c r="T722" s="11">
        <v>4.4110000000000003E-2</v>
      </c>
      <c r="U722" s="11">
        <v>3.1629999999999998E-2</v>
      </c>
      <c r="V722" s="11">
        <v>0</v>
      </c>
      <c r="W722" s="11">
        <v>0</v>
      </c>
      <c r="AA722" s="3" t="str">
        <f t="shared" si="5"/>
        <v>KK_F___vm</v>
      </c>
      <c r="AB722" s="3" t="str">
        <f t="shared" si="4"/>
        <v>KK_F___vm_2</v>
      </c>
      <c r="AD722" s="3" t="s">
        <v>37</v>
      </c>
    </row>
    <row r="723" spans="1:30" ht="12.5">
      <c r="A723" s="3">
        <v>722</v>
      </c>
      <c r="F723" s="3"/>
      <c r="H723" s="3"/>
      <c r="M723" s="3" t="s">
        <v>38</v>
      </c>
      <c r="N723" s="3">
        <v>51</v>
      </c>
      <c r="O723" s="3">
        <v>0</v>
      </c>
      <c r="P723" s="3">
        <v>4</v>
      </c>
      <c r="R723" s="3">
        <v>2</v>
      </c>
      <c r="S723" s="9">
        <v>0</v>
      </c>
      <c r="T723" s="11">
        <v>0</v>
      </c>
      <c r="U723" s="11">
        <v>6.9919999999999996E-2</v>
      </c>
      <c r="V723" s="11">
        <v>0.14846000000000001</v>
      </c>
      <c r="W723" s="11">
        <v>0</v>
      </c>
      <c r="AA723" s="3" t="str">
        <f t="shared" si="5"/>
        <v>___</v>
      </c>
      <c r="AB723" s="3" t="str">
        <f t="shared" si="4"/>
        <v>____</v>
      </c>
    </row>
    <row r="724" spans="1:30" ht="12.5">
      <c r="A724" s="3">
        <v>723</v>
      </c>
      <c r="F724" s="3"/>
      <c r="H724" s="3"/>
      <c r="M724" s="3" t="s">
        <v>39</v>
      </c>
      <c r="N724" s="3">
        <v>11</v>
      </c>
      <c r="O724" s="3">
        <v>0</v>
      </c>
      <c r="P724" s="3">
        <v>3</v>
      </c>
      <c r="R724" s="3">
        <v>0</v>
      </c>
      <c r="S724" s="9">
        <v>0</v>
      </c>
      <c r="T724" s="11">
        <v>0</v>
      </c>
      <c r="U724" s="11">
        <v>1.9140000000000001E-2</v>
      </c>
      <c r="V724" s="11">
        <v>0</v>
      </c>
      <c r="W724" s="11">
        <v>0</v>
      </c>
      <c r="AA724" s="3" t="str">
        <f t="shared" si="5"/>
        <v>___</v>
      </c>
      <c r="AB724" s="3" t="str">
        <f t="shared" si="4"/>
        <v>____</v>
      </c>
    </row>
    <row r="725" spans="1:30" ht="12.5">
      <c r="A725" s="3">
        <v>724</v>
      </c>
      <c r="C725" s="3" t="s">
        <v>115</v>
      </c>
      <c r="E725" s="3" t="s">
        <v>97</v>
      </c>
      <c r="F725" s="3" t="s">
        <v>42</v>
      </c>
      <c r="H725" s="3" t="s">
        <v>40</v>
      </c>
      <c r="I725" s="3">
        <v>3</v>
      </c>
      <c r="J725" s="4">
        <v>45310</v>
      </c>
      <c r="K725" s="4">
        <v>45436</v>
      </c>
      <c r="L725" s="3">
        <v>9</v>
      </c>
      <c r="M725" s="3" t="s">
        <v>36</v>
      </c>
      <c r="N725" s="3">
        <v>11</v>
      </c>
      <c r="O725" s="3">
        <v>3</v>
      </c>
      <c r="P725" s="3">
        <v>3</v>
      </c>
      <c r="R725" s="3">
        <v>0</v>
      </c>
      <c r="S725" s="9">
        <v>0</v>
      </c>
      <c r="T725" s="11">
        <v>1.91E-3</v>
      </c>
      <c r="U725" s="11">
        <v>2.48E-3</v>
      </c>
      <c r="V725" s="11">
        <v>0</v>
      </c>
      <c r="W725" s="11">
        <v>0</v>
      </c>
      <c r="AA725" s="3" t="str">
        <f t="shared" si="5"/>
        <v>KK_F___vm</v>
      </c>
      <c r="AB725" s="3" t="str">
        <f t="shared" si="4"/>
        <v>KK_F___vm_3</v>
      </c>
      <c r="AD725" s="3" t="s">
        <v>37</v>
      </c>
    </row>
    <row r="726" spans="1:30" ht="12.5">
      <c r="A726" s="3">
        <v>725</v>
      </c>
      <c r="F726" s="3"/>
      <c r="H726" s="3"/>
      <c r="M726" s="3" t="s">
        <v>38</v>
      </c>
      <c r="N726" s="3">
        <v>5</v>
      </c>
      <c r="O726" s="3">
        <v>0</v>
      </c>
      <c r="P726" s="3">
        <v>3</v>
      </c>
      <c r="R726" s="3">
        <v>1</v>
      </c>
      <c r="S726" s="9">
        <v>0</v>
      </c>
      <c r="T726" s="11">
        <v>0</v>
      </c>
      <c r="U726" s="11">
        <v>1.8500000000000001E-3</v>
      </c>
      <c r="V726" s="11">
        <v>0</v>
      </c>
      <c r="W726" s="11">
        <v>0</v>
      </c>
      <c r="AA726" s="3" t="str">
        <f t="shared" si="5"/>
        <v>___</v>
      </c>
      <c r="AB726" s="3" t="str">
        <f t="shared" si="4"/>
        <v>____</v>
      </c>
    </row>
    <row r="727" spans="1:30" ht="12.5">
      <c r="A727" s="3">
        <v>726</v>
      </c>
      <c r="F727" s="3"/>
      <c r="H727" s="3"/>
      <c r="M727" s="3" t="s">
        <v>39</v>
      </c>
      <c r="N727" s="3">
        <v>24</v>
      </c>
      <c r="O727" s="3">
        <v>0</v>
      </c>
      <c r="P727" s="3">
        <v>4</v>
      </c>
      <c r="R727" s="3">
        <v>1</v>
      </c>
      <c r="S727" s="9">
        <v>0</v>
      </c>
      <c r="T727" s="11">
        <v>0</v>
      </c>
      <c r="U727" s="11">
        <v>1.1809999999999999E-2</v>
      </c>
      <c r="V727" s="11">
        <v>8.2000000000000007E-3</v>
      </c>
      <c r="W727" s="11">
        <v>0</v>
      </c>
      <c r="AA727" s="3" t="str">
        <f t="shared" si="5"/>
        <v>___</v>
      </c>
      <c r="AB727" s="3" t="str">
        <f t="shared" si="4"/>
        <v>____</v>
      </c>
    </row>
    <row r="728" spans="1:30" ht="12.5">
      <c r="A728" s="3">
        <v>727</v>
      </c>
      <c r="C728" s="3" t="s">
        <v>115</v>
      </c>
      <c r="E728" s="3" t="s">
        <v>97</v>
      </c>
      <c r="F728" s="3" t="s">
        <v>42</v>
      </c>
      <c r="H728" s="3" t="s">
        <v>35</v>
      </c>
      <c r="I728" s="3">
        <v>1</v>
      </c>
      <c r="J728" s="4">
        <v>45345</v>
      </c>
      <c r="K728" s="4">
        <v>45492</v>
      </c>
      <c r="L728" s="3">
        <v>6</v>
      </c>
      <c r="M728" s="3" t="s">
        <v>36</v>
      </c>
      <c r="N728" s="3">
        <v>32</v>
      </c>
      <c r="O728" s="3">
        <v>11</v>
      </c>
      <c r="P728" s="3">
        <v>11</v>
      </c>
      <c r="R728" s="3">
        <v>0</v>
      </c>
      <c r="S728" s="9">
        <v>0</v>
      </c>
      <c r="T728" s="11">
        <v>9.2039999999999997E-2</v>
      </c>
      <c r="U728" s="11">
        <v>6.6499999999999997E-3</v>
      </c>
      <c r="V728" s="11">
        <v>0</v>
      </c>
      <c r="W728" s="11">
        <v>0</v>
      </c>
      <c r="X728" s="3"/>
      <c r="Y728" s="3" t="s">
        <v>116</v>
      </c>
      <c r="AA728" s="3" t="str">
        <f t="shared" si="5"/>
        <v>KK_F___vv</v>
      </c>
      <c r="AB728" s="3" t="str">
        <f t="shared" si="4"/>
        <v>KK_F___vv_1</v>
      </c>
      <c r="AD728" s="3" t="s">
        <v>37</v>
      </c>
    </row>
    <row r="729" spans="1:30" ht="12.5">
      <c r="A729" s="3">
        <v>728</v>
      </c>
      <c r="F729" s="3"/>
      <c r="H729" s="3"/>
      <c r="M729" s="3" t="s">
        <v>38</v>
      </c>
      <c r="N729" s="3">
        <v>28</v>
      </c>
      <c r="O729" s="3">
        <v>0</v>
      </c>
      <c r="P729" s="3">
        <v>10</v>
      </c>
      <c r="R729" s="3">
        <v>0</v>
      </c>
      <c r="S729" s="9">
        <v>0</v>
      </c>
      <c r="T729" s="11">
        <v>0</v>
      </c>
      <c r="U729" s="11">
        <v>1.223E-2</v>
      </c>
      <c r="V729" s="11">
        <v>0</v>
      </c>
      <c r="W729" s="11">
        <v>0</v>
      </c>
      <c r="AA729" s="3" t="str">
        <f t="shared" si="5"/>
        <v>___</v>
      </c>
      <c r="AB729" s="3" t="str">
        <f t="shared" si="4"/>
        <v>____</v>
      </c>
    </row>
    <row r="730" spans="1:30" ht="12.5">
      <c r="A730" s="3">
        <v>729</v>
      </c>
      <c r="F730" s="3"/>
      <c r="H730" s="3"/>
      <c r="M730" s="3" t="s">
        <v>39</v>
      </c>
      <c r="N730" s="3">
        <v>35</v>
      </c>
      <c r="O730" s="3">
        <v>0</v>
      </c>
      <c r="P730" s="3">
        <v>10</v>
      </c>
      <c r="R730" s="3">
        <v>0</v>
      </c>
      <c r="S730" s="9">
        <v>0</v>
      </c>
      <c r="T730" s="11">
        <v>0</v>
      </c>
      <c r="U730" s="11">
        <v>2.1219999999999999E-2</v>
      </c>
      <c r="V730" s="11">
        <v>0</v>
      </c>
      <c r="W730" s="11">
        <v>0</v>
      </c>
      <c r="AA730" s="3" t="str">
        <f t="shared" si="5"/>
        <v>___</v>
      </c>
      <c r="AB730" s="3" t="str">
        <f t="shared" si="4"/>
        <v>____</v>
      </c>
    </row>
    <row r="731" spans="1:30" ht="12.5">
      <c r="A731" s="3">
        <v>730</v>
      </c>
      <c r="C731" s="3" t="s">
        <v>115</v>
      </c>
      <c r="E731" s="3" t="s">
        <v>97</v>
      </c>
      <c r="F731" s="3" t="s">
        <v>42</v>
      </c>
      <c r="H731" s="3" t="s">
        <v>35</v>
      </c>
      <c r="I731" s="3">
        <v>2</v>
      </c>
      <c r="J731" s="4">
        <v>45464</v>
      </c>
      <c r="K731" s="4">
        <v>45367</v>
      </c>
      <c r="L731" s="3">
        <v>3</v>
      </c>
      <c r="M731" s="3" t="s">
        <v>36</v>
      </c>
      <c r="N731" s="3">
        <v>63</v>
      </c>
      <c r="O731" s="3">
        <v>14</v>
      </c>
      <c r="P731" s="3">
        <v>15</v>
      </c>
      <c r="R731" s="3">
        <v>0</v>
      </c>
      <c r="S731" s="9">
        <v>0</v>
      </c>
      <c r="T731" s="11">
        <v>0.15992999999999999</v>
      </c>
      <c r="U731" s="11">
        <v>2.6579999999999999E-2</v>
      </c>
      <c r="V731" s="11">
        <v>0</v>
      </c>
      <c r="W731" s="11">
        <v>0</v>
      </c>
      <c r="X731" s="19"/>
      <c r="Y731" s="19" t="s">
        <v>116</v>
      </c>
      <c r="AA731" s="3" t="str">
        <f t="shared" si="5"/>
        <v>KK_F___vv</v>
      </c>
      <c r="AB731" s="3" t="str">
        <f t="shared" si="4"/>
        <v>KK_F___vv_2</v>
      </c>
      <c r="AD731" s="3" t="s">
        <v>37</v>
      </c>
    </row>
    <row r="732" spans="1:30" ht="12.5">
      <c r="A732" s="3">
        <v>731</v>
      </c>
      <c r="F732" s="3"/>
      <c r="H732" s="3"/>
      <c r="M732" s="3" t="s">
        <v>38</v>
      </c>
      <c r="N732" s="3">
        <v>45</v>
      </c>
      <c r="O732" s="3">
        <v>6</v>
      </c>
      <c r="P732" s="3">
        <v>16</v>
      </c>
      <c r="R732" s="3">
        <v>0</v>
      </c>
      <c r="S732" s="9">
        <v>0</v>
      </c>
      <c r="T732" s="11">
        <v>8.5099999999999995E-2</v>
      </c>
      <c r="U732" s="11">
        <v>3.2480000000000002E-2</v>
      </c>
      <c r="V732" s="11">
        <v>0</v>
      </c>
      <c r="W732" s="11">
        <v>0</v>
      </c>
      <c r="AA732" s="3" t="str">
        <f t="shared" si="5"/>
        <v>___</v>
      </c>
      <c r="AB732" s="3" t="str">
        <f t="shared" si="4"/>
        <v>____</v>
      </c>
    </row>
    <row r="733" spans="1:30" ht="12.5">
      <c r="A733" s="3">
        <v>732</v>
      </c>
      <c r="F733" s="3"/>
      <c r="H733" s="3"/>
      <c r="M733" s="3" t="s">
        <v>39</v>
      </c>
      <c r="N733" s="3">
        <v>57</v>
      </c>
      <c r="O733" s="3">
        <v>0</v>
      </c>
      <c r="P733" s="3">
        <v>8</v>
      </c>
      <c r="R733" s="3">
        <v>0</v>
      </c>
      <c r="S733" s="9">
        <v>0</v>
      </c>
      <c r="T733" s="11">
        <v>7.6020000000000004E-2</v>
      </c>
      <c r="U733" s="11">
        <v>1.302E-2</v>
      </c>
      <c r="V733" s="11">
        <v>0</v>
      </c>
      <c r="W733" s="11">
        <v>0</v>
      </c>
      <c r="AA733" s="3" t="str">
        <f t="shared" si="5"/>
        <v>___</v>
      </c>
      <c r="AB733" s="3" t="str">
        <f t="shared" si="4"/>
        <v>____</v>
      </c>
    </row>
    <row r="734" spans="1:30" ht="12.5">
      <c r="A734" s="3">
        <v>733</v>
      </c>
      <c r="C734" s="3" t="s">
        <v>115</v>
      </c>
      <c r="E734" s="3" t="s">
        <v>97</v>
      </c>
      <c r="F734" s="3" t="s">
        <v>42</v>
      </c>
      <c r="H734" s="3" t="s">
        <v>35</v>
      </c>
      <c r="I734" s="3">
        <v>3</v>
      </c>
      <c r="J734" s="4">
        <v>45461</v>
      </c>
      <c r="K734" s="4">
        <v>45460</v>
      </c>
      <c r="L734" s="3">
        <v>4</v>
      </c>
      <c r="M734" s="3" t="s">
        <v>36</v>
      </c>
      <c r="N734" s="3">
        <v>60</v>
      </c>
      <c r="O734" s="3">
        <v>12</v>
      </c>
      <c r="P734" s="3">
        <v>15</v>
      </c>
      <c r="R734" s="3">
        <v>0</v>
      </c>
      <c r="S734" s="9">
        <v>0</v>
      </c>
      <c r="T734" s="11">
        <v>0.11232</v>
      </c>
      <c r="U734" s="11">
        <v>2.4150000000000001E-2</v>
      </c>
      <c r="V734" s="11">
        <v>0</v>
      </c>
      <c r="W734" s="11">
        <v>0</v>
      </c>
      <c r="AA734" s="3" t="str">
        <f t="shared" si="5"/>
        <v>KK_F___vv</v>
      </c>
      <c r="AB734" s="3" t="str">
        <f t="shared" si="4"/>
        <v>KK_F___vv_3</v>
      </c>
      <c r="AD734" s="3" t="s">
        <v>37</v>
      </c>
    </row>
    <row r="735" spans="1:30" ht="12.5">
      <c r="A735" s="3">
        <v>734</v>
      </c>
      <c r="F735" s="3"/>
      <c r="H735" s="3"/>
      <c r="M735" s="3" t="s">
        <v>38</v>
      </c>
      <c r="N735" s="3">
        <v>43</v>
      </c>
      <c r="O735" s="3">
        <v>7</v>
      </c>
      <c r="P735" s="3">
        <v>12</v>
      </c>
      <c r="R735" s="3">
        <v>0</v>
      </c>
      <c r="S735" s="9">
        <v>0</v>
      </c>
      <c r="T735" s="11">
        <v>4.9419999999999999E-2</v>
      </c>
      <c r="U735" s="11">
        <v>2.7220000000000001E-2</v>
      </c>
      <c r="V735" s="11">
        <v>0</v>
      </c>
      <c r="W735" s="11">
        <v>0</v>
      </c>
      <c r="AA735" s="3" t="str">
        <f t="shared" si="5"/>
        <v>___</v>
      </c>
      <c r="AB735" s="3" t="str">
        <f t="shared" si="4"/>
        <v>____</v>
      </c>
    </row>
    <row r="736" spans="1:30" ht="12.5">
      <c r="A736" s="3">
        <v>735</v>
      </c>
      <c r="F736" s="3"/>
      <c r="H736" s="3"/>
      <c r="M736" s="3" t="s">
        <v>39</v>
      </c>
      <c r="N736" s="3">
        <v>19</v>
      </c>
      <c r="O736" s="3">
        <v>0</v>
      </c>
      <c r="P736" s="3">
        <v>4</v>
      </c>
      <c r="R736" s="3">
        <v>0</v>
      </c>
      <c r="S736" s="9">
        <v>0</v>
      </c>
      <c r="T736" s="11">
        <v>0</v>
      </c>
      <c r="U736" s="11">
        <v>1.34E-2</v>
      </c>
      <c r="V736" s="11">
        <v>0</v>
      </c>
      <c r="W736" s="11">
        <v>0</v>
      </c>
      <c r="AA736" s="3" t="str">
        <f t="shared" si="5"/>
        <v>___</v>
      </c>
      <c r="AB736" s="3" t="str">
        <f t="shared" si="4"/>
        <v>____</v>
      </c>
    </row>
    <row r="737" spans="1:30" ht="12.5">
      <c r="A737" s="3">
        <v>736</v>
      </c>
      <c r="C737" s="3" t="s">
        <v>117</v>
      </c>
      <c r="E737" s="3" t="s">
        <v>97</v>
      </c>
      <c r="F737" s="3" t="s">
        <v>34</v>
      </c>
      <c r="H737" s="3" t="s">
        <v>40</v>
      </c>
      <c r="I737" s="3">
        <v>1</v>
      </c>
      <c r="J737" s="4">
        <v>45426</v>
      </c>
      <c r="K737" s="4">
        <v>45401</v>
      </c>
      <c r="L737" s="3">
        <v>8</v>
      </c>
      <c r="M737" s="3" t="s">
        <v>36</v>
      </c>
      <c r="N737" s="3">
        <v>25</v>
      </c>
      <c r="O737" s="3">
        <v>6</v>
      </c>
      <c r="P737" s="3">
        <v>6</v>
      </c>
      <c r="R737" s="3">
        <v>0</v>
      </c>
      <c r="S737" s="9">
        <v>0</v>
      </c>
      <c r="T737" s="11">
        <v>2.5850000000000001E-2</v>
      </c>
      <c r="U737" s="11">
        <v>8.9899999999999997E-3</v>
      </c>
      <c r="V737" s="11">
        <v>0</v>
      </c>
      <c r="W737" s="11">
        <v>0</v>
      </c>
      <c r="AA737" s="3" t="str">
        <f t="shared" si="5"/>
        <v>KK_O___vm</v>
      </c>
      <c r="AB737" s="3" t="str">
        <f t="shared" si="4"/>
        <v>KK_O___vm_1</v>
      </c>
      <c r="AD737" s="3" t="s">
        <v>37</v>
      </c>
    </row>
    <row r="738" spans="1:30" ht="12.5">
      <c r="A738" s="3">
        <v>737</v>
      </c>
      <c r="F738" s="3"/>
      <c r="H738" s="3"/>
      <c r="M738" s="3" t="s">
        <v>38</v>
      </c>
      <c r="N738" s="3">
        <v>13</v>
      </c>
      <c r="O738" s="3">
        <v>0</v>
      </c>
      <c r="P738" s="3">
        <v>2</v>
      </c>
      <c r="R738" s="3">
        <v>0</v>
      </c>
      <c r="S738" s="9">
        <v>0</v>
      </c>
      <c r="T738" s="11">
        <v>0</v>
      </c>
      <c r="U738" s="11">
        <v>5.1399999999999996E-3</v>
      </c>
      <c r="V738" s="11">
        <v>0</v>
      </c>
      <c r="W738" s="11">
        <v>0</v>
      </c>
      <c r="AA738" s="3" t="str">
        <f t="shared" si="5"/>
        <v>___</v>
      </c>
      <c r="AB738" s="3" t="str">
        <f t="shared" si="4"/>
        <v>____</v>
      </c>
    </row>
    <row r="739" spans="1:30" ht="12.5">
      <c r="A739" s="3">
        <v>738</v>
      </c>
      <c r="F739" s="3"/>
      <c r="H739" s="3"/>
      <c r="M739" s="3" t="s">
        <v>39</v>
      </c>
      <c r="N739" s="3">
        <v>27</v>
      </c>
      <c r="O739" s="3">
        <v>0</v>
      </c>
      <c r="P739" s="3">
        <v>2</v>
      </c>
      <c r="R739" s="3">
        <v>1</v>
      </c>
      <c r="S739" s="9">
        <v>0</v>
      </c>
      <c r="T739" s="11">
        <v>0</v>
      </c>
      <c r="U739" s="11">
        <v>2.418E-2</v>
      </c>
      <c r="V739" s="11">
        <v>2.7490000000000001E-2</v>
      </c>
      <c r="W739" s="11">
        <v>0</v>
      </c>
      <c r="AA739" s="3" t="str">
        <f t="shared" si="5"/>
        <v>___</v>
      </c>
      <c r="AB739" s="3" t="str">
        <f t="shared" si="4"/>
        <v>____</v>
      </c>
    </row>
    <row r="740" spans="1:30" ht="12.5">
      <c r="A740" s="3">
        <v>739</v>
      </c>
      <c r="C740" s="3" t="s">
        <v>117</v>
      </c>
      <c r="E740" s="3" t="s">
        <v>97</v>
      </c>
      <c r="F740" s="3" t="s">
        <v>34</v>
      </c>
      <c r="H740" s="3" t="s">
        <v>40</v>
      </c>
      <c r="I740" s="3">
        <v>2</v>
      </c>
      <c r="J740" s="4">
        <v>45548</v>
      </c>
      <c r="K740" s="4">
        <v>45548</v>
      </c>
      <c r="L740" s="3">
        <v>5</v>
      </c>
      <c r="M740" s="3" t="s">
        <v>36</v>
      </c>
      <c r="N740" s="3">
        <v>36</v>
      </c>
      <c r="O740" s="3">
        <v>8</v>
      </c>
      <c r="P740" s="3">
        <v>8</v>
      </c>
      <c r="R740" s="3">
        <v>0</v>
      </c>
      <c r="S740" s="9">
        <v>0</v>
      </c>
      <c r="T740" s="11">
        <v>3.5450000000000002E-2</v>
      </c>
      <c r="U740" s="11">
        <v>1.804E-2</v>
      </c>
      <c r="V740" s="11">
        <v>0</v>
      </c>
      <c r="W740" s="11">
        <v>0</v>
      </c>
      <c r="AA740" s="3" t="str">
        <f t="shared" si="5"/>
        <v>KK_O___vm</v>
      </c>
      <c r="AB740" s="3" t="str">
        <f t="shared" si="4"/>
        <v>KK_O___vm_2</v>
      </c>
      <c r="AD740" s="3" t="s">
        <v>37</v>
      </c>
    </row>
    <row r="741" spans="1:30" ht="12.5">
      <c r="A741" s="3">
        <v>740</v>
      </c>
      <c r="F741" s="3"/>
      <c r="H741" s="3"/>
      <c r="M741" s="3" t="s">
        <v>38</v>
      </c>
      <c r="N741" s="3">
        <v>37</v>
      </c>
      <c r="O741" s="3">
        <v>1</v>
      </c>
      <c r="P741" s="3">
        <v>2</v>
      </c>
      <c r="R741" s="3">
        <v>2</v>
      </c>
      <c r="S741" s="9">
        <v>0</v>
      </c>
      <c r="T741" s="11">
        <v>0</v>
      </c>
      <c r="U741" s="11">
        <v>3.5150000000000001E-2</v>
      </c>
      <c r="V741" s="11">
        <v>7.1760000000000004E-2</v>
      </c>
      <c r="W741" s="11">
        <v>0</v>
      </c>
      <c r="X741" s="3"/>
      <c r="Y741" s="3"/>
      <c r="AA741" s="3" t="str">
        <f t="shared" si="5"/>
        <v>___</v>
      </c>
      <c r="AB741" s="3" t="str">
        <f t="shared" si="4"/>
        <v>____</v>
      </c>
    </row>
    <row r="742" spans="1:30" ht="12.5">
      <c r="A742" s="3">
        <v>741</v>
      </c>
      <c r="F742" s="3"/>
      <c r="H742" s="3"/>
      <c r="M742" s="3" t="s">
        <v>39</v>
      </c>
      <c r="N742" s="3">
        <v>38</v>
      </c>
      <c r="O742" s="3">
        <v>0</v>
      </c>
      <c r="P742" s="3">
        <v>7</v>
      </c>
      <c r="R742" s="3">
        <v>1</v>
      </c>
      <c r="S742" s="9">
        <v>0</v>
      </c>
      <c r="T742" s="11">
        <v>0</v>
      </c>
      <c r="U742" s="11">
        <v>5.0410000000000003E-2</v>
      </c>
      <c r="V742" s="11">
        <v>0.14299999999999999</v>
      </c>
      <c r="W742" s="11">
        <v>0</v>
      </c>
      <c r="X742" s="3"/>
      <c r="Y742" s="3" t="s">
        <v>118</v>
      </c>
      <c r="AA742" s="3" t="str">
        <f t="shared" si="5"/>
        <v>___</v>
      </c>
      <c r="AB742" s="3" t="str">
        <f t="shared" si="4"/>
        <v>____</v>
      </c>
    </row>
    <row r="743" spans="1:30" ht="12.5">
      <c r="A743" s="3">
        <v>742</v>
      </c>
      <c r="C743" s="3" t="s">
        <v>117</v>
      </c>
      <c r="E743" s="3" t="s">
        <v>97</v>
      </c>
      <c r="F743" s="3" t="s">
        <v>34</v>
      </c>
      <c r="H743" s="3" t="s">
        <v>40</v>
      </c>
      <c r="I743" s="3">
        <v>3</v>
      </c>
      <c r="J743" s="4">
        <v>45462</v>
      </c>
      <c r="K743" s="4">
        <v>45340</v>
      </c>
      <c r="L743" s="3">
        <v>5</v>
      </c>
      <c r="M743" s="3" t="s">
        <v>36</v>
      </c>
      <c r="N743" s="3">
        <v>90</v>
      </c>
      <c r="O743" s="3">
        <v>10</v>
      </c>
      <c r="P743" s="3">
        <v>10</v>
      </c>
      <c r="R743" s="3">
        <v>0</v>
      </c>
      <c r="S743" s="9">
        <v>0</v>
      </c>
      <c r="T743" s="11">
        <v>7.7249999999999999E-2</v>
      </c>
      <c r="U743" s="11">
        <v>6.7780000000000007E-2</v>
      </c>
      <c r="V743" s="11">
        <v>0</v>
      </c>
      <c r="W743" s="11">
        <v>0</v>
      </c>
      <c r="AA743" s="3" t="str">
        <f t="shared" si="5"/>
        <v>KK_O___vm</v>
      </c>
      <c r="AB743" s="3" t="str">
        <f t="shared" si="4"/>
        <v>KK_O___vm_3</v>
      </c>
      <c r="AD743" s="3" t="s">
        <v>37</v>
      </c>
    </row>
    <row r="744" spans="1:30" ht="12.5">
      <c r="A744" s="3">
        <v>743</v>
      </c>
      <c r="F744" s="3"/>
      <c r="H744" s="3"/>
      <c r="M744" s="3" t="s">
        <v>38</v>
      </c>
      <c r="N744" s="3">
        <v>46</v>
      </c>
      <c r="O744" s="3">
        <v>0</v>
      </c>
      <c r="P744" s="3">
        <v>2</v>
      </c>
      <c r="R744" s="3">
        <v>1</v>
      </c>
      <c r="S744" s="9">
        <v>0</v>
      </c>
      <c r="T744" s="11">
        <v>0</v>
      </c>
      <c r="U744" s="11">
        <v>5.1229999999999998E-2</v>
      </c>
      <c r="V744" s="11">
        <v>6.7659999999999998E-2</v>
      </c>
      <c r="W744" s="11">
        <v>0</v>
      </c>
      <c r="AA744" s="3" t="str">
        <f t="shared" si="5"/>
        <v>___</v>
      </c>
      <c r="AB744" s="3" t="str">
        <f t="shared" si="4"/>
        <v>____</v>
      </c>
    </row>
    <row r="745" spans="1:30" ht="12.5">
      <c r="A745" s="3">
        <v>744</v>
      </c>
      <c r="F745" s="3"/>
      <c r="H745" s="3"/>
      <c r="M745" s="3" t="s">
        <v>39</v>
      </c>
      <c r="N745" s="3">
        <v>35</v>
      </c>
      <c r="O745" s="3">
        <v>0</v>
      </c>
      <c r="P745" s="3">
        <v>7</v>
      </c>
      <c r="R745" s="3">
        <v>2</v>
      </c>
      <c r="S745" s="9">
        <v>0</v>
      </c>
      <c r="T745" s="11">
        <v>0</v>
      </c>
      <c r="U745" s="11">
        <v>5.9540000000000003E-2</v>
      </c>
      <c r="V745" s="11">
        <v>0.16056000000000001</v>
      </c>
      <c r="W745" s="11">
        <v>0</v>
      </c>
      <c r="AA745" s="3" t="str">
        <f t="shared" si="5"/>
        <v>___</v>
      </c>
      <c r="AB745" s="3" t="str">
        <f t="shared" si="4"/>
        <v>____</v>
      </c>
    </row>
    <row r="746" spans="1:30" ht="12.5">
      <c r="A746" s="3">
        <v>745</v>
      </c>
      <c r="C746" s="3" t="s">
        <v>117</v>
      </c>
      <c r="E746" s="3" t="s">
        <v>97</v>
      </c>
      <c r="F746" s="3" t="s">
        <v>34</v>
      </c>
      <c r="H746" s="3" t="s">
        <v>35</v>
      </c>
      <c r="I746" s="3">
        <v>1</v>
      </c>
      <c r="J746" s="4">
        <v>45458</v>
      </c>
      <c r="K746" s="4">
        <v>45396</v>
      </c>
      <c r="L746" s="3">
        <v>5</v>
      </c>
      <c r="M746" s="3" t="s">
        <v>36</v>
      </c>
      <c r="N746" s="3">
        <v>56</v>
      </c>
      <c r="O746" s="3">
        <v>16</v>
      </c>
      <c r="P746" s="3">
        <v>16</v>
      </c>
      <c r="R746" s="3">
        <v>0</v>
      </c>
      <c r="S746" s="9">
        <v>0</v>
      </c>
      <c r="T746" s="11">
        <v>0.19561999999999999</v>
      </c>
      <c r="U746" s="11">
        <v>3.295E-2</v>
      </c>
      <c r="V746" s="11">
        <v>0</v>
      </c>
      <c r="W746" s="11">
        <v>0</v>
      </c>
      <c r="AA746" s="3" t="str">
        <f t="shared" si="5"/>
        <v>KK_O___vv</v>
      </c>
      <c r="AB746" s="3" t="str">
        <f t="shared" si="4"/>
        <v>KK_O___vv_1</v>
      </c>
      <c r="AD746" s="3" t="s">
        <v>37</v>
      </c>
    </row>
    <row r="747" spans="1:30" ht="12.5">
      <c r="A747" s="3">
        <v>746</v>
      </c>
      <c r="F747" s="3"/>
      <c r="H747" s="3"/>
      <c r="M747" s="3" t="s">
        <v>38</v>
      </c>
      <c r="N747" s="3">
        <v>23</v>
      </c>
      <c r="O747" s="3">
        <v>5</v>
      </c>
      <c r="P747" s="3">
        <v>16</v>
      </c>
      <c r="R747" s="3">
        <v>0</v>
      </c>
      <c r="S747" s="9">
        <v>0</v>
      </c>
      <c r="T747" s="11">
        <v>9.5549999999999996E-2</v>
      </c>
      <c r="U747" s="11">
        <v>3.0339999999999999E-2</v>
      </c>
      <c r="V747" s="11">
        <v>0</v>
      </c>
      <c r="W747" s="11">
        <v>0</v>
      </c>
      <c r="AA747" s="3" t="str">
        <f t="shared" si="5"/>
        <v>___</v>
      </c>
      <c r="AB747" s="3" t="str">
        <f t="shared" si="4"/>
        <v>____</v>
      </c>
    </row>
    <row r="748" spans="1:30" ht="12.5">
      <c r="A748" s="3">
        <v>747</v>
      </c>
      <c r="F748" s="3"/>
      <c r="H748" s="3"/>
      <c r="M748" s="3" t="s">
        <v>39</v>
      </c>
      <c r="N748" s="3">
        <v>35</v>
      </c>
      <c r="O748" s="3">
        <v>12</v>
      </c>
      <c r="P748" s="3">
        <v>18</v>
      </c>
      <c r="R748" s="3">
        <v>0</v>
      </c>
      <c r="S748" s="9">
        <v>0</v>
      </c>
      <c r="T748" s="11">
        <v>1.321E-2</v>
      </c>
      <c r="U748" s="11">
        <v>2.044E-2</v>
      </c>
      <c r="V748" s="11">
        <v>0</v>
      </c>
      <c r="W748" s="11">
        <v>0</v>
      </c>
      <c r="AA748" s="3" t="str">
        <f t="shared" si="5"/>
        <v>___</v>
      </c>
      <c r="AB748" s="3" t="str">
        <f t="shared" si="4"/>
        <v>____</v>
      </c>
    </row>
    <row r="749" spans="1:30" ht="12.5">
      <c r="A749" s="3">
        <v>748</v>
      </c>
      <c r="C749" s="3" t="s">
        <v>117</v>
      </c>
      <c r="E749" s="3" t="s">
        <v>97</v>
      </c>
      <c r="F749" s="3" t="s">
        <v>34</v>
      </c>
      <c r="H749" s="3" t="s">
        <v>35</v>
      </c>
      <c r="I749" s="3">
        <v>2</v>
      </c>
      <c r="J749" s="4">
        <v>45484</v>
      </c>
      <c r="K749" s="4">
        <v>45422</v>
      </c>
      <c r="L749" s="3">
        <v>4</v>
      </c>
      <c r="M749" s="3" t="s">
        <v>36</v>
      </c>
      <c r="N749" s="3">
        <v>35</v>
      </c>
      <c r="O749" s="3">
        <v>13</v>
      </c>
      <c r="P749" s="3">
        <v>13</v>
      </c>
      <c r="R749" s="3">
        <v>0</v>
      </c>
      <c r="S749" s="9">
        <v>0</v>
      </c>
      <c r="T749" s="11">
        <v>0.12917000000000001</v>
      </c>
      <c r="U749" s="11">
        <v>1.542E-2</v>
      </c>
      <c r="V749" s="11">
        <v>0</v>
      </c>
      <c r="W749" s="11">
        <v>0</v>
      </c>
      <c r="AA749" s="3" t="str">
        <f t="shared" si="5"/>
        <v>KK_O___vv</v>
      </c>
      <c r="AB749" s="3" t="str">
        <f t="shared" si="4"/>
        <v>KK_O___vv_2</v>
      </c>
      <c r="AD749" s="3" t="s">
        <v>37</v>
      </c>
    </row>
    <row r="750" spans="1:30" ht="12.5">
      <c r="A750" s="3">
        <v>749</v>
      </c>
      <c r="F750" s="3"/>
      <c r="H750" s="3"/>
      <c r="M750" s="3" t="s">
        <v>38</v>
      </c>
      <c r="Y750" s="3" t="s">
        <v>119</v>
      </c>
      <c r="AA750" s="3" t="str">
        <f t="shared" si="5"/>
        <v>___</v>
      </c>
      <c r="AB750" s="3" t="str">
        <f t="shared" si="4"/>
        <v>____</v>
      </c>
    </row>
    <row r="751" spans="1:30" ht="12.5">
      <c r="A751" s="3">
        <v>750</v>
      </c>
      <c r="F751" s="3"/>
      <c r="H751" s="3"/>
      <c r="M751" s="3" t="s">
        <v>39</v>
      </c>
      <c r="N751" s="3">
        <v>35</v>
      </c>
      <c r="O751" s="3">
        <v>11</v>
      </c>
      <c r="P751" s="3">
        <v>17</v>
      </c>
      <c r="R751" s="3">
        <v>0</v>
      </c>
      <c r="S751" s="9">
        <v>0</v>
      </c>
      <c r="T751" s="11">
        <v>3.2910000000000002E-2</v>
      </c>
      <c r="U751" s="11">
        <v>2.4910000000000002E-2</v>
      </c>
      <c r="V751" s="11">
        <v>0</v>
      </c>
      <c r="W751" s="11">
        <v>0</v>
      </c>
      <c r="AA751" s="3" t="str">
        <f t="shared" si="5"/>
        <v>___</v>
      </c>
      <c r="AB751" s="3" t="str">
        <f t="shared" si="4"/>
        <v>____</v>
      </c>
    </row>
    <row r="752" spans="1:30" ht="12.5">
      <c r="A752" s="3">
        <v>751</v>
      </c>
      <c r="C752" s="3" t="s">
        <v>117</v>
      </c>
      <c r="E752" s="3" t="s">
        <v>97</v>
      </c>
      <c r="F752" s="3" t="s">
        <v>34</v>
      </c>
      <c r="H752" s="3" t="s">
        <v>35</v>
      </c>
      <c r="I752" s="3">
        <v>3</v>
      </c>
      <c r="J752" s="3">
        <v>11</v>
      </c>
      <c r="K752" s="4">
        <v>45545</v>
      </c>
      <c r="L752" s="3">
        <v>3</v>
      </c>
      <c r="M752" s="3" t="s">
        <v>36</v>
      </c>
      <c r="N752" s="3">
        <v>41</v>
      </c>
      <c r="O752" s="3">
        <v>13</v>
      </c>
      <c r="P752" s="3">
        <v>15</v>
      </c>
      <c r="R752" s="3">
        <v>0</v>
      </c>
      <c r="S752" s="9">
        <v>0</v>
      </c>
      <c r="T752" s="11">
        <v>0.12731999999999999</v>
      </c>
      <c r="U752" s="11">
        <v>1.8540000000000001E-2</v>
      </c>
      <c r="V752" s="11">
        <v>0</v>
      </c>
      <c r="W752" s="11">
        <v>0</v>
      </c>
      <c r="AA752" s="3" t="str">
        <f t="shared" si="5"/>
        <v>KK_O___vv</v>
      </c>
      <c r="AB752" s="3" t="str">
        <f t="shared" si="4"/>
        <v>KK_O___vv_3</v>
      </c>
      <c r="AD752" s="3" t="s">
        <v>37</v>
      </c>
    </row>
    <row r="753" spans="1:30" ht="12.5">
      <c r="A753" s="3">
        <v>752</v>
      </c>
      <c r="F753" s="3"/>
      <c r="H753" s="3"/>
      <c r="M753" s="3" t="s">
        <v>38</v>
      </c>
      <c r="N753" s="3">
        <v>43</v>
      </c>
      <c r="O753" s="3">
        <v>5</v>
      </c>
      <c r="P753" s="3">
        <v>13</v>
      </c>
      <c r="R753" s="3">
        <v>0</v>
      </c>
      <c r="S753" s="9">
        <v>0</v>
      </c>
      <c r="T753" s="11">
        <v>5.0160000000000003E-2</v>
      </c>
      <c r="U753" s="11">
        <v>2.8809999999999999E-2</v>
      </c>
      <c r="V753" s="11">
        <v>0</v>
      </c>
      <c r="W753" s="11">
        <v>0</v>
      </c>
      <c r="AA753" s="3" t="str">
        <f t="shared" si="5"/>
        <v>___</v>
      </c>
      <c r="AB753" s="3" t="str">
        <f t="shared" si="4"/>
        <v>____</v>
      </c>
    </row>
    <row r="754" spans="1:30" ht="12.5">
      <c r="A754" s="3">
        <v>753</v>
      </c>
      <c r="F754" s="3"/>
      <c r="H754" s="3"/>
      <c r="M754" s="3" t="s">
        <v>39</v>
      </c>
      <c r="N754" s="3">
        <v>29</v>
      </c>
      <c r="O754" s="3">
        <v>0</v>
      </c>
      <c r="P754" s="3">
        <v>7</v>
      </c>
      <c r="R754" s="3">
        <v>0</v>
      </c>
      <c r="S754" s="9">
        <v>0</v>
      </c>
      <c r="T754" s="11">
        <v>0</v>
      </c>
      <c r="U754" s="11">
        <v>1.7770000000000001E-2</v>
      </c>
      <c r="V754" s="11">
        <v>0</v>
      </c>
      <c r="W754" s="11">
        <v>0</v>
      </c>
      <c r="AA754" s="3" t="str">
        <f t="shared" si="5"/>
        <v>___</v>
      </c>
      <c r="AB754" s="3" t="str">
        <f t="shared" si="4"/>
        <v>____</v>
      </c>
    </row>
    <row r="755" spans="1:30" ht="12.5">
      <c r="A755" s="3">
        <v>754</v>
      </c>
      <c r="B755" s="17">
        <v>45544</v>
      </c>
      <c r="C755" s="3" t="s">
        <v>96</v>
      </c>
      <c r="E755" s="3" t="s">
        <v>97</v>
      </c>
      <c r="F755" s="3" t="s">
        <v>34</v>
      </c>
      <c r="H755" s="3" t="s">
        <v>35</v>
      </c>
      <c r="I755" s="3">
        <v>1</v>
      </c>
      <c r="J755" s="3">
        <v>5</v>
      </c>
      <c r="K755" s="4">
        <v>45511</v>
      </c>
      <c r="L755" s="3">
        <v>4</v>
      </c>
      <c r="M755" s="3" t="s">
        <v>36</v>
      </c>
      <c r="N755" s="3">
        <v>14</v>
      </c>
      <c r="O755" s="3">
        <v>9</v>
      </c>
      <c r="P755" s="3">
        <v>9</v>
      </c>
      <c r="R755" s="3">
        <v>0</v>
      </c>
      <c r="S755" s="9">
        <v>0</v>
      </c>
      <c r="T755" s="11">
        <v>4.6339999999999999E-2</v>
      </c>
      <c r="U755" s="11">
        <v>3.5999999999999999E-3</v>
      </c>
      <c r="V755" s="11">
        <v>0</v>
      </c>
      <c r="W755" s="11">
        <v>0</v>
      </c>
      <c r="AA755" s="3" t="str">
        <f t="shared" si="5"/>
        <v>LY_O___vv</v>
      </c>
      <c r="AB755" s="3" t="str">
        <f t="shared" si="4"/>
        <v>LY_O___vv_1</v>
      </c>
      <c r="AD755" s="3" t="s">
        <v>37</v>
      </c>
    </row>
    <row r="756" spans="1:30" ht="12.5">
      <c r="A756" s="3">
        <v>755</v>
      </c>
      <c r="F756" s="3"/>
      <c r="H756" s="3"/>
      <c r="M756" s="3" t="s">
        <v>38</v>
      </c>
      <c r="N756" s="3">
        <v>29</v>
      </c>
      <c r="O756" s="3">
        <v>5</v>
      </c>
      <c r="P756" s="3">
        <v>12</v>
      </c>
      <c r="R756" s="3">
        <v>0</v>
      </c>
      <c r="S756" s="9">
        <v>0</v>
      </c>
      <c r="T756" s="11">
        <v>2.9669999999999998E-2</v>
      </c>
      <c r="U756" s="11">
        <v>1.3050000000000001E-2</v>
      </c>
      <c r="V756" s="11">
        <v>0</v>
      </c>
      <c r="W756" s="11">
        <v>0</v>
      </c>
      <c r="AA756" s="3" t="str">
        <f t="shared" si="5"/>
        <v>___</v>
      </c>
      <c r="AB756" s="3" t="str">
        <f t="shared" si="4"/>
        <v>____</v>
      </c>
    </row>
    <row r="757" spans="1:30" ht="12.5">
      <c r="A757" s="3">
        <v>756</v>
      </c>
      <c r="F757" s="3"/>
      <c r="H757" s="3"/>
      <c r="M757" s="3" t="s">
        <v>39</v>
      </c>
      <c r="N757" s="3">
        <v>22</v>
      </c>
      <c r="O757" s="3">
        <v>0</v>
      </c>
      <c r="P757" s="3">
        <v>5</v>
      </c>
      <c r="R757" s="3">
        <v>0</v>
      </c>
      <c r="S757" s="9">
        <v>0</v>
      </c>
      <c r="T757" s="11">
        <v>0</v>
      </c>
      <c r="U757" s="11">
        <v>8.0300000000000007E-3</v>
      </c>
      <c r="V757" s="11">
        <v>0</v>
      </c>
      <c r="W757" s="11">
        <v>0</v>
      </c>
      <c r="AA757" s="3" t="str">
        <f t="shared" si="5"/>
        <v>___</v>
      </c>
      <c r="AB757" s="3" t="str">
        <f t="shared" si="4"/>
        <v>____</v>
      </c>
    </row>
    <row r="758" spans="1:30" ht="12.5">
      <c r="A758" s="3">
        <v>757</v>
      </c>
      <c r="C758" s="3" t="s">
        <v>120</v>
      </c>
      <c r="E758" s="3" t="s">
        <v>97</v>
      </c>
      <c r="F758" s="3" t="s">
        <v>34</v>
      </c>
      <c r="H758" s="3" t="s">
        <v>35</v>
      </c>
      <c r="I758" s="3">
        <v>1</v>
      </c>
      <c r="J758" s="3">
        <v>17.2</v>
      </c>
      <c r="K758" s="3">
        <v>13.9</v>
      </c>
      <c r="L758" s="3">
        <v>4</v>
      </c>
      <c r="M758" s="3" t="s">
        <v>36</v>
      </c>
      <c r="N758" s="3">
        <v>34</v>
      </c>
      <c r="O758" s="3">
        <v>11</v>
      </c>
      <c r="P758" s="3">
        <v>15</v>
      </c>
      <c r="R758" s="3">
        <v>0</v>
      </c>
      <c r="S758" s="3">
        <v>0</v>
      </c>
      <c r="T758" s="3">
        <v>7.9329999999999998E-2</v>
      </c>
      <c r="U758" s="3">
        <v>1.1259999999999999E-2</v>
      </c>
      <c r="V758" s="3">
        <v>0</v>
      </c>
      <c r="W758" s="3">
        <v>0</v>
      </c>
      <c r="AA758" s="3" t="str">
        <f t="shared" si="5"/>
        <v>SO_O___vv</v>
      </c>
      <c r="AB758" s="3" t="str">
        <f t="shared" si="4"/>
        <v>SO_O___vv_1</v>
      </c>
      <c r="AD758" s="3" t="s">
        <v>37</v>
      </c>
    </row>
    <row r="759" spans="1:30" ht="12.5">
      <c r="A759" s="3">
        <v>758</v>
      </c>
      <c r="F759" s="3"/>
      <c r="H759" s="3"/>
      <c r="M759" s="3" t="s">
        <v>38</v>
      </c>
      <c r="N759" s="3">
        <v>54</v>
      </c>
      <c r="O759" s="3">
        <v>2</v>
      </c>
      <c r="P759" s="3">
        <v>17</v>
      </c>
      <c r="R759" s="3">
        <v>1</v>
      </c>
      <c r="S759" s="3">
        <v>0</v>
      </c>
      <c r="T759" s="3">
        <v>5.2920000000000002E-2</v>
      </c>
      <c r="U759" s="3">
        <v>4.2569999999999997E-2</v>
      </c>
      <c r="V759" s="3">
        <v>3.7200000000000002E-3</v>
      </c>
      <c r="W759" s="3">
        <v>0</v>
      </c>
      <c r="AA759" s="3" t="str">
        <f t="shared" si="5"/>
        <v>___</v>
      </c>
      <c r="AB759" s="3" t="str">
        <f t="shared" si="4"/>
        <v>____</v>
      </c>
    </row>
    <row r="760" spans="1:30" ht="12.5">
      <c r="A760" s="3">
        <v>759</v>
      </c>
      <c r="F760" s="3"/>
      <c r="H760" s="3"/>
      <c r="M760" s="3" t="s">
        <v>39</v>
      </c>
      <c r="N760" s="3">
        <v>37</v>
      </c>
      <c r="O760" s="3">
        <v>1</v>
      </c>
      <c r="P760" s="3">
        <v>9</v>
      </c>
      <c r="R760" s="3">
        <v>1</v>
      </c>
      <c r="S760" s="3">
        <v>0</v>
      </c>
      <c r="T760" s="3">
        <v>3.9300000000000003E-3</v>
      </c>
      <c r="U760" s="3">
        <v>3.0210000000000001E-2</v>
      </c>
      <c r="V760" s="3">
        <v>3.7659999999999999E-2</v>
      </c>
      <c r="W760" s="3">
        <v>0</v>
      </c>
      <c r="AA760" s="3" t="str">
        <f t="shared" si="5"/>
        <v>___</v>
      </c>
      <c r="AB760" s="3" t="str">
        <f t="shared" si="4"/>
        <v>____</v>
      </c>
    </row>
    <row r="761" spans="1:30" ht="12.5">
      <c r="A761" s="3">
        <v>760</v>
      </c>
      <c r="C761" s="3" t="s">
        <v>120</v>
      </c>
      <c r="E761" s="3" t="s">
        <v>97</v>
      </c>
      <c r="F761" s="3" t="s">
        <v>34</v>
      </c>
      <c r="H761" s="3" t="s">
        <v>35</v>
      </c>
      <c r="I761" s="3">
        <v>2</v>
      </c>
      <c r="J761" s="3">
        <v>19.2</v>
      </c>
      <c r="K761" s="3">
        <v>18.7</v>
      </c>
      <c r="L761" s="3">
        <v>4</v>
      </c>
      <c r="M761" s="3" t="s">
        <v>36</v>
      </c>
      <c r="N761" s="3">
        <v>43</v>
      </c>
      <c r="O761" s="3">
        <v>14</v>
      </c>
      <c r="P761" s="3">
        <v>15</v>
      </c>
      <c r="R761" s="3">
        <v>0</v>
      </c>
      <c r="S761" s="3">
        <v>0</v>
      </c>
      <c r="T761" s="3">
        <v>0.19671</v>
      </c>
      <c r="U761" s="3">
        <v>2.4140000000000002E-2</v>
      </c>
      <c r="V761" s="3">
        <v>0</v>
      </c>
      <c r="W761" s="3">
        <v>0</v>
      </c>
      <c r="AA761" s="3" t="str">
        <f t="shared" si="5"/>
        <v>SO_O___vv</v>
      </c>
      <c r="AB761" s="3" t="str">
        <f t="shared" si="4"/>
        <v>SO_O___vv_2</v>
      </c>
      <c r="AD761" s="3" t="s">
        <v>37</v>
      </c>
    </row>
    <row r="762" spans="1:30" ht="12.5">
      <c r="A762" s="3">
        <v>761</v>
      </c>
      <c r="F762" s="3"/>
      <c r="H762" s="3"/>
      <c r="M762" s="3" t="s">
        <v>38</v>
      </c>
      <c r="N762" s="3">
        <v>43</v>
      </c>
      <c r="O762" s="3">
        <v>7</v>
      </c>
      <c r="P762" s="3">
        <v>15</v>
      </c>
      <c r="R762" s="3">
        <v>0</v>
      </c>
      <c r="S762" s="3">
        <v>0</v>
      </c>
      <c r="T762" s="3">
        <v>0.10907</v>
      </c>
      <c r="U762" s="3">
        <v>3.5990000000000001E-2</v>
      </c>
      <c r="V762" s="3">
        <v>0</v>
      </c>
      <c r="W762" s="3">
        <v>0</v>
      </c>
      <c r="AA762" s="3" t="str">
        <f t="shared" si="5"/>
        <v>___</v>
      </c>
      <c r="AB762" s="3" t="str">
        <f t="shared" si="4"/>
        <v>____</v>
      </c>
    </row>
    <row r="763" spans="1:30" ht="12.5">
      <c r="A763" s="3">
        <v>762</v>
      </c>
      <c r="F763" s="3"/>
      <c r="H763" s="3"/>
      <c r="M763" s="3" t="s">
        <v>39</v>
      </c>
      <c r="N763" s="3">
        <v>74</v>
      </c>
      <c r="O763" s="3">
        <v>3</v>
      </c>
      <c r="P763" s="3">
        <v>22</v>
      </c>
      <c r="R763" s="3">
        <v>0</v>
      </c>
      <c r="S763" s="3">
        <v>0</v>
      </c>
      <c r="T763" s="3">
        <v>2.3699999999999999E-2</v>
      </c>
      <c r="U763" s="3">
        <v>7.8640000000000002E-2</v>
      </c>
      <c r="V763" s="3">
        <v>0</v>
      </c>
      <c r="W763" s="3">
        <v>0</v>
      </c>
      <c r="AA763" s="3" t="str">
        <f t="shared" si="5"/>
        <v>___</v>
      </c>
      <c r="AB763" s="3" t="str">
        <f t="shared" si="4"/>
        <v>____</v>
      </c>
    </row>
    <row r="764" spans="1:30" ht="12.5">
      <c r="A764" s="3">
        <v>763</v>
      </c>
      <c r="C764" s="3" t="s">
        <v>120</v>
      </c>
      <c r="E764" s="3" t="s">
        <v>97</v>
      </c>
      <c r="F764" s="3" t="s">
        <v>34</v>
      </c>
      <c r="H764" s="3" t="s">
        <v>35</v>
      </c>
      <c r="I764" s="3">
        <v>3</v>
      </c>
      <c r="J764" s="3">
        <v>22.3</v>
      </c>
      <c r="K764" s="3">
        <v>23.7</v>
      </c>
      <c r="L764" s="3">
        <v>4</v>
      </c>
      <c r="M764" s="3" t="s">
        <v>36</v>
      </c>
      <c r="N764" s="3">
        <v>49</v>
      </c>
      <c r="O764" s="3">
        <v>14</v>
      </c>
      <c r="P764" s="3">
        <v>18</v>
      </c>
      <c r="R764" s="3">
        <v>1</v>
      </c>
      <c r="S764" s="3">
        <v>11</v>
      </c>
      <c r="T764" s="3">
        <v>0.2162</v>
      </c>
      <c r="U764" s="3">
        <v>3.0210000000000001E-2</v>
      </c>
      <c r="V764" s="3">
        <v>0</v>
      </c>
      <c r="W764" s="3">
        <v>0.2409</v>
      </c>
      <c r="Y764" s="3" t="s">
        <v>121</v>
      </c>
      <c r="AA764" s="3" t="str">
        <f t="shared" si="5"/>
        <v>SO_O___vv</v>
      </c>
      <c r="AB764" s="3" t="str">
        <f t="shared" si="4"/>
        <v>SO_O___vv_3</v>
      </c>
      <c r="AD764" s="3" t="s">
        <v>37</v>
      </c>
    </row>
    <row r="765" spans="1:30" ht="12.5">
      <c r="A765" s="3">
        <v>764</v>
      </c>
      <c r="F765" s="3"/>
      <c r="H765" s="3"/>
      <c r="M765" s="3" t="s">
        <v>38</v>
      </c>
      <c r="N765" s="3">
        <v>102</v>
      </c>
      <c r="O765" s="3">
        <v>1</v>
      </c>
      <c r="P765" s="3">
        <v>15</v>
      </c>
      <c r="R765" s="3">
        <v>1</v>
      </c>
      <c r="S765" s="3">
        <v>0</v>
      </c>
      <c r="T765" s="3">
        <v>1.788E-2</v>
      </c>
      <c r="U765" s="3">
        <v>9.7919999999999993E-2</v>
      </c>
      <c r="V765" s="3">
        <v>2.3570000000000001E-2</v>
      </c>
      <c r="W765" s="3">
        <v>0</v>
      </c>
      <c r="AA765" s="3" t="str">
        <f t="shared" si="5"/>
        <v>___</v>
      </c>
      <c r="AB765" s="3" t="str">
        <f t="shared" si="4"/>
        <v>____</v>
      </c>
    </row>
    <row r="766" spans="1:30" ht="12.5">
      <c r="A766" s="3">
        <v>765</v>
      </c>
      <c r="F766" s="3"/>
      <c r="H766" s="3"/>
      <c r="M766" s="3" t="s">
        <v>39</v>
      </c>
      <c r="N766" s="3">
        <v>54</v>
      </c>
      <c r="O766" s="3">
        <v>0</v>
      </c>
      <c r="P766" s="3">
        <v>6</v>
      </c>
      <c r="R766" s="3">
        <v>0</v>
      </c>
      <c r="S766" s="3">
        <v>0</v>
      </c>
      <c r="T766" s="3">
        <v>0</v>
      </c>
      <c r="U766" s="3">
        <v>6.5449999999999994E-2</v>
      </c>
      <c r="V766" s="3">
        <v>0</v>
      </c>
      <c r="W766" s="3">
        <v>0</v>
      </c>
      <c r="AA766" s="3" t="str">
        <f t="shared" si="5"/>
        <v>___</v>
      </c>
      <c r="AB766" s="3" t="str">
        <f t="shared" si="4"/>
        <v>____</v>
      </c>
    </row>
    <row r="767" spans="1:30" ht="12.5">
      <c r="A767" s="3">
        <v>766</v>
      </c>
      <c r="C767" s="3" t="s">
        <v>120</v>
      </c>
      <c r="E767" s="3" t="s">
        <v>97</v>
      </c>
      <c r="F767" s="3" t="s">
        <v>34</v>
      </c>
      <c r="H767" s="3" t="s">
        <v>40</v>
      </c>
      <c r="I767" s="3">
        <v>1</v>
      </c>
      <c r="J767" s="3">
        <v>33</v>
      </c>
      <c r="K767" s="3">
        <v>30.1</v>
      </c>
      <c r="L767" s="3">
        <v>5</v>
      </c>
      <c r="M767" s="3" t="s">
        <v>36</v>
      </c>
      <c r="N767" s="3">
        <v>40</v>
      </c>
      <c r="O767" s="3">
        <v>6</v>
      </c>
      <c r="P767" s="3">
        <v>8</v>
      </c>
      <c r="R767" s="3">
        <v>0</v>
      </c>
      <c r="S767" s="3">
        <v>0</v>
      </c>
      <c r="T767" s="3">
        <v>4.7809999999999998E-2</v>
      </c>
      <c r="U767" s="3">
        <v>2.043E-2</v>
      </c>
      <c r="V767" s="3">
        <v>0</v>
      </c>
      <c r="W767" s="3">
        <v>0</v>
      </c>
      <c r="AA767" s="3" t="str">
        <f t="shared" si="5"/>
        <v>SO_O___vm</v>
      </c>
      <c r="AB767" s="3" t="str">
        <f t="shared" ref="AB767:AB1021" si="6">CONCATENATE(C767,"_",D767,"_",G767,"_",H767,"_",I767)</f>
        <v>SO_O___vm_1</v>
      </c>
      <c r="AD767" s="3" t="s">
        <v>37</v>
      </c>
    </row>
    <row r="768" spans="1:30" ht="12.5">
      <c r="A768" s="3">
        <v>767</v>
      </c>
      <c r="F768" s="3"/>
      <c r="H768" s="3"/>
      <c r="M768" s="3" t="s">
        <v>38</v>
      </c>
      <c r="N768" s="3">
        <v>86</v>
      </c>
      <c r="O768" s="3">
        <v>0</v>
      </c>
      <c r="P768" s="3">
        <v>11</v>
      </c>
      <c r="R768" s="3">
        <v>5</v>
      </c>
      <c r="S768" s="3">
        <v>0</v>
      </c>
      <c r="T768" s="3">
        <v>0</v>
      </c>
      <c r="U768" s="3">
        <v>0.11162</v>
      </c>
      <c r="V768" s="3">
        <v>0.15440000000000001</v>
      </c>
      <c r="W768" s="3">
        <v>0</v>
      </c>
      <c r="AA768" s="3" t="str">
        <f t="shared" ref="AA768:AA1022" si="7">CONCATENATE(C768, "_",D768,"_",G768,"_",H768)</f>
        <v>___</v>
      </c>
      <c r="AB768" s="3" t="str">
        <f t="shared" si="6"/>
        <v>____</v>
      </c>
    </row>
    <row r="769" spans="1:30" ht="12.5">
      <c r="A769" s="3">
        <v>768</v>
      </c>
      <c r="F769" s="3"/>
      <c r="H769" s="3"/>
      <c r="M769" s="3" t="s">
        <v>39</v>
      </c>
      <c r="N769" s="3">
        <v>114</v>
      </c>
      <c r="O769" s="3">
        <v>0</v>
      </c>
      <c r="P769" s="3">
        <v>11</v>
      </c>
      <c r="R769" s="3">
        <v>5</v>
      </c>
      <c r="S769" s="3">
        <v>0</v>
      </c>
      <c r="T769" s="3">
        <v>0</v>
      </c>
      <c r="U769" s="3">
        <v>0.53105000000000002</v>
      </c>
      <c r="V769" s="3">
        <v>1.4201699999999999</v>
      </c>
      <c r="W769" s="3">
        <v>0</v>
      </c>
      <c r="AA769" s="3" t="str">
        <f t="shared" si="7"/>
        <v>___</v>
      </c>
      <c r="AB769" s="3" t="str">
        <f t="shared" si="6"/>
        <v>____</v>
      </c>
    </row>
    <row r="770" spans="1:30" ht="12.5">
      <c r="A770" s="3">
        <v>769</v>
      </c>
      <c r="C770" s="3" t="s">
        <v>120</v>
      </c>
      <c r="E770" s="3" t="s">
        <v>97</v>
      </c>
      <c r="F770" s="3" t="s">
        <v>34</v>
      </c>
      <c r="H770" s="3" t="s">
        <v>40</v>
      </c>
      <c r="I770" s="3">
        <v>2</v>
      </c>
      <c r="J770" s="3">
        <v>27.1</v>
      </c>
      <c r="K770" s="3">
        <v>25.2</v>
      </c>
      <c r="L770" s="3">
        <v>6</v>
      </c>
      <c r="M770" s="3" t="s">
        <v>36</v>
      </c>
      <c r="N770" s="3">
        <v>34</v>
      </c>
      <c r="O770" s="3">
        <v>6</v>
      </c>
      <c r="P770" s="3">
        <v>6</v>
      </c>
      <c r="R770" s="3">
        <v>0</v>
      </c>
      <c r="S770" s="3">
        <v>0</v>
      </c>
      <c r="T770" s="3">
        <v>4.3159999999999997E-2</v>
      </c>
      <c r="U770" s="3">
        <v>1.7829999999999999E-2</v>
      </c>
      <c r="V770" s="3">
        <v>0</v>
      </c>
      <c r="W770" s="3">
        <v>0</v>
      </c>
      <c r="AA770" s="3" t="str">
        <f t="shared" si="7"/>
        <v>SO_O___vm</v>
      </c>
      <c r="AB770" s="3" t="str">
        <f t="shared" si="6"/>
        <v>SO_O___vm_2</v>
      </c>
      <c r="AD770" s="3" t="s">
        <v>37</v>
      </c>
    </row>
    <row r="771" spans="1:30" ht="12.5">
      <c r="A771" s="3">
        <v>770</v>
      </c>
      <c r="F771" s="3"/>
      <c r="H771" s="3"/>
      <c r="M771" s="3" t="s">
        <v>38</v>
      </c>
      <c r="N771" s="3">
        <v>74</v>
      </c>
      <c r="O771" s="3">
        <v>0</v>
      </c>
      <c r="P771" s="3">
        <v>9</v>
      </c>
      <c r="R771" s="3">
        <v>4</v>
      </c>
      <c r="S771" s="3">
        <v>0</v>
      </c>
      <c r="T771" s="3">
        <v>0</v>
      </c>
      <c r="U771" s="3">
        <v>7.6230000000000006E-2</v>
      </c>
      <c r="V771" s="3">
        <v>0.1169</v>
      </c>
      <c r="W771" s="3">
        <v>0</v>
      </c>
      <c r="AA771" s="3" t="str">
        <f t="shared" si="7"/>
        <v>___</v>
      </c>
      <c r="AB771" s="3" t="str">
        <f t="shared" si="6"/>
        <v>____</v>
      </c>
    </row>
    <row r="772" spans="1:30" ht="12.5">
      <c r="A772" s="3">
        <v>771</v>
      </c>
      <c r="F772" s="3"/>
      <c r="H772" s="3"/>
      <c r="M772" s="3" t="s">
        <v>39</v>
      </c>
      <c r="N772" s="3">
        <v>83</v>
      </c>
      <c r="O772" s="3">
        <v>0</v>
      </c>
      <c r="P772" s="3">
        <v>8</v>
      </c>
      <c r="R772" s="3">
        <v>1</v>
      </c>
      <c r="S772" s="3">
        <v>0</v>
      </c>
      <c r="T772" s="3">
        <v>0</v>
      </c>
      <c r="U772" s="3">
        <v>0.16094</v>
      </c>
      <c r="V772" s="3">
        <v>0.20344000000000001</v>
      </c>
      <c r="W772" s="3">
        <v>0</v>
      </c>
      <c r="AA772" s="3" t="str">
        <f t="shared" si="7"/>
        <v>___</v>
      </c>
      <c r="AB772" s="3" t="str">
        <f t="shared" si="6"/>
        <v>____</v>
      </c>
    </row>
    <row r="773" spans="1:30" ht="12.5">
      <c r="A773" s="3">
        <v>772</v>
      </c>
      <c r="C773" s="3" t="s">
        <v>120</v>
      </c>
      <c r="E773" s="3" t="s">
        <v>97</v>
      </c>
      <c r="F773" s="3" t="s">
        <v>34</v>
      </c>
      <c r="H773" s="3" t="s">
        <v>40</v>
      </c>
      <c r="I773" s="3">
        <v>3</v>
      </c>
      <c r="J773" s="3">
        <v>29.2</v>
      </c>
      <c r="K773" s="3">
        <v>38.1</v>
      </c>
      <c r="L773" s="3">
        <v>9</v>
      </c>
      <c r="M773" s="3" t="s">
        <v>36</v>
      </c>
      <c r="N773" s="3">
        <v>27</v>
      </c>
      <c r="O773" s="3">
        <v>5</v>
      </c>
      <c r="P773" s="3">
        <v>6</v>
      </c>
      <c r="R773" s="3">
        <v>0</v>
      </c>
      <c r="S773" s="3">
        <v>0</v>
      </c>
      <c r="T773" s="3">
        <v>2.9250000000000002E-2</v>
      </c>
      <c r="U773" s="3">
        <v>1.089E-2</v>
      </c>
      <c r="V773" s="3">
        <v>0</v>
      </c>
      <c r="W773" s="3">
        <v>0</v>
      </c>
      <c r="AA773" s="3" t="str">
        <f t="shared" si="7"/>
        <v>SO_O___vm</v>
      </c>
      <c r="AB773" s="3" t="str">
        <f t="shared" si="6"/>
        <v>SO_O___vm_3</v>
      </c>
      <c r="AD773" s="3" t="s">
        <v>37</v>
      </c>
    </row>
    <row r="774" spans="1:30" ht="12.5">
      <c r="A774" s="3">
        <v>773</v>
      </c>
      <c r="F774" s="3"/>
      <c r="H774" s="3"/>
      <c r="M774" s="3" t="s">
        <v>38</v>
      </c>
      <c r="N774" s="3">
        <v>67</v>
      </c>
      <c r="O774" s="3">
        <v>0</v>
      </c>
      <c r="P774" s="3">
        <v>9</v>
      </c>
      <c r="R774" s="3">
        <v>4</v>
      </c>
      <c r="S774" s="3">
        <v>0</v>
      </c>
      <c r="T774" s="3">
        <v>0</v>
      </c>
      <c r="U774" s="3">
        <v>5.1529999999999999E-2</v>
      </c>
      <c r="V774" s="3">
        <v>9.5030000000000003E-2</v>
      </c>
      <c r="W774" s="3">
        <v>0</v>
      </c>
      <c r="AA774" s="3" t="str">
        <f t="shared" si="7"/>
        <v>___</v>
      </c>
      <c r="AB774" s="3" t="str">
        <f t="shared" si="6"/>
        <v>____</v>
      </c>
    </row>
    <row r="775" spans="1:30" ht="12.5">
      <c r="A775" s="3">
        <v>774</v>
      </c>
      <c r="F775" s="3"/>
      <c r="H775" s="3"/>
      <c r="M775" s="3" t="s">
        <v>39</v>
      </c>
      <c r="N775" s="3">
        <v>79</v>
      </c>
      <c r="O775" s="3">
        <v>0</v>
      </c>
      <c r="P775" s="3">
        <v>10</v>
      </c>
      <c r="R775" s="3">
        <v>5</v>
      </c>
      <c r="S775" s="3">
        <v>0</v>
      </c>
      <c r="T775" s="3">
        <v>0</v>
      </c>
      <c r="U775" s="3">
        <v>0.14430999999999999</v>
      </c>
      <c r="V775" s="3">
        <v>0.54337000000000002</v>
      </c>
      <c r="W775" s="3">
        <v>0</v>
      </c>
      <c r="AA775" s="3" t="str">
        <f t="shared" si="7"/>
        <v>___</v>
      </c>
      <c r="AB775" s="3" t="str">
        <f t="shared" si="6"/>
        <v>____</v>
      </c>
    </row>
    <row r="776" spans="1:30" ht="12.5">
      <c r="A776" s="3">
        <v>775</v>
      </c>
      <c r="C776" s="3" t="s">
        <v>122</v>
      </c>
      <c r="E776" s="3" t="s">
        <v>123</v>
      </c>
      <c r="F776" s="3"/>
      <c r="H776" s="3" t="s">
        <v>35</v>
      </c>
      <c r="I776" s="3">
        <v>1</v>
      </c>
      <c r="J776" s="3">
        <v>5.3</v>
      </c>
      <c r="K776" s="3">
        <v>5.5</v>
      </c>
      <c r="L776" s="3">
        <v>3</v>
      </c>
      <c r="M776" s="3" t="s">
        <v>36</v>
      </c>
      <c r="N776" s="3">
        <v>8</v>
      </c>
      <c r="O776" s="3">
        <v>0</v>
      </c>
      <c r="P776" s="3">
        <v>0</v>
      </c>
      <c r="R776" s="3">
        <v>0</v>
      </c>
      <c r="S776" s="3">
        <v>4</v>
      </c>
      <c r="T776" s="3" t="s">
        <v>47</v>
      </c>
      <c r="U776" s="3" t="s">
        <v>47</v>
      </c>
      <c r="V776" s="3" t="s">
        <v>47</v>
      </c>
      <c r="W776" s="3">
        <v>0.14355999999999999</v>
      </c>
      <c r="Y776" s="3" t="s">
        <v>124</v>
      </c>
      <c r="AA776" s="3" t="str">
        <f t="shared" si="7"/>
        <v>KIL___vv</v>
      </c>
      <c r="AB776" s="3" t="str">
        <f t="shared" si="6"/>
        <v>KIL___vv_1</v>
      </c>
      <c r="AD776" s="3" t="s">
        <v>37</v>
      </c>
    </row>
    <row r="777" spans="1:30" ht="12.5">
      <c r="A777" s="3">
        <v>776</v>
      </c>
      <c r="F777" s="3"/>
      <c r="H777" s="3"/>
      <c r="M777" s="3" t="s">
        <v>38</v>
      </c>
      <c r="N777" s="3">
        <v>19</v>
      </c>
      <c r="O777" s="3">
        <v>10</v>
      </c>
      <c r="P777" s="3">
        <v>10</v>
      </c>
      <c r="R777" s="3">
        <v>0</v>
      </c>
      <c r="S777" s="3">
        <v>0</v>
      </c>
      <c r="T777" s="3">
        <v>5.8349999999999999E-2</v>
      </c>
      <c r="U777" s="3">
        <v>7.9100000000000004E-3</v>
      </c>
      <c r="V777" s="3">
        <v>0</v>
      </c>
      <c r="W777" s="3">
        <v>0</v>
      </c>
      <c r="AA777" s="3" t="str">
        <f t="shared" si="7"/>
        <v>___</v>
      </c>
      <c r="AB777" s="3" t="str">
        <f t="shared" si="6"/>
        <v>____</v>
      </c>
    </row>
    <row r="778" spans="1:30" ht="12.5">
      <c r="A778" s="3">
        <v>777</v>
      </c>
      <c r="F778" s="3"/>
      <c r="H778" s="3"/>
      <c r="M778" s="3" t="s">
        <v>39</v>
      </c>
      <c r="N778" s="3">
        <v>22</v>
      </c>
      <c r="O778" s="3">
        <v>9</v>
      </c>
      <c r="P778" s="3">
        <v>11</v>
      </c>
      <c r="Q778" s="3">
        <v>1</v>
      </c>
      <c r="R778" s="3">
        <v>1</v>
      </c>
      <c r="S778" s="3">
        <v>0</v>
      </c>
      <c r="T778" s="3">
        <v>7.9140000000000002E-2</v>
      </c>
      <c r="U778" s="3">
        <v>1.448E-2</v>
      </c>
      <c r="V778" s="3">
        <v>5.7119999999999997E-2</v>
      </c>
      <c r="W778" s="3">
        <v>0</v>
      </c>
      <c r="AA778" s="3" t="str">
        <f t="shared" si="7"/>
        <v>___</v>
      </c>
      <c r="AB778" s="3" t="str">
        <f t="shared" si="6"/>
        <v>____</v>
      </c>
    </row>
    <row r="779" spans="1:30" ht="12.5">
      <c r="A779" s="3">
        <v>778</v>
      </c>
      <c r="C779" s="3" t="s">
        <v>122</v>
      </c>
      <c r="E779" s="3" t="s">
        <v>123</v>
      </c>
      <c r="F779" s="3"/>
      <c r="H779" s="3" t="s">
        <v>35</v>
      </c>
      <c r="I779" s="3">
        <v>2</v>
      </c>
      <c r="J779" s="3">
        <v>4.5999999999999996</v>
      </c>
      <c r="K779" s="3">
        <v>3.8</v>
      </c>
      <c r="L779" s="3">
        <v>3</v>
      </c>
      <c r="M779" s="3" t="s">
        <v>36</v>
      </c>
      <c r="N779" s="3">
        <v>18</v>
      </c>
      <c r="O779" s="3">
        <v>9</v>
      </c>
      <c r="P779" s="3">
        <v>9</v>
      </c>
      <c r="R779" s="3">
        <v>0</v>
      </c>
      <c r="S779" s="3">
        <v>0</v>
      </c>
      <c r="T779" s="3">
        <v>1.9449999999999999E-2</v>
      </c>
      <c r="U779" s="3">
        <v>2.5100000000000001E-3</v>
      </c>
      <c r="V779" s="3">
        <v>0</v>
      </c>
      <c r="W779" s="3">
        <v>0</v>
      </c>
      <c r="AA779" s="3" t="str">
        <f t="shared" si="7"/>
        <v>KIL___vv</v>
      </c>
      <c r="AB779" s="3" t="str">
        <f t="shared" si="6"/>
        <v>KIL___vv_2</v>
      </c>
      <c r="AD779" s="3" t="s">
        <v>37</v>
      </c>
    </row>
    <row r="780" spans="1:30" ht="12.5">
      <c r="A780" s="3">
        <v>779</v>
      </c>
      <c r="F780" s="3"/>
      <c r="H780" s="3"/>
      <c r="M780" s="3" t="s">
        <v>38</v>
      </c>
      <c r="N780" s="3">
        <v>20</v>
      </c>
      <c r="O780" s="3">
        <v>10</v>
      </c>
      <c r="P780" s="3">
        <v>12</v>
      </c>
      <c r="Q780" s="3">
        <v>1</v>
      </c>
      <c r="R780" s="3">
        <v>1</v>
      </c>
      <c r="S780" s="3">
        <v>0</v>
      </c>
      <c r="T780" s="3">
        <v>9.1020000000000004E-2</v>
      </c>
      <c r="U780" s="3">
        <v>9.9900000000000006E-3</v>
      </c>
      <c r="V780" s="3">
        <v>4.2119999999999998E-2</v>
      </c>
      <c r="W780" s="3">
        <v>0</v>
      </c>
      <c r="Y780" s="3" t="s">
        <v>125</v>
      </c>
      <c r="AA780" s="3" t="str">
        <f t="shared" si="7"/>
        <v>___</v>
      </c>
      <c r="AB780" s="3" t="str">
        <f t="shared" si="6"/>
        <v>____</v>
      </c>
    </row>
    <row r="781" spans="1:30" ht="12.5">
      <c r="A781" s="3">
        <v>780</v>
      </c>
      <c r="F781" s="3"/>
      <c r="H781" s="3"/>
      <c r="M781" s="3" t="s">
        <v>39</v>
      </c>
      <c r="N781" s="3">
        <v>10</v>
      </c>
      <c r="O781" s="3">
        <v>2</v>
      </c>
      <c r="P781" s="3">
        <v>6</v>
      </c>
      <c r="R781" s="3">
        <v>0</v>
      </c>
      <c r="S781" s="3">
        <v>0</v>
      </c>
      <c r="T781" s="3">
        <v>7.11E-3</v>
      </c>
      <c r="U781" s="3">
        <v>5.1000000000000004E-3</v>
      </c>
      <c r="V781" s="3">
        <v>0</v>
      </c>
      <c r="W781" s="3">
        <v>0</v>
      </c>
      <c r="AA781" s="3" t="str">
        <f t="shared" si="7"/>
        <v>___</v>
      </c>
      <c r="AB781" s="3" t="str">
        <f t="shared" si="6"/>
        <v>____</v>
      </c>
    </row>
    <row r="782" spans="1:30" ht="12.5">
      <c r="A782" s="3">
        <v>781</v>
      </c>
      <c r="C782" s="3" t="s">
        <v>122</v>
      </c>
      <c r="E782" s="3" t="s">
        <v>123</v>
      </c>
      <c r="F782" s="3"/>
      <c r="H782" s="3" t="s">
        <v>35</v>
      </c>
      <c r="I782" s="3">
        <v>3</v>
      </c>
      <c r="J782" s="3">
        <v>2.7</v>
      </c>
      <c r="K782" s="3">
        <v>3.1</v>
      </c>
      <c r="L782" s="3">
        <v>3</v>
      </c>
      <c r="M782" s="3" t="s">
        <v>36</v>
      </c>
      <c r="N782" s="3">
        <v>9</v>
      </c>
      <c r="O782" s="3">
        <v>8</v>
      </c>
      <c r="P782" s="3">
        <v>8</v>
      </c>
      <c r="R782" s="3">
        <v>0</v>
      </c>
      <c r="S782" s="3">
        <v>0</v>
      </c>
      <c r="T782" s="3">
        <v>2.2970000000000001E-2</v>
      </c>
      <c r="U782" s="3">
        <v>2.2100000000000002E-3</v>
      </c>
      <c r="V782" s="3">
        <v>0</v>
      </c>
      <c r="W782" s="3">
        <v>0</v>
      </c>
      <c r="AA782" s="3" t="str">
        <f t="shared" si="7"/>
        <v>KIL___vv</v>
      </c>
      <c r="AB782" s="3" t="str">
        <f t="shared" si="6"/>
        <v>KIL___vv_3</v>
      </c>
      <c r="AD782" s="3" t="s">
        <v>37</v>
      </c>
    </row>
    <row r="783" spans="1:30" ht="12.5">
      <c r="A783" s="3">
        <v>782</v>
      </c>
      <c r="F783" s="3"/>
      <c r="H783" s="3"/>
      <c r="M783" s="3" t="s">
        <v>38</v>
      </c>
      <c r="N783" s="3">
        <v>11</v>
      </c>
      <c r="O783" s="3">
        <v>4</v>
      </c>
      <c r="P783" s="3">
        <v>8</v>
      </c>
      <c r="S783" s="3">
        <v>0</v>
      </c>
      <c r="T783" s="3">
        <v>2.1489999999999999E-2</v>
      </c>
      <c r="U783" s="3">
        <v>4.1700000000000001E-3</v>
      </c>
      <c r="V783" s="3">
        <v>0</v>
      </c>
      <c r="W783" s="3">
        <v>0</v>
      </c>
      <c r="AA783" s="3" t="str">
        <f t="shared" si="7"/>
        <v>___</v>
      </c>
      <c r="AB783" s="3" t="str">
        <f t="shared" si="6"/>
        <v>____</v>
      </c>
    </row>
    <row r="784" spans="1:30" ht="12.5">
      <c r="A784" s="3">
        <v>783</v>
      </c>
      <c r="F784" s="3"/>
      <c r="H784" s="3"/>
      <c r="M784" s="3" t="s">
        <v>39</v>
      </c>
      <c r="N784" s="3">
        <v>11</v>
      </c>
      <c r="O784" s="3">
        <v>0</v>
      </c>
      <c r="P784" s="3">
        <v>2</v>
      </c>
      <c r="Q784" s="3">
        <v>2</v>
      </c>
      <c r="R784" s="3">
        <v>2</v>
      </c>
      <c r="S784" s="3">
        <v>0</v>
      </c>
      <c r="T784" s="3">
        <v>0</v>
      </c>
      <c r="U784" s="3">
        <v>7.3499999999999998E-3</v>
      </c>
      <c r="V784" s="3">
        <v>6.9790000000000005E-2</v>
      </c>
      <c r="W784" s="3">
        <v>0</v>
      </c>
      <c r="Y784" s="3" t="s">
        <v>126</v>
      </c>
      <c r="AA784" s="3" t="str">
        <f t="shared" si="7"/>
        <v>___</v>
      </c>
      <c r="AB784" s="3" t="str">
        <f t="shared" si="6"/>
        <v>____</v>
      </c>
    </row>
    <row r="785" spans="1:30" ht="12.5">
      <c r="A785" s="3">
        <v>784</v>
      </c>
      <c r="C785" s="7" t="s">
        <v>122</v>
      </c>
      <c r="E785" s="3" t="s">
        <v>123</v>
      </c>
      <c r="F785" s="3"/>
      <c r="H785" s="3" t="s">
        <v>35</v>
      </c>
      <c r="I785" s="3">
        <v>4</v>
      </c>
      <c r="J785" s="3">
        <v>14</v>
      </c>
      <c r="K785" s="3">
        <v>11.7</v>
      </c>
      <c r="L785" s="3">
        <v>4</v>
      </c>
      <c r="M785" s="3" t="s">
        <v>36</v>
      </c>
      <c r="N785" s="3">
        <v>40</v>
      </c>
      <c r="O785" s="3">
        <v>7</v>
      </c>
      <c r="P785" s="3">
        <v>9</v>
      </c>
      <c r="R785" s="3">
        <v>0</v>
      </c>
      <c r="S785" s="3">
        <v>0</v>
      </c>
      <c r="T785" s="3">
        <v>9.0649999999999994E-2</v>
      </c>
      <c r="U785" s="3">
        <v>1.3990000000000001E-2</v>
      </c>
      <c r="V785" s="3">
        <v>0</v>
      </c>
      <c r="W785" s="3">
        <v>0</v>
      </c>
      <c r="Y785" s="3" t="s">
        <v>127</v>
      </c>
      <c r="AA785" s="3" t="str">
        <f t="shared" si="7"/>
        <v>KIL___vv</v>
      </c>
      <c r="AB785" s="3" t="str">
        <f t="shared" si="6"/>
        <v>KIL___vv_4</v>
      </c>
      <c r="AD785" s="3" t="s">
        <v>37</v>
      </c>
    </row>
    <row r="786" spans="1:30" ht="12.5">
      <c r="A786" s="3">
        <v>785</v>
      </c>
      <c r="F786" s="3"/>
      <c r="H786" s="3"/>
      <c r="M786" s="3" t="s">
        <v>38</v>
      </c>
      <c r="N786" s="3">
        <v>30</v>
      </c>
      <c r="O786" s="3">
        <v>6</v>
      </c>
      <c r="P786" s="3">
        <v>19</v>
      </c>
      <c r="R786" s="3">
        <v>0</v>
      </c>
      <c r="S786" s="3">
        <v>0</v>
      </c>
      <c r="T786" s="3">
        <v>4.657E-2</v>
      </c>
      <c r="U786" s="3">
        <v>1.4970000000000001E-2</v>
      </c>
      <c r="V786" s="3">
        <v>0</v>
      </c>
      <c r="W786" s="3">
        <v>0</v>
      </c>
      <c r="AA786" s="3" t="str">
        <f t="shared" si="7"/>
        <v>___</v>
      </c>
      <c r="AB786" s="3" t="str">
        <f t="shared" si="6"/>
        <v>____</v>
      </c>
    </row>
    <row r="787" spans="1:30" ht="12.5">
      <c r="A787" s="3">
        <v>786</v>
      </c>
      <c r="F787" s="3"/>
      <c r="H787" s="3"/>
      <c r="M787" s="3" t="s">
        <v>39</v>
      </c>
      <c r="N787" s="3">
        <v>40</v>
      </c>
      <c r="O787" s="3">
        <v>2</v>
      </c>
      <c r="P787" s="3">
        <v>8</v>
      </c>
      <c r="R787" s="3">
        <v>0</v>
      </c>
      <c r="S787" s="3">
        <v>0</v>
      </c>
      <c r="T787" s="3">
        <v>1.1939999999999999E-2</v>
      </c>
      <c r="U787" s="3">
        <v>2.111E-2</v>
      </c>
      <c r="V787" s="3">
        <v>0</v>
      </c>
      <c r="W787" s="3">
        <v>0</v>
      </c>
      <c r="AA787" s="3" t="str">
        <f t="shared" si="7"/>
        <v>___</v>
      </c>
      <c r="AB787" s="3" t="str">
        <f t="shared" si="6"/>
        <v>____</v>
      </c>
    </row>
    <row r="788" spans="1:30" ht="12.5">
      <c r="A788" s="3">
        <v>787</v>
      </c>
      <c r="C788" s="7" t="s">
        <v>122</v>
      </c>
      <c r="E788" s="3" t="s">
        <v>123</v>
      </c>
      <c r="F788" s="3"/>
      <c r="H788" s="3" t="s">
        <v>35</v>
      </c>
      <c r="I788" s="3">
        <v>5</v>
      </c>
      <c r="J788" s="3">
        <v>15.5</v>
      </c>
      <c r="K788" s="3">
        <v>19.399999999999999</v>
      </c>
      <c r="L788" s="3">
        <v>5</v>
      </c>
      <c r="M788" s="3" t="s">
        <v>36</v>
      </c>
      <c r="N788" s="3">
        <v>38</v>
      </c>
      <c r="O788" s="3">
        <v>9</v>
      </c>
      <c r="P788" s="3">
        <v>10</v>
      </c>
      <c r="R788" s="3">
        <v>0</v>
      </c>
      <c r="S788" s="3">
        <v>0</v>
      </c>
      <c r="T788" s="3">
        <v>0.10333000000000001</v>
      </c>
      <c r="U788" s="3">
        <v>1.3599999999999999E-2</v>
      </c>
      <c r="V788" s="3">
        <v>0</v>
      </c>
      <c r="W788" s="3">
        <v>0</v>
      </c>
      <c r="AA788" s="3" t="str">
        <f t="shared" si="7"/>
        <v>KIL___vv</v>
      </c>
      <c r="AB788" s="3" t="str">
        <f t="shared" si="6"/>
        <v>KIL___vv_5</v>
      </c>
      <c r="AD788" s="3" t="s">
        <v>37</v>
      </c>
    </row>
    <row r="789" spans="1:30" ht="12.5">
      <c r="A789" s="3">
        <v>788</v>
      </c>
      <c r="F789" s="3"/>
      <c r="H789" s="3"/>
      <c r="M789" s="3" t="s">
        <v>38</v>
      </c>
      <c r="N789" s="3">
        <v>43</v>
      </c>
      <c r="O789" s="3">
        <v>8</v>
      </c>
      <c r="P789" s="3">
        <v>11</v>
      </c>
      <c r="Q789" s="3">
        <v>1</v>
      </c>
      <c r="R789" s="3">
        <v>1</v>
      </c>
      <c r="S789" s="3">
        <v>0</v>
      </c>
      <c r="T789" s="3">
        <v>0.13716999999999999</v>
      </c>
      <c r="U789" s="3">
        <v>3.0550000000000001E-2</v>
      </c>
      <c r="V789" s="3">
        <v>5.722E-2</v>
      </c>
      <c r="W789" s="3">
        <v>0</v>
      </c>
      <c r="AA789" s="3" t="str">
        <f t="shared" si="7"/>
        <v>___</v>
      </c>
      <c r="AB789" s="3" t="str">
        <f t="shared" si="6"/>
        <v>____</v>
      </c>
    </row>
    <row r="790" spans="1:30" ht="12.5">
      <c r="A790" s="3">
        <v>789</v>
      </c>
      <c r="F790" s="3"/>
      <c r="H790" s="3"/>
      <c r="M790" s="3" t="s">
        <v>39</v>
      </c>
      <c r="N790" s="3">
        <v>60</v>
      </c>
      <c r="O790" s="3">
        <v>6</v>
      </c>
      <c r="P790" s="3">
        <v>11</v>
      </c>
      <c r="R790" s="3">
        <v>0</v>
      </c>
      <c r="S790" s="3">
        <v>0</v>
      </c>
      <c r="T790" s="3">
        <v>8.5790000000000005E-2</v>
      </c>
      <c r="U790" s="3">
        <v>5.0770000000000003E-2</v>
      </c>
      <c r="V790" s="3">
        <v>0</v>
      </c>
      <c r="W790" s="3">
        <v>0</v>
      </c>
      <c r="AA790" s="3" t="str">
        <f t="shared" si="7"/>
        <v>___</v>
      </c>
      <c r="AB790" s="3" t="str">
        <f t="shared" si="6"/>
        <v>____</v>
      </c>
    </row>
    <row r="791" spans="1:30" ht="12.5">
      <c r="A791" s="3">
        <v>790</v>
      </c>
      <c r="C791" s="7" t="s">
        <v>122</v>
      </c>
      <c r="E791" s="3" t="s">
        <v>123</v>
      </c>
      <c r="F791" s="3"/>
      <c r="H791" s="3" t="s">
        <v>35</v>
      </c>
      <c r="I791" s="3">
        <v>6</v>
      </c>
      <c r="J791" s="3">
        <v>11.6</v>
      </c>
      <c r="K791" s="3">
        <v>15.3</v>
      </c>
      <c r="L791" s="3">
        <v>7</v>
      </c>
      <c r="M791" s="3" t="s">
        <v>36</v>
      </c>
      <c r="N791" s="3" t="s">
        <v>47</v>
      </c>
      <c r="O791" s="3" t="s">
        <v>47</v>
      </c>
      <c r="P791" s="3" t="s">
        <v>47</v>
      </c>
      <c r="Q791" s="3" t="s">
        <v>47</v>
      </c>
      <c r="R791" s="3" t="s">
        <v>47</v>
      </c>
      <c r="S791" s="3" t="s">
        <v>47</v>
      </c>
      <c r="T791" s="3" t="s">
        <v>47</v>
      </c>
      <c r="U791" s="3" t="s">
        <v>47</v>
      </c>
      <c r="V791" s="3" t="s">
        <v>47</v>
      </c>
      <c r="W791" s="3" t="s">
        <v>47</v>
      </c>
      <c r="Y791" s="3" t="s">
        <v>128</v>
      </c>
      <c r="AA791" s="3" t="str">
        <f t="shared" si="7"/>
        <v>KIL___vv</v>
      </c>
      <c r="AB791" s="3" t="str">
        <f t="shared" si="6"/>
        <v>KIL___vv_6</v>
      </c>
      <c r="AD791" s="3" t="s">
        <v>37</v>
      </c>
    </row>
    <row r="792" spans="1:30" ht="12.5">
      <c r="A792" s="3">
        <v>791</v>
      </c>
      <c r="F792" s="3"/>
      <c r="H792" s="3"/>
      <c r="M792" s="3" t="s">
        <v>38</v>
      </c>
      <c r="N792" s="3">
        <v>20</v>
      </c>
      <c r="O792" s="3">
        <v>8</v>
      </c>
      <c r="P792" s="3">
        <v>8</v>
      </c>
      <c r="R792" s="3">
        <v>0</v>
      </c>
      <c r="S792" s="3">
        <v>0</v>
      </c>
      <c r="T792" s="3">
        <v>9.3990000000000004E-2</v>
      </c>
      <c r="U792" s="3">
        <v>1.0059999999999999E-2</v>
      </c>
      <c r="V792" s="3">
        <v>0</v>
      </c>
      <c r="W792" s="3">
        <v>0</v>
      </c>
      <c r="AA792" s="3" t="str">
        <f t="shared" si="7"/>
        <v>___</v>
      </c>
      <c r="AB792" s="3" t="str">
        <f t="shared" si="6"/>
        <v>____</v>
      </c>
    </row>
    <row r="793" spans="1:30" ht="12.5">
      <c r="A793" s="3">
        <v>792</v>
      </c>
      <c r="F793" s="3"/>
      <c r="H793" s="3"/>
      <c r="M793" s="3" t="s">
        <v>39</v>
      </c>
      <c r="N793" s="3">
        <v>24</v>
      </c>
      <c r="O793" s="3">
        <v>5</v>
      </c>
      <c r="P793" s="3">
        <v>10</v>
      </c>
      <c r="R793" s="3">
        <v>0</v>
      </c>
      <c r="S793" s="3">
        <v>0</v>
      </c>
      <c r="T793" s="3">
        <v>8.5500000000000007E-2</v>
      </c>
      <c r="U793" s="3">
        <v>1.4449999999999999E-2</v>
      </c>
      <c r="V793" s="3">
        <v>0</v>
      </c>
      <c r="W793" s="3">
        <v>0</v>
      </c>
      <c r="AA793" s="3" t="str">
        <f t="shared" si="7"/>
        <v>___</v>
      </c>
      <c r="AB793" s="3" t="str">
        <f t="shared" si="6"/>
        <v>____</v>
      </c>
    </row>
    <row r="794" spans="1:30" ht="12.5">
      <c r="A794" s="3">
        <v>793</v>
      </c>
      <c r="C794" s="7" t="s">
        <v>122</v>
      </c>
      <c r="E794" s="3" t="s">
        <v>123</v>
      </c>
      <c r="F794" s="3"/>
      <c r="H794" s="3" t="s">
        <v>40</v>
      </c>
      <c r="I794" s="3">
        <v>1</v>
      </c>
      <c r="J794" s="3">
        <v>10</v>
      </c>
      <c r="K794" s="3">
        <v>9.1999999999999993</v>
      </c>
      <c r="L794" s="3">
        <v>3</v>
      </c>
      <c r="M794" s="3" t="s">
        <v>36</v>
      </c>
      <c r="N794" s="3">
        <v>28</v>
      </c>
      <c r="O794" s="3">
        <v>6</v>
      </c>
      <c r="P794" s="3">
        <v>16</v>
      </c>
      <c r="R794" s="3">
        <v>0</v>
      </c>
      <c r="S794" s="3">
        <v>0</v>
      </c>
      <c r="T794" s="3">
        <v>3.2530000000000003E-2</v>
      </c>
      <c r="U794" s="3">
        <v>1.226E-2</v>
      </c>
      <c r="V794" s="3">
        <v>0</v>
      </c>
      <c r="W794" s="3">
        <v>0</v>
      </c>
      <c r="AA794" s="3" t="str">
        <f t="shared" si="7"/>
        <v>KIL___vm</v>
      </c>
      <c r="AB794" s="3" t="str">
        <f t="shared" si="6"/>
        <v>KIL___vm_1</v>
      </c>
      <c r="AD794" s="3" t="s">
        <v>37</v>
      </c>
    </row>
    <row r="795" spans="1:30" ht="12.5">
      <c r="A795" s="3">
        <v>794</v>
      </c>
      <c r="F795" s="3"/>
      <c r="H795" s="3"/>
      <c r="M795" s="3" t="s">
        <v>38</v>
      </c>
      <c r="N795" s="3">
        <v>46</v>
      </c>
      <c r="O795" s="3">
        <v>0</v>
      </c>
      <c r="P795" s="3">
        <v>4</v>
      </c>
      <c r="Q795" s="3">
        <v>3</v>
      </c>
      <c r="R795" s="3">
        <v>3</v>
      </c>
      <c r="S795" s="3">
        <v>0</v>
      </c>
      <c r="T795" s="3">
        <v>0</v>
      </c>
      <c r="U795" s="3">
        <v>4.215E-2</v>
      </c>
      <c r="V795" s="3">
        <v>9.2759999999999995E-2</v>
      </c>
      <c r="W795" s="3">
        <v>0</v>
      </c>
      <c r="AA795" s="3" t="str">
        <f t="shared" si="7"/>
        <v>___</v>
      </c>
      <c r="AB795" s="3" t="str">
        <f t="shared" si="6"/>
        <v>____</v>
      </c>
    </row>
    <row r="796" spans="1:30" ht="12.5">
      <c r="A796" s="3">
        <v>795</v>
      </c>
      <c r="F796" s="3"/>
      <c r="H796" s="3"/>
      <c r="M796" s="3" t="s">
        <v>39</v>
      </c>
      <c r="N796" s="3">
        <v>21</v>
      </c>
      <c r="O796" s="3">
        <v>0</v>
      </c>
      <c r="P796" s="3">
        <v>2</v>
      </c>
      <c r="R796" s="3">
        <v>0</v>
      </c>
      <c r="S796" s="3">
        <v>0</v>
      </c>
      <c r="T796" s="3">
        <v>0</v>
      </c>
      <c r="U796" s="3">
        <v>2.622E-2</v>
      </c>
      <c r="V796" s="3">
        <v>0</v>
      </c>
      <c r="W796" s="3">
        <v>0</v>
      </c>
      <c r="AA796" s="3" t="str">
        <f t="shared" si="7"/>
        <v>___</v>
      </c>
      <c r="AB796" s="3" t="str">
        <f t="shared" si="6"/>
        <v>____</v>
      </c>
    </row>
    <row r="797" spans="1:30" ht="12.5">
      <c r="A797" s="3">
        <v>796</v>
      </c>
      <c r="C797" s="7" t="s">
        <v>122</v>
      </c>
      <c r="E797" s="3" t="s">
        <v>123</v>
      </c>
      <c r="F797" s="3"/>
      <c r="H797" s="3" t="s">
        <v>40</v>
      </c>
      <c r="I797" s="3">
        <v>2</v>
      </c>
      <c r="J797" s="3">
        <v>9.4</v>
      </c>
      <c r="K797" s="3">
        <v>7.4</v>
      </c>
      <c r="L797" s="3">
        <v>2</v>
      </c>
      <c r="M797" s="3" t="s">
        <v>36</v>
      </c>
      <c r="N797" s="3">
        <v>40</v>
      </c>
      <c r="O797" s="3">
        <v>8</v>
      </c>
      <c r="P797" s="3">
        <v>8</v>
      </c>
      <c r="R797" s="3">
        <v>0</v>
      </c>
      <c r="S797" s="3">
        <v>0</v>
      </c>
      <c r="T797" s="3">
        <v>4.5530000000000001E-2</v>
      </c>
      <c r="U797" s="3">
        <v>2.5059999999999999E-2</v>
      </c>
      <c r="V797" s="3">
        <v>0</v>
      </c>
      <c r="W797" s="3">
        <v>0</v>
      </c>
      <c r="AA797" s="3" t="str">
        <f t="shared" si="7"/>
        <v>KIL___vm</v>
      </c>
      <c r="AB797" s="3" t="str">
        <f t="shared" si="6"/>
        <v>KIL___vm_2</v>
      </c>
      <c r="AD797" s="3" t="s">
        <v>37</v>
      </c>
    </row>
    <row r="798" spans="1:30" ht="12.5">
      <c r="A798" s="3">
        <v>797</v>
      </c>
      <c r="F798" s="3"/>
      <c r="H798" s="3"/>
      <c r="M798" s="3" t="s">
        <v>38</v>
      </c>
      <c r="N798" s="3">
        <v>40</v>
      </c>
      <c r="O798" s="3">
        <v>0</v>
      </c>
      <c r="P798" s="3">
        <v>2</v>
      </c>
      <c r="Q798" s="3">
        <v>3</v>
      </c>
      <c r="R798" s="3">
        <v>3</v>
      </c>
      <c r="S798" s="3">
        <v>0</v>
      </c>
      <c r="T798" s="3">
        <v>0</v>
      </c>
      <c r="U798" s="3">
        <v>3.6670000000000001E-2</v>
      </c>
      <c r="V798" s="3">
        <v>9.7890000000000005E-2</v>
      </c>
      <c r="W798" s="3">
        <v>0</v>
      </c>
      <c r="AA798" s="3" t="str">
        <f t="shared" si="7"/>
        <v>___</v>
      </c>
      <c r="AB798" s="3" t="str">
        <f t="shared" si="6"/>
        <v>____</v>
      </c>
    </row>
    <row r="799" spans="1:30" ht="12.5">
      <c r="A799" s="3">
        <v>798</v>
      </c>
      <c r="F799" s="3"/>
      <c r="H799" s="3"/>
      <c r="M799" s="3" t="s">
        <v>39</v>
      </c>
      <c r="N799" s="3" t="s">
        <v>47</v>
      </c>
      <c r="O799" s="3" t="s">
        <v>47</v>
      </c>
      <c r="P799" s="3" t="s">
        <v>47</v>
      </c>
      <c r="Q799" s="3" t="s">
        <v>47</v>
      </c>
      <c r="R799" s="3" t="s">
        <v>47</v>
      </c>
      <c r="S799" s="3" t="s">
        <v>47</v>
      </c>
      <c r="T799" s="3" t="s">
        <v>47</v>
      </c>
      <c r="U799" s="3" t="s">
        <v>47</v>
      </c>
      <c r="V799" s="3" t="s">
        <v>47</v>
      </c>
      <c r="W799" s="3" t="s">
        <v>47</v>
      </c>
      <c r="Y799" s="3" t="s">
        <v>56</v>
      </c>
      <c r="AA799" s="3" t="str">
        <f t="shared" si="7"/>
        <v>___</v>
      </c>
      <c r="AB799" s="3" t="str">
        <f t="shared" si="6"/>
        <v>____</v>
      </c>
    </row>
    <row r="800" spans="1:30" ht="12.5">
      <c r="A800" s="3">
        <v>799</v>
      </c>
      <c r="C800" s="7" t="s">
        <v>122</v>
      </c>
      <c r="E800" s="3" t="s">
        <v>123</v>
      </c>
      <c r="F800" s="3"/>
      <c r="H800" s="3" t="s">
        <v>40</v>
      </c>
      <c r="I800" s="3">
        <v>3</v>
      </c>
      <c r="J800" s="3">
        <v>10.3</v>
      </c>
      <c r="K800" s="3">
        <v>7.3</v>
      </c>
      <c r="L800" s="3">
        <v>3</v>
      </c>
      <c r="M800" s="3" t="s">
        <v>36</v>
      </c>
      <c r="N800" s="3">
        <v>10</v>
      </c>
      <c r="O800" s="3">
        <v>4</v>
      </c>
      <c r="P800" s="3">
        <v>4</v>
      </c>
      <c r="R800" s="3">
        <v>0</v>
      </c>
      <c r="S800" s="3">
        <v>0</v>
      </c>
      <c r="T800" s="3">
        <v>1.414E-2</v>
      </c>
      <c r="U800" s="3">
        <v>2.6800000000000001E-3</v>
      </c>
      <c r="V800" s="3">
        <v>0</v>
      </c>
      <c r="W800" s="3">
        <v>1.7860000000000001E-2</v>
      </c>
      <c r="AA800" s="3" t="str">
        <f t="shared" si="7"/>
        <v>KIL___vm</v>
      </c>
      <c r="AB800" s="3" t="str">
        <f t="shared" si="6"/>
        <v>KIL___vm_3</v>
      </c>
      <c r="AD800" s="3" t="s">
        <v>37</v>
      </c>
    </row>
    <row r="801" spans="1:30" ht="12.5">
      <c r="A801" s="3">
        <v>800</v>
      </c>
      <c r="F801" s="3"/>
      <c r="H801" s="3"/>
      <c r="M801" s="3" t="s">
        <v>38</v>
      </c>
      <c r="N801" s="3">
        <v>36</v>
      </c>
      <c r="O801" s="3">
        <v>0</v>
      </c>
      <c r="P801" s="3">
        <v>3</v>
      </c>
      <c r="Q801" s="3">
        <v>3</v>
      </c>
      <c r="R801" s="3">
        <v>3</v>
      </c>
      <c r="S801" s="3">
        <v>0</v>
      </c>
      <c r="T801" s="3">
        <v>0</v>
      </c>
      <c r="U801" s="3">
        <v>2.2249999999999999E-2</v>
      </c>
      <c r="V801" s="3">
        <v>4.8430000000000001E-2</v>
      </c>
      <c r="W801" s="3">
        <v>0</v>
      </c>
      <c r="AA801" s="3" t="str">
        <f t="shared" si="7"/>
        <v>___</v>
      </c>
      <c r="AB801" s="3" t="str">
        <f t="shared" si="6"/>
        <v>____</v>
      </c>
    </row>
    <row r="802" spans="1:30" ht="12.5">
      <c r="A802" s="3">
        <v>801</v>
      </c>
      <c r="F802" s="3"/>
      <c r="H802" s="3"/>
      <c r="M802" s="3" t="s">
        <v>39</v>
      </c>
      <c r="N802" s="3">
        <v>32</v>
      </c>
      <c r="O802" s="3">
        <v>0</v>
      </c>
      <c r="P802" s="3">
        <v>2</v>
      </c>
      <c r="Q802" s="3">
        <v>2</v>
      </c>
      <c r="R802" s="3">
        <v>2</v>
      </c>
      <c r="S802" s="3">
        <v>0</v>
      </c>
      <c r="T802" s="3">
        <v>0</v>
      </c>
      <c r="U802" s="3">
        <v>2.7310000000000001E-2</v>
      </c>
      <c r="V802" s="3">
        <v>9.6689999999999998E-2</v>
      </c>
      <c r="W802" s="3">
        <v>0</v>
      </c>
      <c r="AA802" s="3" t="str">
        <f t="shared" si="7"/>
        <v>___</v>
      </c>
      <c r="AB802" s="3" t="str">
        <f t="shared" si="6"/>
        <v>____</v>
      </c>
    </row>
    <row r="803" spans="1:30" ht="12.5">
      <c r="A803" s="3">
        <v>802</v>
      </c>
      <c r="C803" s="7" t="s">
        <v>122</v>
      </c>
      <c r="E803" s="3" t="s">
        <v>123</v>
      </c>
      <c r="F803" s="3"/>
      <c r="H803" s="3" t="s">
        <v>40</v>
      </c>
      <c r="I803" s="3">
        <v>4</v>
      </c>
      <c r="J803" s="3">
        <v>18.3</v>
      </c>
      <c r="K803" s="3">
        <v>15.9</v>
      </c>
      <c r="L803" s="3">
        <v>5</v>
      </c>
      <c r="M803" s="3" t="s">
        <v>36</v>
      </c>
      <c r="N803" s="3">
        <v>42</v>
      </c>
      <c r="O803" s="3">
        <v>6</v>
      </c>
      <c r="P803" s="3">
        <v>6</v>
      </c>
      <c r="Q803" s="3">
        <v>0</v>
      </c>
      <c r="R803" s="3">
        <v>0</v>
      </c>
      <c r="S803" s="3">
        <v>1</v>
      </c>
      <c r="T803" s="3">
        <v>2.9919999999999999E-2</v>
      </c>
      <c r="U803" s="3">
        <v>1.474E-2</v>
      </c>
      <c r="V803" s="3">
        <v>0</v>
      </c>
      <c r="W803" s="3">
        <v>1.336E-2</v>
      </c>
      <c r="AA803" s="3" t="str">
        <f t="shared" si="7"/>
        <v>KIL___vm</v>
      </c>
      <c r="AB803" s="3" t="str">
        <f t="shared" si="6"/>
        <v>KIL___vm_4</v>
      </c>
      <c r="AD803" s="3" t="s">
        <v>37</v>
      </c>
    </row>
    <row r="804" spans="1:30" ht="12.5">
      <c r="A804" s="3">
        <v>803</v>
      </c>
      <c r="F804" s="3"/>
      <c r="H804" s="3"/>
      <c r="M804" s="3" t="s">
        <v>38</v>
      </c>
      <c r="N804" s="3">
        <v>56</v>
      </c>
      <c r="O804" s="3">
        <v>0</v>
      </c>
      <c r="P804" s="3">
        <v>3</v>
      </c>
      <c r="Q804" s="3">
        <v>3</v>
      </c>
      <c r="R804" s="3">
        <v>2</v>
      </c>
      <c r="S804" s="3">
        <v>0</v>
      </c>
      <c r="T804" s="3">
        <v>0</v>
      </c>
      <c r="U804" s="3">
        <v>7.8750000000000001E-2</v>
      </c>
      <c r="V804" s="3">
        <v>0.14940999999999999</v>
      </c>
      <c r="W804" s="3">
        <v>0</v>
      </c>
      <c r="AA804" s="3" t="str">
        <f t="shared" si="7"/>
        <v>___</v>
      </c>
      <c r="AB804" s="3" t="str">
        <f t="shared" si="6"/>
        <v>____</v>
      </c>
    </row>
    <row r="805" spans="1:30" ht="12.5">
      <c r="A805" s="3">
        <v>804</v>
      </c>
      <c r="F805" s="3"/>
      <c r="H805" s="3"/>
      <c r="M805" s="3" t="s">
        <v>39</v>
      </c>
      <c r="N805" s="3">
        <v>48</v>
      </c>
      <c r="O805" s="3">
        <v>0</v>
      </c>
      <c r="P805" s="3">
        <v>4</v>
      </c>
      <c r="Q805" s="3">
        <v>1</v>
      </c>
      <c r="R805" s="3">
        <v>0</v>
      </c>
      <c r="S805" s="3">
        <v>0</v>
      </c>
      <c r="T805" s="3">
        <v>0</v>
      </c>
      <c r="U805" s="3">
        <v>9.0590000000000004E-2</v>
      </c>
      <c r="V805" s="3">
        <v>0.26907999999999999</v>
      </c>
      <c r="W805" s="3">
        <v>0</v>
      </c>
      <c r="AA805" s="3" t="str">
        <f t="shared" si="7"/>
        <v>___</v>
      </c>
      <c r="AB805" s="3" t="str">
        <f t="shared" si="6"/>
        <v>____</v>
      </c>
    </row>
    <row r="806" spans="1:30" ht="12.5">
      <c r="A806" s="3">
        <v>805</v>
      </c>
      <c r="C806" s="7" t="s">
        <v>122</v>
      </c>
      <c r="E806" s="3" t="s">
        <v>123</v>
      </c>
      <c r="F806" s="3"/>
      <c r="H806" s="3" t="s">
        <v>40</v>
      </c>
      <c r="I806" s="3">
        <v>5</v>
      </c>
      <c r="J806" s="3">
        <v>22.1</v>
      </c>
      <c r="K806" s="3">
        <v>17.3</v>
      </c>
      <c r="L806" s="3">
        <v>3</v>
      </c>
      <c r="M806" s="3" t="s">
        <v>36</v>
      </c>
      <c r="N806" s="3">
        <v>32</v>
      </c>
      <c r="O806" s="3">
        <v>5</v>
      </c>
      <c r="P806" s="3">
        <v>5</v>
      </c>
      <c r="Q806" s="3">
        <v>0</v>
      </c>
      <c r="R806" s="3">
        <v>0</v>
      </c>
      <c r="S806" s="3">
        <v>0</v>
      </c>
      <c r="T806" s="3">
        <v>2.8989999999999998E-2</v>
      </c>
      <c r="U806" s="3">
        <v>1.076E-2</v>
      </c>
      <c r="V806" s="3">
        <v>0</v>
      </c>
      <c r="W806" s="3">
        <v>3.848E-2</v>
      </c>
      <c r="AA806" s="3" t="str">
        <f t="shared" si="7"/>
        <v>KIL___vm</v>
      </c>
      <c r="AB806" s="3" t="str">
        <f t="shared" si="6"/>
        <v>KIL___vm_5</v>
      </c>
      <c r="AD806" s="3" t="s">
        <v>37</v>
      </c>
    </row>
    <row r="807" spans="1:30" ht="12.5">
      <c r="A807" s="3">
        <v>806</v>
      </c>
      <c r="F807" s="3"/>
      <c r="H807" s="3"/>
      <c r="M807" s="3" t="s">
        <v>38</v>
      </c>
      <c r="N807" s="3">
        <v>88</v>
      </c>
      <c r="O807" s="3">
        <v>0</v>
      </c>
      <c r="P807" s="3">
        <v>3</v>
      </c>
      <c r="Q807" s="3">
        <v>5</v>
      </c>
      <c r="R807" s="3">
        <v>4</v>
      </c>
      <c r="S807" s="3">
        <v>0</v>
      </c>
      <c r="T807" s="3">
        <v>0</v>
      </c>
      <c r="U807" s="3">
        <v>7.8750000000000001E-2</v>
      </c>
      <c r="V807" s="3">
        <v>0.14940999999999999</v>
      </c>
      <c r="W807" s="3">
        <v>0</v>
      </c>
      <c r="AA807" s="3" t="str">
        <f t="shared" si="7"/>
        <v>___</v>
      </c>
      <c r="AB807" s="3" t="str">
        <f t="shared" si="6"/>
        <v>____</v>
      </c>
    </row>
    <row r="808" spans="1:30" ht="12.5">
      <c r="A808" s="3">
        <v>807</v>
      </c>
      <c r="F808" s="3"/>
      <c r="H808" s="3"/>
      <c r="M808" s="3" t="s">
        <v>39</v>
      </c>
      <c r="N808" s="3">
        <v>60</v>
      </c>
      <c r="O808" s="3">
        <v>0</v>
      </c>
      <c r="P808" s="3">
        <v>2</v>
      </c>
      <c r="Q808" s="3">
        <v>2</v>
      </c>
      <c r="R808" s="3">
        <v>1</v>
      </c>
      <c r="S808" s="3">
        <v>0</v>
      </c>
      <c r="T808" s="3">
        <v>0</v>
      </c>
      <c r="U808" s="3">
        <v>9.0590000000000004E-2</v>
      </c>
      <c r="V808" s="3">
        <v>0.26907999999999999</v>
      </c>
      <c r="W808" s="3">
        <v>0</v>
      </c>
      <c r="AA808" s="3" t="str">
        <f t="shared" si="7"/>
        <v>___</v>
      </c>
      <c r="AB808" s="3" t="str">
        <f t="shared" si="6"/>
        <v>____</v>
      </c>
    </row>
    <row r="809" spans="1:30" ht="12.5">
      <c r="A809" s="3">
        <v>808</v>
      </c>
      <c r="C809" s="3" t="s">
        <v>122</v>
      </c>
      <c r="E809" s="3" t="s">
        <v>123</v>
      </c>
      <c r="F809" s="3"/>
      <c r="H809" s="3" t="s">
        <v>40</v>
      </c>
      <c r="I809" s="3">
        <v>6</v>
      </c>
      <c r="J809" s="3">
        <v>19.5</v>
      </c>
      <c r="K809" s="3">
        <v>16.5</v>
      </c>
      <c r="L809" s="3">
        <v>3</v>
      </c>
      <c r="M809" s="3" t="s">
        <v>36</v>
      </c>
      <c r="N809" s="3">
        <v>85</v>
      </c>
      <c r="O809" s="3">
        <v>7</v>
      </c>
      <c r="P809" s="3">
        <v>8</v>
      </c>
      <c r="Q809" s="3">
        <v>0</v>
      </c>
      <c r="R809" s="3">
        <v>0</v>
      </c>
      <c r="S809" s="3">
        <v>0</v>
      </c>
      <c r="T809" s="3">
        <v>4.088E-2</v>
      </c>
      <c r="U809" s="3">
        <v>5.1409999999999997E-2</v>
      </c>
      <c r="V809" s="3">
        <v>0</v>
      </c>
      <c r="W809" s="3">
        <v>0</v>
      </c>
      <c r="AA809" s="3" t="str">
        <f t="shared" si="7"/>
        <v>KIL___vm</v>
      </c>
      <c r="AB809" s="3" t="str">
        <f t="shared" si="6"/>
        <v>KIL___vm_6</v>
      </c>
      <c r="AD809" s="3" t="s">
        <v>37</v>
      </c>
    </row>
    <row r="810" spans="1:30" ht="12.5">
      <c r="A810" s="3">
        <v>809</v>
      </c>
      <c r="F810" s="3"/>
      <c r="H810" s="3"/>
      <c r="M810" s="3" t="s">
        <v>38</v>
      </c>
      <c r="N810" s="3">
        <v>62</v>
      </c>
      <c r="O810" s="3">
        <v>0</v>
      </c>
      <c r="P810" s="3">
        <v>7</v>
      </c>
      <c r="Q810" s="3">
        <v>0</v>
      </c>
      <c r="R810" s="3">
        <v>0</v>
      </c>
      <c r="S810" s="3">
        <v>0</v>
      </c>
      <c r="T810" s="3">
        <v>0</v>
      </c>
      <c r="U810" s="3">
        <v>5.6550000000000003E-2</v>
      </c>
      <c r="V810" s="3">
        <v>0</v>
      </c>
      <c r="W810" s="3">
        <v>0</v>
      </c>
      <c r="AA810" s="3" t="str">
        <f t="shared" si="7"/>
        <v>___</v>
      </c>
      <c r="AB810" s="3" t="str">
        <f t="shared" si="6"/>
        <v>____</v>
      </c>
    </row>
    <row r="811" spans="1:30" ht="12.5">
      <c r="A811" s="3">
        <v>810</v>
      </c>
      <c r="F811" s="3"/>
      <c r="H811" s="3"/>
      <c r="M811" s="3" t="s">
        <v>39</v>
      </c>
      <c r="N811" s="3">
        <v>30</v>
      </c>
      <c r="O811" s="3">
        <v>0</v>
      </c>
      <c r="P811" s="3">
        <v>2</v>
      </c>
      <c r="Q811" s="3">
        <v>1</v>
      </c>
      <c r="R811" s="3">
        <v>1</v>
      </c>
      <c r="S811" s="3">
        <v>0</v>
      </c>
      <c r="T811" s="3">
        <v>0</v>
      </c>
      <c r="U811" s="3">
        <v>3.4079999999999999E-2</v>
      </c>
      <c r="V811" s="3">
        <v>0.14219999999999999</v>
      </c>
      <c r="W811" s="3">
        <v>0</v>
      </c>
      <c r="AA811" s="3" t="str">
        <f t="shared" si="7"/>
        <v>___</v>
      </c>
      <c r="AB811" s="3" t="str">
        <f t="shared" si="6"/>
        <v>____</v>
      </c>
    </row>
    <row r="812" spans="1:30" ht="12.5">
      <c r="A812" s="3">
        <v>811</v>
      </c>
      <c r="C812" s="6">
        <v>1358</v>
      </c>
      <c r="D812" s="6">
        <v>33</v>
      </c>
      <c r="F812" s="3"/>
      <c r="H812" s="3" t="s">
        <v>40</v>
      </c>
      <c r="I812" s="3">
        <v>1</v>
      </c>
      <c r="J812" s="3">
        <v>18.899999999999999</v>
      </c>
      <c r="K812" s="3">
        <v>16.600000000000001</v>
      </c>
      <c r="L812" s="3">
        <v>4</v>
      </c>
      <c r="M812" s="3" t="s">
        <v>36</v>
      </c>
      <c r="N812" s="3">
        <v>14</v>
      </c>
      <c r="O812" s="3">
        <v>4</v>
      </c>
      <c r="P812" s="3">
        <v>4</v>
      </c>
      <c r="Q812" s="3">
        <v>0</v>
      </c>
      <c r="R812" s="3">
        <v>0</v>
      </c>
      <c r="S812" s="3">
        <v>0</v>
      </c>
      <c r="T812" s="3">
        <v>7.7200000000000003E-3</v>
      </c>
      <c r="U812" s="3">
        <v>3.16E-3</v>
      </c>
      <c r="V812" s="3">
        <v>0</v>
      </c>
      <c r="W812" s="3">
        <v>0</v>
      </c>
      <c r="AA812" s="3" t="str">
        <f t="shared" si="7"/>
        <v>1358_33__vm</v>
      </c>
      <c r="AB812" s="3" t="str">
        <f t="shared" si="6"/>
        <v>1358_33__vm_1</v>
      </c>
      <c r="AD812" s="3" t="s">
        <v>37</v>
      </c>
    </row>
    <row r="813" spans="1:30" ht="12.5">
      <c r="A813" s="3">
        <v>812</v>
      </c>
      <c r="F813" s="3"/>
      <c r="H813" s="3"/>
      <c r="M813" s="3" t="s">
        <v>38</v>
      </c>
      <c r="N813" s="3">
        <v>39</v>
      </c>
      <c r="O813" s="3">
        <v>0</v>
      </c>
      <c r="P813" s="3">
        <v>6</v>
      </c>
      <c r="R813" s="3">
        <v>3</v>
      </c>
      <c r="S813" s="3">
        <v>0</v>
      </c>
      <c r="T813" s="3">
        <v>0</v>
      </c>
      <c r="U813" s="3">
        <v>2.4729999999999999E-2</v>
      </c>
      <c r="V813" s="3">
        <v>5.5599999999999998E-3</v>
      </c>
      <c r="W813" s="3">
        <v>0</v>
      </c>
      <c r="AA813" s="3" t="str">
        <f t="shared" si="7"/>
        <v>___</v>
      </c>
      <c r="AB813" s="3" t="str">
        <f t="shared" si="6"/>
        <v>____</v>
      </c>
    </row>
    <row r="814" spans="1:30" ht="12.5">
      <c r="A814" s="3">
        <v>813</v>
      </c>
      <c r="F814" s="3"/>
      <c r="H814" s="3"/>
      <c r="M814" s="3" t="s">
        <v>39</v>
      </c>
      <c r="N814" s="3">
        <v>79</v>
      </c>
      <c r="O814" s="3">
        <v>0</v>
      </c>
      <c r="P814" s="3">
        <v>10</v>
      </c>
      <c r="R814" s="3">
        <v>4</v>
      </c>
      <c r="S814" s="3">
        <v>0</v>
      </c>
      <c r="T814" s="3">
        <v>0</v>
      </c>
      <c r="U814" s="3">
        <v>0.12590999999999999</v>
      </c>
      <c r="V814" s="3">
        <v>0.11829000000000001</v>
      </c>
      <c r="W814" s="3">
        <v>0</v>
      </c>
      <c r="AA814" s="3" t="str">
        <f t="shared" si="7"/>
        <v>___</v>
      </c>
      <c r="AB814" s="3" t="str">
        <f t="shared" si="6"/>
        <v>____</v>
      </c>
    </row>
    <row r="815" spans="1:30" ht="12.5">
      <c r="A815" s="3">
        <v>814</v>
      </c>
      <c r="C815" s="7">
        <v>1358</v>
      </c>
      <c r="D815" s="3">
        <v>33</v>
      </c>
      <c r="F815" s="3"/>
      <c r="H815" s="3" t="s">
        <v>40</v>
      </c>
      <c r="I815" s="3">
        <v>2</v>
      </c>
      <c r="J815" s="3">
        <v>20.8</v>
      </c>
      <c r="K815" s="3">
        <v>20.9</v>
      </c>
      <c r="L815" s="3">
        <v>4</v>
      </c>
      <c r="M815" s="3" t="s">
        <v>36</v>
      </c>
      <c r="N815" s="3">
        <v>74</v>
      </c>
      <c r="O815" s="3">
        <v>8</v>
      </c>
      <c r="P815" s="3">
        <v>8</v>
      </c>
      <c r="R815" s="3">
        <v>0</v>
      </c>
      <c r="S815" s="3">
        <v>0</v>
      </c>
      <c r="T815" s="3">
        <v>5.7939999999999998E-2</v>
      </c>
      <c r="U815" s="3">
        <v>6.3539999999999999E-2</v>
      </c>
      <c r="V815" s="3">
        <v>0</v>
      </c>
      <c r="W815" s="3">
        <v>0</v>
      </c>
      <c r="AA815" s="3" t="str">
        <f t="shared" si="7"/>
        <v>1358_33__vm</v>
      </c>
      <c r="AB815" s="3" t="str">
        <f t="shared" si="6"/>
        <v>1358_33__vm_2</v>
      </c>
      <c r="AD815" s="3" t="s">
        <v>37</v>
      </c>
    </row>
    <row r="816" spans="1:30" ht="12.5">
      <c r="A816" s="3">
        <v>815</v>
      </c>
      <c r="F816" s="3"/>
      <c r="H816" s="3"/>
      <c r="M816" s="3" t="s">
        <v>38</v>
      </c>
      <c r="N816" s="3">
        <v>69</v>
      </c>
      <c r="O816" s="3">
        <v>0</v>
      </c>
      <c r="P816" s="3">
        <v>7</v>
      </c>
      <c r="R816" s="3">
        <v>4</v>
      </c>
      <c r="S816" s="3">
        <v>0</v>
      </c>
      <c r="T816" s="3">
        <v>0</v>
      </c>
      <c r="U816" s="3">
        <v>9.0700000000000003E-2</v>
      </c>
      <c r="V816" s="3">
        <v>0.13777</v>
      </c>
      <c r="W816" s="3">
        <v>0</v>
      </c>
      <c r="AA816" s="3" t="str">
        <f t="shared" si="7"/>
        <v>___</v>
      </c>
      <c r="AB816" s="3" t="str">
        <f t="shared" si="6"/>
        <v>____</v>
      </c>
    </row>
    <row r="817" spans="1:30" ht="12.5">
      <c r="A817" s="3">
        <v>816</v>
      </c>
      <c r="F817" s="3"/>
      <c r="H817" s="3"/>
      <c r="M817" s="3" t="s">
        <v>39</v>
      </c>
      <c r="N817" s="3">
        <v>52</v>
      </c>
      <c r="O817" s="3">
        <v>0</v>
      </c>
      <c r="P817" s="3">
        <v>6</v>
      </c>
      <c r="R817" s="3">
        <v>1</v>
      </c>
      <c r="S817" s="3">
        <v>0</v>
      </c>
      <c r="T817" s="3">
        <v>0</v>
      </c>
      <c r="U817" s="3">
        <v>0.10804999999999999</v>
      </c>
      <c r="V817" s="3">
        <v>0.31935000000000002</v>
      </c>
      <c r="W817" s="3">
        <v>0</v>
      </c>
      <c r="AA817" s="3" t="str">
        <f t="shared" si="7"/>
        <v>___</v>
      </c>
      <c r="AB817" s="3" t="str">
        <f t="shared" si="6"/>
        <v>____</v>
      </c>
    </row>
    <row r="818" spans="1:30" ht="12.5">
      <c r="A818" s="3">
        <v>817</v>
      </c>
      <c r="C818" s="7">
        <v>1358</v>
      </c>
      <c r="D818" s="3">
        <v>33</v>
      </c>
      <c r="F818" s="3"/>
      <c r="H818" s="3" t="s">
        <v>40</v>
      </c>
      <c r="I818" s="3">
        <v>3</v>
      </c>
      <c r="J818" s="3">
        <v>19.2</v>
      </c>
      <c r="K818" s="3">
        <v>23.3</v>
      </c>
      <c r="L818" s="3">
        <v>6</v>
      </c>
      <c r="M818" s="3" t="s">
        <v>36</v>
      </c>
      <c r="N818" s="3">
        <v>41</v>
      </c>
      <c r="O818" s="3">
        <v>6</v>
      </c>
      <c r="P818" s="3">
        <v>6</v>
      </c>
      <c r="R818" s="3">
        <v>0</v>
      </c>
      <c r="S818" s="3">
        <v>0</v>
      </c>
      <c r="T818" s="3">
        <v>3.0669999999999999E-2</v>
      </c>
      <c r="U818" s="3">
        <v>1.874E-2</v>
      </c>
      <c r="V818" s="3">
        <v>0</v>
      </c>
      <c r="W818" s="3">
        <v>0</v>
      </c>
      <c r="AA818" s="3" t="str">
        <f t="shared" si="7"/>
        <v>1358_33__vm</v>
      </c>
      <c r="AB818" s="3" t="str">
        <f t="shared" si="6"/>
        <v>1358_33__vm_3</v>
      </c>
      <c r="AD818" s="3" t="s">
        <v>37</v>
      </c>
    </row>
    <row r="819" spans="1:30" ht="12.5">
      <c r="A819" s="3">
        <v>818</v>
      </c>
      <c r="F819" s="3"/>
      <c r="H819" s="3"/>
      <c r="M819" s="3" t="s">
        <v>38</v>
      </c>
      <c r="N819" s="3">
        <v>78</v>
      </c>
      <c r="O819" s="3">
        <v>0</v>
      </c>
      <c r="P819" s="3">
        <v>7</v>
      </c>
      <c r="R819" s="3">
        <v>2</v>
      </c>
      <c r="S819" s="3">
        <v>0</v>
      </c>
      <c r="T819" s="3">
        <v>0</v>
      </c>
      <c r="U819" s="3">
        <v>6.2530000000000002E-2</v>
      </c>
      <c r="V819" s="3">
        <v>8.9330000000000007E-2</v>
      </c>
      <c r="W819" s="3">
        <v>0</v>
      </c>
      <c r="AA819" s="3" t="str">
        <f t="shared" si="7"/>
        <v>___</v>
      </c>
      <c r="AB819" s="3" t="str">
        <f t="shared" si="6"/>
        <v>____</v>
      </c>
    </row>
    <row r="820" spans="1:30" ht="12.5">
      <c r="A820" s="3">
        <v>819</v>
      </c>
      <c r="F820" s="3"/>
      <c r="H820" s="3"/>
      <c r="M820" s="3" t="s">
        <v>39</v>
      </c>
      <c r="N820" s="3">
        <v>59</v>
      </c>
      <c r="O820" s="3">
        <v>0</v>
      </c>
      <c r="P820" s="3">
        <v>8</v>
      </c>
      <c r="R820" s="3">
        <v>3</v>
      </c>
      <c r="S820" s="3">
        <v>0</v>
      </c>
      <c r="T820" s="3">
        <v>0</v>
      </c>
      <c r="U820" s="3">
        <v>0.17219999999999999</v>
      </c>
      <c r="V820" s="3">
        <v>0.32679000000000002</v>
      </c>
      <c r="W820" s="3">
        <v>0</v>
      </c>
      <c r="AA820" s="3" t="str">
        <f t="shared" si="7"/>
        <v>___</v>
      </c>
      <c r="AB820" s="3" t="str">
        <f t="shared" si="6"/>
        <v>____</v>
      </c>
    </row>
    <row r="821" spans="1:30" ht="12.5">
      <c r="A821" s="3">
        <v>820</v>
      </c>
      <c r="C821" s="7">
        <v>1358</v>
      </c>
      <c r="D821" s="3">
        <v>33</v>
      </c>
      <c r="F821" s="3"/>
      <c r="H821" s="3" t="s">
        <v>35</v>
      </c>
      <c r="I821" s="3">
        <v>1</v>
      </c>
      <c r="J821" s="3">
        <v>10.6</v>
      </c>
      <c r="K821" s="3">
        <v>12.2</v>
      </c>
      <c r="L821" s="3">
        <v>5</v>
      </c>
      <c r="M821" s="3" t="s">
        <v>36</v>
      </c>
      <c r="N821" s="3">
        <v>5</v>
      </c>
      <c r="O821" s="3">
        <v>2</v>
      </c>
      <c r="P821" s="3">
        <v>3</v>
      </c>
      <c r="R821" s="3">
        <v>0</v>
      </c>
      <c r="S821" s="3">
        <v>0</v>
      </c>
      <c r="T821" s="3">
        <v>8.5999999999999998E-4</v>
      </c>
      <c r="U821" s="3">
        <v>8.0999999999999996E-4</v>
      </c>
      <c r="V821" s="3">
        <v>0</v>
      </c>
      <c r="W821" s="3">
        <v>0</v>
      </c>
      <c r="AA821" s="3" t="str">
        <f t="shared" si="7"/>
        <v>1358_33__vv</v>
      </c>
      <c r="AB821" s="3" t="str">
        <f t="shared" si="6"/>
        <v>1358_33__vv_1</v>
      </c>
      <c r="AD821" s="3" t="s">
        <v>37</v>
      </c>
    </row>
    <row r="822" spans="1:30" ht="12.5">
      <c r="A822" s="3">
        <v>821</v>
      </c>
      <c r="F822" s="3"/>
      <c r="H822" s="3"/>
      <c r="M822" s="3" t="s">
        <v>38</v>
      </c>
      <c r="N822" s="3">
        <v>26</v>
      </c>
      <c r="O822" s="3">
        <v>7</v>
      </c>
      <c r="P822" s="3">
        <v>10</v>
      </c>
      <c r="R822" s="3">
        <v>0</v>
      </c>
      <c r="S822" s="3">
        <v>0</v>
      </c>
      <c r="T822" s="3">
        <v>6.4140000000000003E-2</v>
      </c>
      <c r="U822" s="3">
        <v>1.0970000000000001E-2</v>
      </c>
      <c r="V822" s="3">
        <v>0</v>
      </c>
      <c r="W822" s="3">
        <v>0</v>
      </c>
      <c r="AA822" s="3" t="str">
        <f t="shared" si="7"/>
        <v>___</v>
      </c>
      <c r="AB822" s="3" t="str">
        <f t="shared" si="6"/>
        <v>____</v>
      </c>
    </row>
    <row r="823" spans="1:30" ht="12.5">
      <c r="A823" s="3">
        <v>822</v>
      </c>
      <c r="F823" s="3"/>
      <c r="H823" s="3"/>
      <c r="M823" s="3" t="s">
        <v>39</v>
      </c>
      <c r="N823" s="3">
        <v>36</v>
      </c>
      <c r="O823" s="3">
        <v>3</v>
      </c>
      <c r="P823" s="3">
        <v>12</v>
      </c>
      <c r="R823" s="3">
        <v>1</v>
      </c>
      <c r="S823" s="3">
        <v>0</v>
      </c>
      <c r="T823" s="3">
        <v>3.5139999999999998E-2</v>
      </c>
      <c r="U823" s="3">
        <v>2.232E-2</v>
      </c>
      <c r="V823" s="3">
        <v>1.92E-3</v>
      </c>
      <c r="W823" s="3">
        <v>0</v>
      </c>
      <c r="AA823" s="3" t="str">
        <f t="shared" si="7"/>
        <v>___</v>
      </c>
      <c r="AB823" s="3" t="str">
        <f t="shared" si="6"/>
        <v>____</v>
      </c>
    </row>
    <row r="824" spans="1:30" ht="12.5">
      <c r="A824" s="3">
        <v>823</v>
      </c>
      <c r="C824" s="7">
        <v>1358</v>
      </c>
      <c r="D824" s="3">
        <v>33</v>
      </c>
      <c r="F824" s="3"/>
      <c r="H824" s="3" t="s">
        <v>35</v>
      </c>
      <c r="I824" s="3">
        <v>2</v>
      </c>
      <c r="J824" s="3">
        <v>16.5</v>
      </c>
      <c r="K824" s="3">
        <v>13.6</v>
      </c>
      <c r="L824" s="3">
        <v>4</v>
      </c>
      <c r="M824" s="3" t="s">
        <v>36</v>
      </c>
      <c r="N824" s="3">
        <v>19</v>
      </c>
      <c r="O824" s="3">
        <v>11</v>
      </c>
      <c r="P824" s="3">
        <v>11</v>
      </c>
      <c r="R824" s="3">
        <v>0</v>
      </c>
      <c r="S824" s="3">
        <v>0</v>
      </c>
      <c r="T824" s="3">
        <v>3.5389999999999998E-2</v>
      </c>
      <c r="U824" s="3">
        <v>4.4099999999999999E-3</v>
      </c>
      <c r="V824" s="3">
        <v>0</v>
      </c>
      <c r="W824" s="3">
        <v>0</v>
      </c>
      <c r="AA824" s="3" t="str">
        <f t="shared" si="7"/>
        <v>1358_33__vv</v>
      </c>
      <c r="AB824" s="3" t="str">
        <f t="shared" si="6"/>
        <v>1358_33__vv_2</v>
      </c>
      <c r="AD824" s="3" t="s">
        <v>37</v>
      </c>
    </row>
    <row r="825" spans="1:30" ht="12.5">
      <c r="A825" s="3">
        <v>824</v>
      </c>
      <c r="F825" s="3"/>
      <c r="H825" s="3"/>
      <c r="M825" s="3" t="s">
        <v>38</v>
      </c>
      <c r="N825" s="3">
        <v>54</v>
      </c>
      <c r="O825" s="3">
        <v>9</v>
      </c>
      <c r="P825" s="3">
        <v>13</v>
      </c>
      <c r="R825" s="3">
        <v>1</v>
      </c>
      <c r="S825" s="3">
        <v>0</v>
      </c>
      <c r="T825" s="3">
        <v>0.16159000000000001</v>
      </c>
      <c r="U825" s="3">
        <v>4.3229999999999998E-2</v>
      </c>
      <c r="V825" s="3">
        <v>4.4249999999999998E-2</v>
      </c>
      <c r="W825" s="3">
        <v>0</v>
      </c>
      <c r="AA825" s="3" t="str">
        <f t="shared" si="7"/>
        <v>___</v>
      </c>
      <c r="AB825" s="3" t="str">
        <f t="shared" si="6"/>
        <v>____</v>
      </c>
    </row>
    <row r="826" spans="1:30" ht="12.5">
      <c r="A826" s="3">
        <v>825</v>
      </c>
      <c r="F826" s="3"/>
      <c r="H826" s="3"/>
      <c r="M826" s="3" t="s">
        <v>39</v>
      </c>
      <c r="N826" s="3">
        <v>51</v>
      </c>
      <c r="O826" s="3">
        <v>6</v>
      </c>
      <c r="P826" s="3">
        <v>13</v>
      </c>
      <c r="R826" s="3">
        <v>1</v>
      </c>
      <c r="S826" s="3">
        <v>0</v>
      </c>
      <c r="T826" s="3">
        <v>5.4399999999999997E-2</v>
      </c>
      <c r="U826" s="3">
        <v>5.6239999999999998E-2</v>
      </c>
      <c r="V826" s="3">
        <v>5.9459999999999999E-2</v>
      </c>
      <c r="W826" s="3">
        <v>0</v>
      </c>
      <c r="AA826" s="3" t="str">
        <f t="shared" si="7"/>
        <v>___</v>
      </c>
      <c r="AB826" s="3" t="str">
        <f t="shared" si="6"/>
        <v>____</v>
      </c>
    </row>
    <row r="827" spans="1:30" ht="12.5">
      <c r="A827" s="3">
        <v>826</v>
      </c>
      <c r="C827" s="7">
        <v>1358</v>
      </c>
      <c r="D827" s="3">
        <v>33</v>
      </c>
      <c r="F827" s="3"/>
      <c r="H827" s="3" t="s">
        <v>35</v>
      </c>
      <c r="I827" s="3">
        <v>3</v>
      </c>
      <c r="J827" s="3">
        <v>9.1</v>
      </c>
      <c r="K827" s="3">
        <v>7.2</v>
      </c>
      <c r="L827" s="3">
        <v>1</v>
      </c>
      <c r="M827" s="3" t="s">
        <v>36</v>
      </c>
      <c r="N827" s="3">
        <v>72</v>
      </c>
      <c r="O827" s="3">
        <v>11</v>
      </c>
      <c r="P827" s="3">
        <v>13</v>
      </c>
      <c r="R827" s="3">
        <v>0</v>
      </c>
      <c r="S827" s="3">
        <v>0</v>
      </c>
      <c r="T827" s="3">
        <v>0.10349999999999999</v>
      </c>
      <c r="U827" s="3">
        <v>3.0450000000000001E-2</v>
      </c>
      <c r="V827" s="3">
        <v>0</v>
      </c>
      <c r="W827" s="3">
        <v>0</v>
      </c>
      <c r="AA827" s="3" t="str">
        <f t="shared" si="7"/>
        <v>1358_33__vv</v>
      </c>
      <c r="AB827" s="3" t="str">
        <f t="shared" si="6"/>
        <v>1358_33__vv_3</v>
      </c>
      <c r="AD827" s="3" t="s">
        <v>37</v>
      </c>
    </row>
    <row r="828" spans="1:30" ht="12.5">
      <c r="A828" s="3">
        <v>827</v>
      </c>
      <c r="F828" s="3"/>
      <c r="H828" s="3"/>
      <c r="M828" s="3" t="s">
        <v>38</v>
      </c>
      <c r="N828" s="3" t="s">
        <v>47</v>
      </c>
      <c r="O828" s="7" t="s">
        <v>47</v>
      </c>
      <c r="P828" s="7" t="s">
        <v>47</v>
      </c>
      <c r="Q828" s="7" t="s">
        <v>47</v>
      </c>
      <c r="R828" s="7" t="s">
        <v>47</v>
      </c>
      <c r="S828" s="7" t="s">
        <v>47</v>
      </c>
      <c r="T828" s="7" t="s">
        <v>47</v>
      </c>
      <c r="U828" s="7" t="s">
        <v>47</v>
      </c>
      <c r="V828" s="7" t="s">
        <v>47</v>
      </c>
      <c r="W828" s="7" t="s">
        <v>47</v>
      </c>
      <c r="AA828" s="3" t="str">
        <f t="shared" si="7"/>
        <v>___</v>
      </c>
      <c r="AB828" s="3" t="str">
        <f t="shared" si="6"/>
        <v>____</v>
      </c>
    </row>
    <row r="829" spans="1:30" ht="12.5">
      <c r="A829" s="3">
        <v>828</v>
      </c>
      <c r="F829" s="3"/>
      <c r="H829" s="3"/>
      <c r="M829" s="3" t="s">
        <v>39</v>
      </c>
      <c r="N829" s="7" t="s">
        <v>47</v>
      </c>
      <c r="O829" s="7" t="s">
        <v>47</v>
      </c>
      <c r="P829" s="7" t="s">
        <v>47</v>
      </c>
      <c r="Q829" s="7" t="s">
        <v>47</v>
      </c>
      <c r="R829" s="7" t="s">
        <v>47</v>
      </c>
      <c r="S829" s="7" t="s">
        <v>47</v>
      </c>
      <c r="T829" s="7" t="s">
        <v>47</v>
      </c>
      <c r="U829" s="7" t="s">
        <v>47</v>
      </c>
      <c r="V829" s="7" t="s">
        <v>47</v>
      </c>
      <c r="W829" s="7" t="s">
        <v>47</v>
      </c>
      <c r="AA829" s="3" t="str">
        <f t="shared" si="7"/>
        <v>___</v>
      </c>
      <c r="AB829" s="3" t="str">
        <f t="shared" si="6"/>
        <v>____</v>
      </c>
    </row>
    <row r="830" spans="1:30" ht="12.5">
      <c r="A830" s="3">
        <v>829</v>
      </c>
      <c r="C830" s="7">
        <v>1358</v>
      </c>
      <c r="D830" s="10">
        <v>35</v>
      </c>
      <c r="F830" s="3"/>
      <c r="H830" s="3" t="s">
        <v>40</v>
      </c>
      <c r="I830" s="3">
        <v>1</v>
      </c>
      <c r="J830" s="3">
        <v>27.8</v>
      </c>
      <c r="K830" s="3">
        <v>23.7</v>
      </c>
      <c r="L830" s="3">
        <v>4</v>
      </c>
      <c r="M830" s="3" t="s">
        <v>36</v>
      </c>
      <c r="N830" s="3">
        <v>51</v>
      </c>
      <c r="O830" s="3">
        <v>5</v>
      </c>
      <c r="P830" s="3">
        <v>5</v>
      </c>
      <c r="R830" s="3">
        <v>0</v>
      </c>
      <c r="S830" s="3">
        <v>0</v>
      </c>
      <c r="T830" s="3">
        <v>4.539E-2</v>
      </c>
      <c r="U830" s="3">
        <v>4.564E-2</v>
      </c>
      <c r="V830" s="3">
        <v>0</v>
      </c>
      <c r="W830" s="3">
        <v>0</v>
      </c>
      <c r="AA830" s="3" t="str">
        <f t="shared" si="7"/>
        <v>1358_35__vm</v>
      </c>
      <c r="AB830" s="3" t="str">
        <f t="shared" si="6"/>
        <v>1358_35__vm_1</v>
      </c>
      <c r="AD830" s="3" t="s">
        <v>37</v>
      </c>
    </row>
    <row r="831" spans="1:30" ht="12.5">
      <c r="A831" s="3">
        <v>830</v>
      </c>
      <c r="F831" s="3"/>
      <c r="H831" s="3"/>
      <c r="M831" s="3" t="s">
        <v>38</v>
      </c>
      <c r="N831" s="3">
        <v>106</v>
      </c>
      <c r="O831" s="3">
        <v>0</v>
      </c>
      <c r="P831" s="3">
        <v>9</v>
      </c>
      <c r="R831" s="3">
        <v>3</v>
      </c>
      <c r="S831" s="3">
        <v>0</v>
      </c>
      <c r="T831" s="3">
        <v>0</v>
      </c>
      <c r="U831" s="3">
        <v>0.17221</v>
      </c>
      <c r="V831" s="3">
        <v>0.15332999999999999</v>
      </c>
      <c r="W831" s="3">
        <v>0</v>
      </c>
      <c r="AA831" s="3" t="str">
        <f t="shared" si="7"/>
        <v>___</v>
      </c>
      <c r="AB831" s="3" t="str">
        <f t="shared" si="6"/>
        <v>____</v>
      </c>
    </row>
    <row r="832" spans="1:30" ht="12.5">
      <c r="A832" s="3">
        <v>831</v>
      </c>
      <c r="F832" s="3"/>
      <c r="H832" s="3"/>
      <c r="M832" s="3" t="s">
        <v>39</v>
      </c>
      <c r="N832" s="3">
        <v>45</v>
      </c>
      <c r="O832" s="3">
        <v>0</v>
      </c>
      <c r="P832" s="3">
        <v>5</v>
      </c>
      <c r="R832" s="3">
        <v>2</v>
      </c>
      <c r="S832" s="3">
        <v>0</v>
      </c>
      <c r="T832" s="3">
        <v>0</v>
      </c>
      <c r="U832" s="3">
        <v>0.11837</v>
      </c>
      <c r="V832" s="3">
        <v>0.19033</v>
      </c>
      <c r="W832" s="3">
        <v>0</v>
      </c>
      <c r="AA832" s="3" t="str">
        <f t="shared" si="7"/>
        <v>___</v>
      </c>
      <c r="AB832" s="3" t="str">
        <f t="shared" si="6"/>
        <v>____</v>
      </c>
    </row>
    <row r="833" spans="1:30" ht="12.5">
      <c r="A833" s="3">
        <v>832</v>
      </c>
      <c r="C833" s="7">
        <v>1358</v>
      </c>
      <c r="D833" s="3">
        <v>35</v>
      </c>
      <c r="F833" s="3"/>
      <c r="H833" s="3" t="s">
        <v>40</v>
      </c>
      <c r="I833" s="3">
        <v>2</v>
      </c>
      <c r="J833" s="3">
        <v>23.2</v>
      </c>
      <c r="K833" s="3">
        <v>24.2</v>
      </c>
      <c r="L833" s="3">
        <v>5</v>
      </c>
      <c r="M833" s="3" t="s">
        <v>36</v>
      </c>
      <c r="N833" s="3">
        <v>41</v>
      </c>
      <c r="O833" s="3">
        <v>5</v>
      </c>
      <c r="P833" s="3">
        <v>6</v>
      </c>
      <c r="R833" s="3">
        <v>0</v>
      </c>
      <c r="S833" s="3">
        <v>0</v>
      </c>
      <c r="T833" s="3">
        <v>3.0120000000000001E-2</v>
      </c>
      <c r="U833" s="3">
        <v>1.7389999999999999E-2</v>
      </c>
      <c r="W833" s="3">
        <v>0</v>
      </c>
      <c r="AA833" s="3" t="str">
        <f t="shared" si="7"/>
        <v>1358_35__vm</v>
      </c>
      <c r="AB833" s="3" t="str">
        <f t="shared" si="6"/>
        <v>1358_35__vm_2</v>
      </c>
      <c r="AD833" s="3" t="s">
        <v>37</v>
      </c>
    </row>
    <row r="834" spans="1:30" ht="12.5">
      <c r="A834" s="3">
        <v>833</v>
      </c>
      <c r="F834" s="3"/>
      <c r="H834" s="3"/>
      <c r="M834" s="3" t="s">
        <v>38</v>
      </c>
      <c r="N834" s="3">
        <v>62</v>
      </c>
      <c r="O834" s="3">
        <v>0</v>
      </c>
      <c r="P834" s="3">
        <v>8</v>
      </c>
      <c r="R834" s="3">
        <v>3</v>
      </c>
      <c r="S834" s="3">
        <v>0</v>
      </c>
      <c r="T834" s="3">
        <v>0</v>
      </c>
      <c r="U834" s="3">
        <v>4.4080000000000001E-2</v>
      </c>
      <c r="V834" s="3">
        <v>2.785E-2</v>
      </c>
      <c r="W834" s="3">
        <v>0</v>
      </c>
      <c r="AA834" s="3" t="str">
        <f t="shared" si="7"/>
        <v>___</v>
      </c>
      <c r="AB834" s="3" t="str">
        <f t="shared" si="6"/>
        <v>____</v>
      </c>
    </row>
    <row r="835" spans="1:30" ht="12.5">
      <c r="A835" s="3">
        <v>834</v>
      </c>
      <c r="F835" s="3"/>
      <c r="H835" s="3"/>
      <c r="M835" s="3" t="s">
        <v>39</v>
      </c>
      <c r="N835" s="3">
        <v>21</v>
      </c>
      <c r="O835" s="3">
        <v>0</v>
      </c>
      <c r="P835" s="3">
        <v>2</v>
      </c>
      <c r="R835" s="3">
        <v>1</v>
      </c>
      <c r="S835" s="3">
        <v>0</v>
      </c>
      <c r="T835" s="3">
        <v>0</v>
      </c>
      <c r="U835" s="3">
        <v>2.537E-2</v>
      </c>
      <c r="V835" s="3">
        <v>8.7620000000000003E-2</v>
      </c>
      <c r="W835" s="3">
        <v>0</v>
      </c>
      <c r="AA835" s="3" t="str">
        <f t="shared" si="7"/>
        <v>___</v>
      </c>
      <c r="AB835" s="3" t="str">
        <f t="shared" si="6"/>
        <v>____</v>
      </c>
    </row>
    <row r="836" spans="1:30" ht="12.5">
      <c r="A836" s="3">
        <v>835</v>
      </c>
      <c r="C836" s="7">
        <v>1358</v>
      </c>
      <c r="D836" s="3">
        <v>35</v>
      </c>
      <c r="F836" s="3"/>
      <c r="H836" s="3" t="s">
        <v>40</v>
      </c>
      <c r="I836" s="3">
        <v>3</v>
      </c>
      <c r="J836" s="3">
        <v>17.8</v>
      </c>
      <c r="K836" s="3">
        <v>22.1</v>
      </c>
      <c r="L836" s="3">
        <v>5</v>
      </c>
      <c r="M836" s="3" t="s">
        <v>36</v>
      </c>
      <c r="N836" s="3">
        <v>51</v>
      </c>
      <c r="O836" s="3">
        <v>6</v>
      </c>
      <c r="P836" s="3">
        <v>7</v>
      </c>
      <c r="R836" s="3">
        <v>0</v>
      </c>
      <c r="S836" s="3">
        <v>0</v>
      </c>
      <c r="T836" s="3">
        <v>2.0449999999999999E-2</v>
      </c>
      <c r="U836" s="3">
        <v>1.6709999999999999E-2</v>
      </c>
      <c r="V836" s="3">
        <v>0</v>
      </c>
      <c r="W836" s="3">
        <v>0</v>
      </c>
      <c r="AA836" s="3" t="str">
        <f t="shared" si="7"/>
        <v>1358_35__vm</v>
      </c>
      <c r="AB836" s="3" t="str">
        <f t="shared" si="6"/>
        <v>1358_35__vm_3</v>
      </c>
      <c r="AD836" s="3" t="s">
        <v>37</v>
      </c>
    </row>
    <row r="837" spans="1:30" ht="12.5">
      <c r="A837" s="3">
        <v>836</v>
      </c>
      <c r="F837" s="3"/>
      <c r="H837" s="3"/>
      <c r="M837" s="3" t="s">
        <v>38</v>
      </c>
      <c r="N837" s="3">
        <v>81</v>
      </c>
      <c r="O837" s="3">
        <v>0</v>
      </c>
      <c r="P837" s="3">
        <v>9</v>
      </c>
      <c r="R837" s="3">
        <v>2</v>
      </c>
      <c r="S837" s="3">
        <v>0</v>
      </c>
      <c r="T837" s="3">
        <v>0</v>
      </c>
      <c r="U837" s="3">
        <v>6.1600000000000002E-2</v>
      </c>
      <c r="V837" s="3">
        <v>1.3089999999999999E-2</v>
      </c>
      <c r="W837" s="3">
        <v>0</v>
      </c>
      <c r="AA837" s="3" t="str">
        <f t="shared" si="7"/>
        <v>___</v>
      </c>
      <c r="AB837" s="3" t="str">
        <f t="shared" si="6"/>
        <v>____</v>
      </c>
    </row>
    <row r="838" spans="1:30" ht="12.5">
      <c r="A838" s="3">
        <v>837</v>
      </c>
      <c r="F838" s="3"/>
      <c r="H838" s="3"/>
      <c r="M838" s="3" t="s">
        <v>39</v>
      </c>
      <c r="N838" s="3">
        <v>125</v>
      </c>
      <c r="O838" s="3">
        <v>0</v>
      </c>
      <c r="P838" s="3">
        <v>10</v>
      </c>
      <c r="R838" s="3">
        <v>6</v>
      </c>
      <c r="S838" s="3">
        <v>0</v>
      </c>
      <c r="T838" s="3">
        <v>0</v>
      </c>
      <c r="U838" s="3">
        <v>0.30214999999999997</v>
      </c>
      <c r="V838" s="3">
        <v>0.27059</v>
      </c>
      <c r="W838" s="3">
        <v>0</v>
      </c>
      <c r="AA838" s="3" t="str">
        <f t="shared" si="7"/>
        <v>___</v>
      </c>
      <c r="AB838" s="3" t="str">
        <f t="shared" si="6"/>
        <v>____</v>
      </c>
    </row>
    <row r="839" spans="1:30" ht="12.5">
      <c r="A839" s="3">
        <v>838</v>
      </c>
      <c r="C839" s="7">
        <v>1358</v>
      </c>
      <c r="D839" s="3">
        <v>35</v>
      </c>
      <c r="F839" s="3"/>
      <c r="H839" s="3" t="s">
        <v>35</v>
      </c>
      <c r="I839" s="3">
        <v>1</v>
      </c>
      <c r="J839" s="3">
        <v>6.7</v>
      </c>
      <c r="K839" s="3">
        <v>13.9</v>
      </c>
      <c r="L839" s="3">
        <v>4</v>
      </c>
      <c r="M839" s="3" t="s">
        <v>36</v>
      </c>
      <c r="N839" s="3">
        <v>55</v>
      </c>
      <c r="O839" s="3">
        <v>8</v>
      </c>
      <c r="P839" s="3">
        <v>12</v>
      </c>
      <c r="R839" s="3">
        <v>0</v>
      </c>
      <c r="S839" s="3">
        <v>0</v>
      </c>
      <c r="T839" s="3">
        <v>0.16799</v>
      </c>
      <c r="U839" s="3">
        <v>2.649E-2</v>
      </c>
      <c r="V839" s="3">
        <v>0</v>
      </c>
      <c r="W839" s="3">
        <v>0</v>
      </c>
      <c r="AA839" s="3" t="str">
        <f t="shared" si="7"/>
        <v>1358_35__vv</v>
      </c>
      <c r="AB839" s="3" t="str">
        <f t="shared" si="6"/>
        <v>1358_35__vv_1</v>
      </c>
      <c r="AD839" s="3" t="s">
        <v>37</v>
      </c>
    </row>
    <row r="840" spans="1:30" ht="12.5">
      <c r="A840" s="3">
        <v>839</v>
      </c>
      <c r="F840" s="3"/>
      <c r="H840" s="3"/>
      <c r="M840" s="3" t="s">
        <v>38</v>
      </c>
      <c r="N840" s="3">
        <v>54</v>
      </c>
      <c r="O840" s="3">
        <v>4</v>
      </c>
      <c r="P840" s="3">
        <v>8</v>
      </c>
      <c r="R840" s="3">
        <v>1</v>
      </c>
      <c r="S840" s="3">
        <v>0</v>
      </c>
      <c r="T840" s="3">
        <v>9.1249999999999998E-2</v>
      </c>
      <c r="U840" s="3">
        <v>4.0059999999999998E-2</v>
      </c>
      <c r="V840" s="3">
        <v>3.5430000000000003E-2</v>
      </c>
      <c r="W840" s="3">
        <v>0</v>
      </c>
      <c r="AA840" s="3" t="str">
        <f t="shared" si="7"/>
        <v>___</v>
      </c>
      <c r="AB840" s="3" t="str">
        <f t="shared" si="6"/>
        <v>____</v>
      </c>
    </row>
    <row r="841" spans="1:30" ht="12.5">
      <c r="A841" s="3">
        <v>840</v>
      </c>
      <c r="F841" s="3"/>
      <c r="H841" s="3"/>
      <c r="M841" s="3" t="s">
        <v>39</v>
      </c>
      <c r="N841" s="3">
        <v>13</v>
      </c>
      <c r="O841" s="3">
        <v>0</v>
      </c>
      <c r="P841" s="3">
        <v>2</v>
      </c>
      <c r="R841" s="3">
        <v>0</v>
      </c>
      <c r="S841" s="3">
        <v>0</v>
      </c>
      <c r="T841" s="3">
        <v>0</v>
      </c>
      <c r="U841" s="3">
        <v>1.277E-2</v>
      </c>
      <c r="V841" s="3">
        <v>0</v>
      </c>
      <c r="W841" s="3">
        <v>0</v>
      </c>
      <c r="AA841" s="3" t="str">
        <f t="shared" si="7"/>
        <v>___</v>
      </c>
      <c r="AB841" s="3" t="str">
        <f t="shared" si="6"/>
        <v>____</v>
      </c>
    </row>
    <row r="842" spans="1:30" ht="12.5">
      <c r="A842" s="3">
        <v>841</v>
      </c>
      <c r="C842" s="7">
        <v>1358</v>
      </c>
      <c r="D842" s="3">
        <v>35</v>
      </c>
      <c r="F842" s="3"/>
      <c r="H842" s="3" t="s">
        <v>35</v>
      </c>
      <c r="I842" s="3">
        <v>2</v>
      </c>
      <c r="J842" s="3">
        <v>10.5</v>
      </c>
      <c r="K842" s="3">
        <v>11.9</v>
      </c>
      <c r="L842" s="3">
        <v>4</v>
      </c>
      <c r="M842" s="3" t="s">
        <v>36</v>
      </c>
      <c r="N842" s="3">
        <v>53</v>
      </c>
      <c r="O842" s="3">
        <v>6</v>
      </c>
      <c r="P842" s="3">
        <v>14</v>
      </c>
      <c r="R842" s="3">
        <v>0</v>
      </c>
      <c r="S842" s="3">
        <v>0</v>
      </c>
      <c r="T842" s="3">
        <v>7.8549999999999995E-2</v>
      </c>
      <c r="U842" s="3">
        <v>2.196E-2</v>
      </c>
      <c r="V842" s="3">
        <v>0</v>
      </c>
      <c r="W842" s="3">
        <v>0</v>
      </c>
      <c r="AA842" s="3" t="str">
        <f t="shared" si="7"/>
        <v>1358_35__vv</v>
      </c>
      <c r="AB842" s="3" t="str">
        <f t="shared" si="6"/>
        <v>1358_35__vv_2</v>
      </c>
      <c r="AD842" s="3" t="s">
        <v>37</v>
      </c>
    </row>
    <row r="843" spans="1:30" ht="12.5">
      <c r="A843" s="3">
        <v>842</v>
      </c>
      <c r="F843" s="3"/>
      <c r="H843" s="3"/>
      <c r="M843" s="3" t="s">
        <v>38</v>
      </c>
      <c r="N843" s="3">
        <v>51</v>
      </c>
      <c r="O843" s="3">
        <v>0</v>
      </c>
      <c r="P843" s="3">
        <v>12</v>
      </c>
      <c r="R843" s="3">
        <v>2</v>
      </c>
      <c r="S843" s="3">
        <v>0</v>
      </c>
      <c r="T843" s="3">
        <v>0</v>
      </c>
      <c r="U843" s="3">
        <v>3.8609999999999998E-2</v>
      </c>
      <c r="V843" s="3">
        <v>8.3250000000000005E-2</v>
      </c>
      <c r="W843" s="3">
        <v>0</v>
      </c>
      <c r="AA843" s="3" t="str">
        <f t="shared" si="7"/>
        <v>___</v>
      </c>
      <c r="AB843" s="3" t="str">
        <f t="shared" si="6"/>
        <v>____</v>
      </c>
    </row>
    <row r="844" spans="1:30" ht="12.5">
      <c r="A844" s="3">
        <v>843</v>
      </c>
      <c r="F844" s="3"/>
      <c r="H844" s="3"/>
      <c r="M844" s="3" t="s">
        <v>39</v>
      </c>
      <c r="N844" s="3">
        <v>11</v>
      </c>
      <c r="O844" s="3">
        <v>0</v>
      </c>
      <c r="P844" s="3">
        <v>2</v>
      </c>
      <c r="R844" s="3">
        <v>0</v>
      </c>
      <c r="S844" s="3">
        <v>0</v>
      </c>
      <c r="T844" s="3">
        <v>0</v>
      </c>
      <c r="U844" s="3">
        <v>8.3000000000000001E-4</v>
      </c>
      <c r="V844" s="3">
        <v>0</v>
      </c>
      <c r="W844" s="3">
        <v>0</v>
      </c>
      <c r="AA844" s="3" t="str">
        <f t="shared" si="7"/>
        <v>___</v>
      </c>
      <c r="AB844" s="3" t="str">
        <f t="shared" si="6"/>
        <v>____</v>
      </c>
    </row>
    <row r="845" spans="1:30" ht="12.5">
      <c r="A845" s="3">
        <v>844</v>
      </c>
      <c r="C845" s="3">
        <v>1358</v>
      </c>
      <c r="D845" s="3">
        <v>35</v>
      </c>
      <c r="F845" s="3"/>
      <c r="H845" s="3" t="s">
        <v>35</v>
      </c>
      <c r="I845" s="3">
        <v>3</v>
      </c>
      <c r="J845" s="3">
        <v>13</v>
      </c>
      <c r="K845" s="3">
        <v>10.5</v>
      </c>
      <c r="M845" s="3" t="s">
        <v>36</v>
      </c>
      <c r="Y845" s="3" t="s">
        <v>129</v>
      </c>
      <c r="AA845" s="3" t="str">
        <f t="shared" si="7"/>
        <v>1358_35__vv</v>
      </c>
      <c r="AB845" s="3" t="str">
        <f t="shared" si="6"/>
        <v>1358_35__vv_3</v>
      </c>
    </row>
    <row r="846" spans="1:30" ht="12.5">
      <c r="A846" s="3">
        <v>845</v>
      </c>
      <c r="F846" s="3"/>
      <c r="H846" s="3"/>
      <c r="M846" s="3" t="s">
        <v>38</v>
      </c>
      <c r="AA846" s="3" t="str">
        <f t="shared" si="7"/>
        <v>___</v>
      </c>
      <c r="AB846" s="3" t="str">
        <f t="shared" si="6"/>
        <v>____</v>
      </c>
    </row>
    <row r="847" spans="1:30" ht="12.5">
      <c r="A847" s="3">
        <v>846</v>
      </c>
      <c r="F847" s="3"/>
      <c r="H847" s="3"/>
      <c r="M847" s="3" t="s">
        <v>39</v>
      </c>
      <c r="AA847" s="3" t="str">
        <f t="shared" si="7"/>
        <v>___</v>
      </c>
      <c r="AB847" s="3" t="str">
        <f t="shared" si="6"/>
        <v>____</v>
      </c>
    </row>
    <row r="848" spans="1:30" ht="12.5">
      <c r="A848" s="3">
        <v>847</v>
      </c>
      <c r="C848" s="20">
        <v>897</v>
      </c>
      <c r="D848" s="6">
        <v>31</v>
      </c>
      <c r="F848" s="3"/>
      <c r="H848" s="3" t="s">
        <v>40</v>
      </c>
      <c r="I848" s="3">
        <v>1</v>
      </c>
      <c r="J848" s="3">
        <v>12.3</v>
      </c>
      <c r="K848" s="3">
        <v>15.1</v>
      </c>
      <c r="L848" s="3">
        <v>7</v>
      </c>
      <c r="M848" s="3" t="s">
        <v>36</v>
      </c>
      <c r="N848" s="3">
        <v>8</v>
      </c>
      <c r="O848" s="3">
        <v>3</v>
      </c>
      <c r="P848" s="3">
        <v>3</v>
      </c>
      <c r="R848" s="3">
        <v>0</v>
      </c>
      <c r="S848" s="3">
        <v>0</v>
      </c>
      <c r="T848" s="3">
        <v>4.7000000000000002E-3</v>
      </c>
      <c r="U848" s="3">
        <v>2.2000000000000001E-3</v>
      </c>
      <c r="V848" s="3">
        <v>0</v>
      </c>
      <c r="W848" s="3">
        <v>0</v>
      </c>
      <c r="AA848" s="3" t="str">
        <f t="shared" si="7"/>
        <v>897_31__vm</v>
      </c>
      <c r="AB848" s="3" t="str">
        <f t="shared" si="6"/>
        <v>897_31__vm_1</v>
      </c>
      <c r="AD848" s="3" t="s">
        <v>37</v>
      </c>
    </row>
    <row r="849" spans="1:30" ht="12.5">
      <c r="A849" s="3">
        <v>848</v>
      </c>
      <c r="C849" s="21"/>
      <c r="F849" s="3"/>
      <c r="H849" s="3"/>
      <c r="M849" s="3" t="s">
        <v>38</v>
      </c>
      <c r="N849" s="3">
        <v>13</v>
      </c>
      <c r="O849" s="3">
        <v>0</v>
      </c>
      <c r="P849" s="3">
        <v>4</v>
      </c>
      <c r="R849" s="3">
        <v>1</v>
      </c>
      <c r="S849" s="3">
        <v>0</v>
      </c>
      <c r="T849" s="3">
        <v>0</v>
      </c>
      <c r="U849" s="3">
        <v>3.8400000000000001E-3</v>
      </c>
      <c r="V849" s="3">
        <v>4.8500000000000001E-3</v>
      </c>
      <c r="W849" s="3">
        <v>0</v>
      </c>
      <c r="AA849" s="3" t="str">
        <f t="shared" si="7"/>
        <v>___</v>
      </c>
      <c r="AB849" s="3" t="str">
        <f t="shared" si="6"/>
        <v>____</v>
      </c>
    </row>
    <row r="850" spans="1:30" ht="12.5">
      <c r="A850" s="3">
        <v>849</v>
      </c>
      <c r="C850" s="21"/>
      <c r="F850" s="3"/>
      <c r="H850" s="3"/>
      <c r="M850" s="3" t="s">
        <v>39</v>
      </c>
      <c r="N850" s="3">
        <v>27</v>
      </c>
      <c r="O850" s="3">
        <v>0</v>
      </c>
      <c r="P850" s="3">
        <v>6</v>
      </c>
      <c r="R850" s="3">
        <v>1</v>
      </c>
      <c r="S850" s="3">
        <v>0</v>
      </c>
      <c r="T850" s="3">
        <v>0</v>
      </c>
      <c r="U850" s="3">
        <v>1.3429999999999999E-2</v>
      </c>
      <c r="V850" s="3">
        <v>7.8399999999999997E-3</v>
      </c>
      <c r="W850" s="3">
        <v>0</v>
      </c>
      <c r="AA850" s="3" t="str">
        <f t="shared" si="7"/>
        <v>___</v>
      </c>
      <c r="AB850" s="3" t="str">
        <f t="shared" si="6"/>
        <v>____</v>
      </c>
    </row>
    <row r="851" spans="1:30" ht="12.5">
      <c r="A851" s="3">
        <v>850</v>
      </c>
      <c r="C851" s="20">
        <v>897</v>
      </c>
      <c r="D851" s="3">
        <v>31</v>
      </c>
      <c r="F851" s="3"/>
      <c r="H851" s="3" t="s">
        <v>40</v>
      </c>
      <c r="I851" s="3">
        <v>2</v>
      </c>
      <c r="J851" s="3">
        <v>14.4</v>
      </c>
      <c r="K851" s="3">
        <v>21.5</v>
      </c>
      <c r="L851" s="3">
        <v>7</v>
      </c>
      <c r="M851" s="3" t="s">
        <v>36</v>
      </c>
      <c r="N851" s="3">
        <v>9</v>
      </c>
      <c r="O851" s="3">
        <v>4</v>
      </c>
      <c r="P851" s="3">
        <v>4</v>
      </c>
      <c r="R851" s="3">
        <v>0</v>
      </c>
      <c r="S851" s="3">
        <v>0</v>
      </c>
      <c r="T851" s="3">
        <v>7.92E-3</v>
      </c>
      <c r="U851" s="3">
        <v>4.5100000000000001E-3</v>
      </c>
      <c r="V851" s="3">
        <v>0</v>
      </c>
      <c r="W851" s="3">
        <v>0</v>
      </c>
      <c r="AA851" s="3" t="str">
        <f t="shared" si="7"/>
        <v>897_31__vm</v>
      </c>
      <c r="AB851" s="3" t="str">
        <f t="shared" si="6"/>
        <v>897_31__vm_2</v>
      </c>
      <c r="AD851" s="3" t="s">
        <v>37</v>
      </c>
    </row>
    <row r="852" spans="1:30" ht="12.5">
      <c r="A852" s="3">
        <v>851</v>
      </c>
      <c r="C852" s="21"/>
      <c r="F852" s="3"/>
      <c r="H852" s="3"/>
      <c r="M852" s="3" t="s">
        <v>38</v>
      </c>
      <c r="N852" s="3">
        <v>23</v>
      </c>
      <c r="O852" s="3">
        <v>0</v>
      </c>
      <c r="P852" s="3">
        <v>6</v>
      </c>
      <c r="R852" s="3">
        <v>0</v>
      </c>
      <c r="S852" s="3">
        <v>0</v>
      </c>
      <c r="T852" s="3">
        <v>0</v>
      </c>
      <c r="U852" s="3">
        <v>1.1440000000000001E-2</v>
      </c>
      <c r="V852" s="3">
        <v>0</v>
      </c>
      <c r="W852" s="3">
        <v>0</v>
      </c>
      <c r="AA852" s="3" t="str">
        <f t="shared" si="7"/>
        <v>___</v>
      </c>
      <c r="AB852" s="3" t="str">
        <f t="shared" si="6"/>
        <v>____</v>
      </c>
    </row>
    <row r="853" spans="1:30" ht="12.5">
      <c r="A853" s="3">
        <v>852</v>
      </c>
      <c r="C853" s="21"/>
      <c r="F853" s="3"/>
      <c r="H853" s="3"/>
      <c r="M853" s="3" t="s">
        <v>39</v>
      </c>
      <c r="N853" s="3">
        <v>39</v>
      </c>
      <c r="O853" s="3">
        <v>0</v>
      </c>
      <c r="P853" s="3">
        <v>7</v>
      </c>
      <c r="R853" s="3">
        <v>1</v>
      </c>
      <c r="S853" s="3">
        <v>0</v>
      </c>
      <c r="T853" s="3">
        <v>0</v>
      </c>
      <c r="U853" s="3">
        <v>2.6700000000000002E-2</v>
      </c>
      <c r="V853" s="3">
        <v>1.7340000000000001E-2</v>
      </c>
      <c r="W853" s="3">
        <v>0</v>
      </c>
      <c r="AA853" s="3" t="str">
        <f t="shared" si="7"/>
        <v>___</v>
      </c>
      <c r="AB853" s="3" t="str">
        <f t="shared" si="6"/>
        <v>____</v>
      </c>
    </row>
    <row r="854" spans="1:30" ht="12.5">
      <c r="A854" s="3">
        <v>853</v>
      </c>
      <c r="C854" s="20">
        <v>897</v>
      </c>
      <c r="D854" s="3">
        <v>31</v>
      </c>
      <c r="F854" s="3"/>
      <c r="H854" s="3" t="s">
        <v>40</v>
      </c>
      <c r="I854" s="3">
        <v>3</v>
      </c>
      <c r="J854" s="3">
        <v>13.7</v>
      </c>
      <c r="K854" s="3">
        <v>28.7</v>
      </c>
      <c r="L854" s="3">
        <v>5</v>
      </c>
      <c r="M854" s="3" t="s">
        <v>36</v>
      </c>
      <c r="N854" s="3">
        <v>17</v>
      </c>
      <c r="O854" s="3">
        <v>4</v>
      </c>
      <c r="P854" s="3">
        <v>4</v>
      </c>
      <c r="R854" s="3">
        <v>0</v>
      </c>
      <c r="S854" s="3">
        <v>1</v>
      </c>
      <c r="T854" s="3">
        <v>1.6119999999999999E-2</v>
      </c>
      <c r="U854" s="3">
        <v>5.8199999999999997E-3</v>
      </c>
      <c r="V854" s="3">
        <v>0</v>
      </c>
      <c r="W854" s="3">
        <v>9.0950000000000003E-2</v>
      </c>
      <c r="Y854" s="3" t="s">
        <v>130</v>
      </c>
      <c r="AA854" s="3" t="str">
        <f t="shared" si="7"/>
        <v>897_31__vm</v>
      </c>
      <c r="AB854" s="3" t="str">
        <f t="shared" si="6"/>
        <v>897_31__vm_3</v>
      </c>
      <c r="AD854" s="3" t="s">
        <v>37</v>
      </c>
    </row>
    <row r="855" spans="1:30" ht="12.5">
      <c r="A855" s="3">
        <v>854</v>
      </c>
      <c r="C855" s="21"/>
      <c r="F855" s="3"/>
      <c r="H855" s="3"/>
      <c r="M855" s="3" t="s">
        <v>38</v>
      </c>
      <c r="N855" s="3">
        <v>39</v>
      </c>
      <c r="O855" s="3">
        <v>0</v>
      </c>
      <c r="P855" s="3">
        <v>6</v>
      </c>
      <c r="R855" s="3">
        <v>0</v>
      </c>
      <c r="S855" s="3">
        <v>0</v>
      </c>
      <c r="T855" s="3">
        <v>0</v>
      </c>
      <c r="U855" s="3">
        <v>2.4049999999999998E-2</v>
      </c>
      <c r="V855" s="3">
        <v>0</v>
      </c>
      <c r="W855" s="3">
        <v>0</v>
      </c>
      <c r="AA855" s="3" t="str">
        <f t="shared" si="7"/>
        <v>___</v>
      </c>
      <c r="AB855" s="3" t="str">
        <f t="shared" si="6"/>
        <v>____</v>
      </c>
    </row>
    <row r="856" spans="1:30" ht="12.5">
      <c r="A856" s="3">
        <v>855</v>
      </c>
      <c r="C856" s="21"/>
      <c r="F856" s="3"/>
      <c r="H856" s="3"/>
      <c r="M856" s="3" t="s">
        <v>39</v>
      </c>
      <c r="N856" s="3">
        <v>67</v>
      </c>
      <c r="O856" s="3">
        <v>0</v>
      </c>
      <c r="P856" s="3">
        <v>9</v>
      </c>
      <c r="R856" s="3">
        <v>2</v>
      </c>
      <c r="S856" s="3">
        <v>0</v>
      </c>
      <c r="T856" s="3">
        <v>0</v>
      </c>
      <c r="U856" s="3">
        <v>0.11239</v>
      </c>
      <c r="V856" s="3">
        <v>0.23169999999999999</v>
      </c>
      <c r="W856" s="3">
        <v>0</v>
      </c>
      <c r="AA856" s="3" t="str">
        <f t="shared" si="7"/>
        <v>___</v>
      </c>
      <c r="AB856" s="3" t="str">
        <f t="shared" si="6"/>
        <v>____</v>
      </c>
    </row>
    <row r="857" spans="1:30" ht="12.5">
      <c r="A857" s="3">
        <v>856</v>
      </c>
      <c r="C857" s="20">
        <v>897</v>
      </c>
      <c r="D857" s="3">
        <v>31</v>
      </c>
      <c r="F857" s="3"/>
      <c r="H857" s="3" t="s">
        <v>35</v>
      </c>
      <c r="I857" s="3">
        <v>1</v>
      </c>
      <c r="J857" s="3">
        <v>15.7</v>
      </c>
      <c r="K857" s="3">
        <v>16.399999999999999</v>
      </c>
      <c r="L857" s="3">
        <v>4</v>
      </c>
      <c r="M857" s="3" t="s">
        <v>36</v>
      </c>
      <c r="N857" s="3">
        <v>28</v>
      </c>
      <c r="O857" s="3">
        <v>10</v>
      </c>
      <c r="P857" s="3">
        <v>10</v>
      </c>
      <c r="R857" s="3">
        <v>0</v>
      </c>
      <c r="S857" s="3">
        <v>0</v>
      </c>
      <c r="T857" s="3">
        <v>6.8309999999999996E-2</v>
      </c>
      <c r="U857" s="3">
        <v>8.9099999999999995E-3</v>
      </c>
      <c r="V857" s="3">
        <v>0</v>
      </c>
      <c r="W857" s="3">
        <v>0</v>
      </c>
      <c r="AA857" s="3" t="str">
        <f t="shared" si="7"/>
        <v>897_31__vv</v>
      </c>
      <c r="AB857" s="3" t="str">
        <f t="shared" si="6"/>
        <v>897_31__vv_1</v>
      </c>
      <c r="AD857" s="3" t="s">
        <v>37</v>
      </c>
    </row>
    <row r="858" spans="1:30" ht="12.5">
      <c r="A858" s="3">
        <v>857</v>
      </c>
      <c r="C858" s="21"/>
      <c r="F858" s="3"/>
      <c r="H858" s="3"/>
      <c r="M858" s="3" t="s">
        <v>38</v>
      </c>
      <c r="N858" s="3">
        <v>53</v>
      </c>
      <c r="O858" s="3">
        <v>13</v>
      </c>
      <c r="P858" s="3">
        <v>20</v>
      </c>
      <c r="R858" s="3">
        <v>0</v>
      </c>
      <c r="S858" s="3">
        <v>0</v>
      </c>
      <c r="T858" s="3">
        <v>8.3470000000000003E-2</v>
      </c>
      <c r="U858" s="3">
        <v>3.9170000000000003E-2</v>
      </c>
      <c r="V858" s="3">
        <v>0</v>
      </c>
      <c r="W858" s="3">
        <v>0</v>
      </c>
      <c r="AA858" s="3" t="str">
        <f t="shared" si="7"/>
        <v>___</v>
      </c>
      <c r="AB858" s="3" t="str">
        <f t="shared" si="6"/>
        <v>____</v>
      </c>
    </row>
    <row r="859" spans="1:30" ht="12.5">
      <c r="A859" s="3">
        <v>858</v>
      </c>
      <c r="C859" s="21"/>
      <c r="F859" s="3"/>
      <c r="H859" s="3"/>
      <c r="M859" s="3" t="s">
        <v>39</v>
      </c>
      <c r="N859" s="3">
        <v>24</v>
      </c>
      <c r="O859" s="3">
        <v>2</v>
      </c>
      <c r="P859" s="3">
        <v>11</v>
      </c>
      <c r="R859" s="3">
        <v>0</v>
      </c>
      <c r="S859" s="3">
        <v>0</v>
      </c>
      <c r="T859" s="3">
        <v>1.0670000000000001E-2</v>
      </c>
      <c r="U859" s="3">
        <v>4.2799999999999998E-2</v>
      </c>
      <c r="V859" s="3">
        <v>0</v>
      </c>
      <c r="W859" s="3">
        <v>0</v>
      </c>
      <c r="AA859" s="3" t="str">
        <f t="shared" si="7"/>
        <v>___</v>
      </c>
      <c r="AB859" s="3" t="str">
        <f t="shared" si="6"/>
        <v>____</v>
      </c>
    </row>
    <row r="860" spans="1:30" ht="12.5">
      <c r="A860" s="3">
        <v>859</v>
      </c>
      <c r="C860" s="20">
        <v>897</v>
      </c>
      <c r="D860" s="3">
        <v>31</v>
      </c>
      <c r="F860" s="3"/>
      <c r="H860" s="3" t="s">
        <v>35</v>
      </c>
      <c r="I860" s="3">
        <v>2</v>
      </c>
      <c r="J860" s="3">
        <v>13.1</v>
      </c>
      <c r="K860" s="3">
        <v>13.2</v>
      </c>
      <c r="L860" s="3">
        <v>5</v>
      </c>
      <c r="M860" s="3" t="s">
        <v>36</v>
      </c>
      <c r="N860" s="3">
        <v>22</v>
      </c>
      <c r="O860" s="3">
        <v>9</v>
      </c>
      <c r="P860" s="3">
        <v>10</v>
      </c>
      <c r="R860" s="3">
        <v>0</v>
      </c>
      <c r="S860" s="3">
        <v>0</v>
      </c>
      <c r="T860" s="3">
        <v>3.7789999999999997E-2</v>
      </c>
      <c r="U860" s="3">
        <v>4.47E-3</v>
      </c>
      <c r="V860" s="3">
        <v>0</v>
      </c>
      <c r="W860" s="3">
        <v>0</v>
      </c>
      <c r="AA860" s="3" t="str">
        <f t="shared" si="7"/>
        <v>897_31__vv</v>
      </c>
      <c r="AB860" s="3" t="str">
        <f t="shared" si="6"/>
        <v>897_31__vv_2</v>
      </c>
      <c r="AD860" s="3" t="s">
        <v>37</v>
      </c>
    </row>
    <row r="861" spans="1:30" ht="12.5">
      <c r="A861" s="3">
        <v>860</v>
      </c>
      <c r="C861" s="21"/>
      <c r="F861" s="3"/>
      <c r="H861" s="3"/>
      <c r="M861" s="3" t="s">
        <v>38</v>
      </c>
      <c r="N861" s="3">
        <v>26</v>
      </c>
      <c r="O861" s="3">
        <v>7</v>
      </c>
      <c r="P861" s="3">
        <v>12</v>
      </c>
      <c r="R861" s="3">
        <v>0</v>
      </c>
      <c r="S861" s="3">
        <v>0</v>
      </c>
      <c r="T861" s="3">
        <v>3.9300000000000002E-2</v>
      </c>
      <c r="U861" s="3">
        <v>8.8199999999999997E-3</v>
      </c>
      <c r="V861" s="3">
        <v>0</v>
      </c>
      <c r="W861" s="3">
        <v>0</v>
      </c>
      <c r="AA861" s="3" t="str">
        <f t="shared" si="7"/>
        <v>___</v>
      </c>
      <c r="AB861" s="3" t="str">
        <f t="shared" si="6"/>
        <v>____</v>
      </c>
    </row>
    <row r="862" spans="1:30" ht="12.5">
      <c r="A862" s="3">
        <v>861</v>
      </c>
      <c r="C862" s="21"/>
      <c r="F862" s="3"/>
      <c r="H862" s="3"/>
      <c r="M862" s="3" t="s">
        <v>39</v>
      </c>
      <c r="N862" s="3">
        <v>23</v>
      </c>
      <c r="O862" s="3">
        <v>6</v>
      </c>
      <c r="P862" s="3">
        <v>10</v>
      </c>
      <c r="R862" s="3">
        <v>0</v>
      </c>
      <c r="S862" s="3">
        <v>0</v>
      </c>
      <c r="T862" s="3">
        <v>3.2829999999999998E-2</v>
      </c>
      <c r="U862" s="3">
        <v>1.1469999999999999E-2</v>
      </c>
      <c r="V862" s="3">
        <v>0</v>
      </c>
      <c r="W862" s="3">
        <v>0</v>
      </c>
      <c r="AA862" s="3" t="str">
        <f t="shared" si="7"/>
        <v>___</v>
      </c>
      <c r="AB862" s="3" t="str">
        <f t="shared" si="6"/>
        <v>____</v>
      </c>
    </row>
    <row r="863" spans="1:30" ht="12.5">
      <c r="A863" s="3">
        <v>862</v>
      </c>
      <c r="C863" s="20">
        <v>897</v>
      </c>
      <c r="D863" s="3">
        <v>31</v>
      </c>
      <c r="F863" s="3"/>
      <c r="H863" s="3" t="s">
        <v>35</v>
      </c>
      <c r="I863" s="3">
        <v>3</v>
      </c>
      <c r="J863" s="3">
        <v>13.5</v>
      </c>
      <c r="K863" s="3">
        <v>14.4</v>
      </c>
      <c r="L863" s="3">
        <v>4</v>
      </c>
      <c r="M863" s="3" t="s">
        <v>36</v>
      </c>
      <c r="N863" s="3">
        <v>15</v>
      </c>
      <c r="O863" s="3">
        <v>9</v>
      </c>
      <c r="P863" s="3">
        <v>9</v>
      </c>
      <c r="R863" s="3">
        <v>0</v>
      </c>
      <c r="S863" s="3">
        <v>0</v>
      </c>
      <c r="T863" s="3">
        <v>3.168E-2</v>
      </c>
      <c r="U863" s="3">
        <v>3.2299999999999998E-3</v>
      </c>
      <c r="V863" s="3">
        <v>0</v>
      </c>
      <c r="W863" s="3">
        <v>0</v>
      </c>
      <c r="AA863" s="3" t="str">
        <f t="shared" si="7"/>
        <v>897_31__vv</v>
      </c>
      <c r="AB863" s="3" t="str">
        <f t="shared" si="6"/>
        <v>897_31__vv_3</v>
      </c>
      <c r="AD863" s="3" t="s">
        <v>37</v>
      </c>
    </row>
    <row r="864" spans="1:30" ht="12.5">
      <c r="A864" s="3">
        <v>863</v>
      </c>
      <c r="C864" s="21"/>
      <c r="F864" s="3"/>
      <c r="H864" s="3"/>
      <c r="M864" s="3" t="s">
        <v>38</v>
      </c>
      <c r="N864" s="3">
        <v>27</v>
      </c>
      <c r="O864" s="3">
        <v>9</v>
      </c>
      <c r="P864" s="3">
        <v>15</v>
      </c>
      <c r="R864" s="3">
        <v>0</v>
      </c>
      <c r="S864" s="3">
        <v>0</v>
      </c>
      <c r="T864" s="3">
        <v>0.12762999999999999</v>
      </c>
      <c r="U864" s="3">
        <v>1.3299999999999999E-2</v>
      </c>
      <c r="V864" s="3">
        <v>0</v>
      </c>
      <c r="W864" s="3">
        <v>0</v>
      </c>
      <c r="AA864" s="3" t="str">
        <f t="shared" si="7"/>
        <v>___</v>
      </c>
      <c r="AB864" s="3" t="str">
        <f t="shared" si="6"/>
        <v>____</v>
      </c>
    </row>
    <row r="865" spans="1:30" ht="12.5">
      <c r="A865" s="3">
        <v>864</v>
      </c>
      <c r="C865" s="21"/>
      <c r="F865" s="3"/>
      <c r="H865" s="3"/>
      <c r="M865" s="3" t="s">
        <v>39</v>
      </c>
      <c r="N865" s="3">
        <v>24</v>
      </c>
      <c r="O865" s="3">
        <v>3</v>
      </c>
      <c r="P865" s="3">
        <v>11</v>
      </c>
      <c r="R865" s="3">
        <v>0</v>
      </c>
      <c r="S865" s="3">
        <v>0</v>
      </c>
      <c r="T865" s="3">
        <v>3.2890000000000003E-2</v>
      </c>
      <c r="U865" s="3">
        <v>1.993E-2</v>
      </c>
      <c r="V865" s="3">
        <v>0</v>
      </c>
      <c r="W865" s="3">
        <v>0</v>
      </c>
      <c r="AA865" s="3" t="str">
        <f t="shared" si="7"/>
        <v>___</v>
      </c>
      <c r="AB865" s="3" t="str">
        <f t="shared" si="6"/>
        <v>____</v>
      </c>
    </row>
    <row r="866" spans="1:30" ht="12.5">
      <c r="A866" s="3">
        <v>865</v>
      </c>
      <c r="C866" s="20">
        <v>897</v>
      </c>
      <c r="D866" s="6">
        <v>42</v>
      </c>
      <c r="F866" s="3"/>
      <c r="H866" s="3" t="s">
        <v>40</v>
      </c>
      <c r="I866" s="3">
        <v>1</v>
      </c>
      <c r="J866" s="3">
        <v>13.9</v>
      </c>
      <c r="K866" s="3">
        <v>13.9</v>
      </c>
      <c r="L866" s="3">
        <v>6</v>
      </c>
      <c r="M866" s="3" t="s">
        <v>36</v>
      </c>
      <c r="N866" s="3">
        <v>22</v>
      </c>
      <c r="O866" s="3">
        <v>5</v>
      </c>
      <c r="P866" s="3">
        <v>6</v>
      </c>
      <c r="R866" s="3">
        <v>0</v>
      </c>
      <c r="S866" s="3">
        <v>0</v>
      </c>
      <c r="T866" s="3">
        <v>8.8599999999999998E-3</v>
      </c>
      <c r="U866" s="3">
        <v>6.3499999999999997E-3</v>
      </c>
      <c r="V866" s="3">
        <v>0</v>
      </c>
      <c r="W866" s="3">
        <v>0</v>
      </c>
      <c r="AA866" s="3" t="str">
        <f t="shared" si="7"/>
        <v>897_42__vm</v>
      </c>
      <c r="AB866" s="3" t="str">
        <f t="shared" si="6"/>
        <v>897_42__vm_1</v>
      </c>
      <c r="AD866" s="3" t="s">
        <v>37</v>
      </c>
    </row>
    <row r="867" spans="1:30" ht="12.5">
      <c r="A867" s="3">
        <v>866</v>
      </c>
      <c r="C867" s="21"/>
      <c r="F867" s="3"/>
      <c r="H867" s="3"/>
      <c r="M867" s="3" t="s">
        <v>38</v>
      </c>
      <c r="N867" s="3">
        <v>43</v>
      </c>
      <c r="O867" s="3">
        <v>0</v>
      </c>
      <c r="P867" s="3">
        <v>9</v>
      </c>
      <c r="R867" s="3">
        <v>2</v>
      </c>
      <c r="S867" s="3">
        <v>0</v>
      </c>
      <c r="T867" s="3">
        <v>0</v>
      </c>
      <c r="U867" s="3">
        <v>2.206E-2</v>
      </c>
      <c r="V867" s="3">
        <v>6.7999999999999996E-3</v>
      </c>
      <c r="W867" s="3">
        <v>0</v>
      </c>
      <c r="AA867" s="3" t="str">
        <f t="shared" si="7"/>
        <v>___</v>
      </c>
      <c r="AB867" s="3" t="str">
        <f t="shared" si="6"/>
        <v>____</v>
      </c>
    </row>
    <row r="868" spans="1:30" ht="12.5">
      <c r="A868" s="3">
        <v>867</v>
      </c>
      <c r="C868" s="21"/>
      <c r="F868" s="3"/>
      <c r="H868" s="3"/>
      <c r="M868" s="3" t="s">
        <v>39</v>
      </c>
      <c r="N868" s="3">
        <v>56</v>
      </c>
      <c r="O868" s="3">
        <v>0</v>
      </c>
      <c r="P868" s="3">
        <v>10</v>
      </c>
      <c r="R868" s="3">
        <v>1</v>
      </c>
      <c r="S868" s="3">
        <v>0</v>
      </c>
      <c r="T868" s="3">
        <v>0</v>
      </c>
      <c r="U868" s="3">
        <v>4.9529999999999998E-2</v>
      </c>
      <c r="V868" s="3">
        <v>8.1399999999999997E-3</v>
      </c>
      <c r="W868" s="3">
        <v>0</v>
      </c>
      <c r="AA868" s="3" t="str">
        <f t="shared" si="7"/>
        <v>___</v>
      </c>
      <c r="AB868" s="3" t="str">
        <f t="shared" si="6"/>
        <v>____</v>
      </c>
    </row>
    <row r="869" spans="1:30" ht="12.5">
      <c r="A869" s="3">
        <v>868</v>
      </c>
      <c r="C869" s="20">
        <v>897</v>
      </c>
      <c r="D869" s="3">
        <v>42</v>
      </c>
      <c r="F869" s="3"/>
      <c r="H869" s="3" t="s">
        <v>40</v>
      </c>
      <c r="I869" s="3">
        <v>2</v>
      </c>
      <c r="J869" s="3">
        <v>10.5</v>
      </c>
      <c r="K869" s="3">
        <v>10.9</v>
      </c>
      <c r="L869" s="3">
        <v>8</v>
      </c>
      <c r="M869" s="3" t="s">
        <v>36</v>
      </c>
      <c r="N869" s="3">
        <v>2</v>
      </c>
      <c r="O869" s="3">
        <v>1</v>
      </c>
      <c r="P869" s="3">
        <v>1</v>
      </c>
      <c r="R869" s="3">
        <v>0</v>
      </c>
      <c r="S869" s="3">
        <v>0</v>
      </c>
      <c r="T869" s="3">
        <v>1.92E-3</v>
      </c>
      <c r="V869" s="3">
        <v>0</v>
      </c>
      <c r="W869" s="3">
        <v>0</v>
      </c>
      <c r="Y869" s="3" t="s">
        <v>131</v>
      </c>
      <c r="AA869" s="3" t="str">
        <f t="shared" si="7"/>
        <v>897_42__vm</v>
      </c>
      <c r="AB869" s="3" t="str">
        <f t="shared" si="6"/>
        <v>897_42__vm_2</v>
      </c>
      <c r="AD869" s="3" t="s">
        <v>37</v>
      </c>
    </row>
    <row r="870" spans="1:30" ht="12.5">
      <c r="A870" s="3">
        <v>869</v>
      </c>
      <c r="C870" s="21"/>
      <c r="F870" s="3"/>
      <c r="H870" s="3"/>
      <c r="M870" s="3" t="s">
        <v>38</v>
      </c>
      <c r="N870" s="3">
        <v>20</v>
      </c>
      <c r="O870" s="3">
        <v>0</v>
      </c>
      <c r="P870" s="3">
        <v>5</v>
      </c>
      <c r="R870" s="3">
        <v>2</v>
      </c>
      <c r="S870" s="3">
        <v>0</v>
      </c>
      <c r="T870" s="3">
        <v>0</v>
      </c>
      <c r="U870" s="3">
        <v>6.0600000000000003E-3</v>
      </c>
      <c r="V870" s="3">
        <v>2.6099999999999999E-3</v>
      </c>
      <c r="W870" s="3">
        <v>0</v>
      </c>
      <c r="AA870" s="3" t="str">
        <f t="shared" si="7"/>
        <v>___</v>
      </c>
      <c r="AB870" s="3" t="str">
        <f t="shared" si="6"/>
        <v>____</v>
      </c>
    </row>
    <row r="871" spans="1:30" ht="12.5">
      <c r="A871" s="3">
        <v>870</v>
      </c>
      <c r="C871" s="21"/>
      <c r="F871" s="3"/>
      <c r="H871" s="3"/>
      <c r="M871" s="3" t="s">
        <v>39</v>
      </c>
      <c r="N871" s="3">
        <v>16</v>
      </c>
      <c r="O871" s="3">
        <v>0</v>
      </c>
      <c r="P871" s="3">
        <v>5</v>
      </c>
      <c r="R871" s="3">
        <v>0</v>
      </c>
      <c r="S871" s="3">
        <v>0</v>
      </c>
      <c r="T871" s="3">
        <v>0</v>
      </c>
      <c r="U871" s="3">
        <v>6.2599999999999999E-3</v>
      </c>
      <c r="V871" s="3">
        <v>0</v>
      </c>
      <c r="W871" s="3">
        <v>0</v>
      </c>
      <c r="AA871" s="3" t="str">
        <f t="shared" si="7"/>
        <v>___</v>
      </c>
      <c r="AB871" s="3" t="str">
        <f t="shared" si="6"/>
        <v>____</v>
      </c>
    </row>
    <row r="872" spans="1:30" ht="12.5">
      <c r="A872" s="3">
        <v>871</v>
      </c>
      <c r="C872" s="20">
        <v>897</v>
      </c>
      <c r="D872" s="3">
        <v>42</v>
      </c>
      <c r="F872" s="3"/>
      <c r="H872" s="3" t="s">
        <v>40</v>
      </c>
      <c r="I872" s="3">
        <v>3</v>
      </c>
      <c r="J872" s="3">
        <v>13.1</v>
      </c>
      <c r="K872" s="3">
        <v>12.7</v>
      </c>
      <c r="L872" s="3">
        <v>4</v>
      </c>
      <c r="M872" s="3" t="s">
        <v>36</v>
      </c>
      <c r="N872" s="3">
        <v>12</v>
      </c>
      <c r="O872" s="3">
        <v>5</v>
      </c>
      <c r="P872" s="3">
        <v>5</v>
      </c>
      <c r="R872" s="3">
        <v>0</v>
      </c>
      <c r="S872" s="3">
        <v>0</v>
      </c>
      <c r="T872" s="3">
        <v>6.5799999999999999E-3</v>
      </c>
      <c r="U872" s="3">
        <v>2.8800000000000002E-3</v>
      </c>
      <c r="V872" s="3">
        <v>0</v>
      </c>
      <c r="W872" s="3">
        <v>0</v>
      </c>
      <c r="AA872" s="3" t="str">
        <f t="shared" si="7"/>
        <v>897_42__vm</v>
      </c>
      <c r="AB872" s="3" t="str">
        <f t="shared" si="6"/>
        <v>897_42__vm_3</v>
      </c>
      <c r="AD872" s="3" t="s">
        <v>37</v>
      </c>
    </row>
    <row r="873" spans="1:30" ht="12.5">
      <c r="A873" s="3">
        <v>872</v>
      </c>
      <c r="C873" s="21"/>
      <c r="F873" s="3"/>
      <c r="H873" s="3"/>
      <c r="M873" s="3" t="s">
        <v>38</v>
      </c>
      <c r="N873" s="3">
        <v>46</v>
      </c>
      <c r="O873" s="3">
        <v>0</v>
      </c>
      <c r="P873" s="3">
        <v>8</v>
      </c>
      <c r="R873" s="3">
        <v>3</v>
      </c>
      <c r="S873" s="3">
        <v>0</v>
      </c>
      <c r="T873" s="3">
        <v>0</v>
      </c>
      <c r="U873" s="3">
        <v>2.989E-2</v>
      </c>
      <c r="V873" s="3">
        <v>1.4189999999999999E-2</v>
      </c>
      <c r="W873" s="3">
        <v>0</v>
      </c>
      <c r="AA873" s="3" t="str">
        <f t="shared" si="7"/>
        <v>___</v>
      </c>
      <c r="AB873" s="3" t="str">
        <f t="shared" si="6"/>
        <v>____</v>
      </c>
    </row>
    <row r="874" spans="1:30" ht="12.5">
      <c r="A874" s="3">
        <v>873</v>
      </c>
      <c r="C874" s="21"/>
      <c r="F874" s="3"/>
      <c r="H874" s="3"/>
      <c r="M874" s="3" t="s">
        <v>39</v>
      </c>
      <c r="N874" s="3">
        <v>58</v>
      </c>
      <c r="O874" s="3">
        <v>0</v>
      </c>
      <c r="P874" s="3">
        <v>7</v>
      </c>
      <c r="R874" s="3">
        <v>2</v>
      </c>
      <c r="S874" s="3">
        <v>0</v>
      </c>
      <c r="T874" s="3">
        <v>0</v>
      </c>
      <c r="U874" s="3">
        <v>7.2559999999999999E-2</v>
      </c>
      <c r="V874" s="3">
        <v>8.362E-2</v>
      </c>
      <c r="W874" s="3">
        <v>0</v>
      </c>
      <c r="AA874" s="3" t="str">
        <f t="shared" si="7"/>
        <v>___</v>
      </c>
      <c r="AB874" s="3" t="str">
        <f t="shared" si="6"/>
        <v>____</v>
      </c>
    </row>
    <row r="875" spans="1:30" ht="12.5">
      <c r="A875" s="3">
        <v>874</v>
      </c>
      <c r="C875" s="20">
        <v>897</v>
      </c>
      <c r="D875" s="3">
        <v>42</v>
      </c>
      <c r="F875" s="3"/>
      <c r="H875" s="3" t="s">
        <v>35</v>
      </c>
      <c r="I875" s="3">
        <v>1</v>
      </c>
      <c r="J875" s="3">
        <v>11.1</v>
      </c>
      <c r="K875" s="3">
        <v>13.1</v>
      </c>
      <c r="L875" s="3">
        <v>6</v>
      </c>
      <c r="M875" s="3" t="s">
        <v>36</v>
      </c>
      <c r="N875" s="3">
        <v>18</v>
      </c>
      <c r="O875" s="3">
        <v>10</v>
      </c>
      <c r="P875" s="3">
        <v>11</v>
      </c>
      <c r="R875" s="3">
        <v>0</v>
      </c>
      <c r="S875" s="3">
        <v>0</v>
      </c>
      <c r="T875" s="3">
        <v>3.1519999999999999E-2</v>
      </c>
      <c r="U875" s="3">
        <v>4.7499999999999999E-3</v>
      </c>
      <c r="V875" s="3">
        <v>0</v>
      </c>
      <c r="W875" s="3">
        <v>0</v>
      </c>
      <c r="AA875" s="3" t="str">
        <f t="shared" si="7"/>
        <v>897_42__vv</v>
      </c>
      <c r="AB875" s="3" t="str">
        <f t="shared" si="6"/>
        <v>897_42__vv_1</v>
      </c>
      <c r="AD875" s="3" t="s">
        <v>37</v>
      </c>
    </row>
    <row r="876" spans="1:30" ht="12.5">
      <c r="A876" s="3">
        <v>875</v>
      </c>
      <c r="C876" s="21"/>
      <c r="F876" s="3"/>
      <c r="H876" s="3"/>
      <c r="M876" s="3" t="s">
        <v>38</v>
      </c>
      <c r="N876" s="3">
        <v>18</v>
      </c>
      <c r="O876" s="3">
        <v>7</v>
      </c>
      <c r="P876" s="3">
        <v>10</v>
      </c>
      <c r="R876" s="3">
        <v>0</v>
      </c>
      <c r="S876" s="3">
        <v>0</v>
      </c>
      <c r="T876" s="3">
        <v>4.4749999999999998E-2</v>
      </c>
      <c r="U876" s="3">
        <v>8.5100000000000002E-3</v>
      </c>
      <c r="V876" s="3">
        <v>0</v>
      </c>
      <c r="W876" s="3">
        <v>0</v>
      </c>
      <c r="AA876" s="3" t="str">
        <f t="shared" si="7"/>
        <v>___</v>
      </c>
      <c r="AB876" s="3" t="str">
        <f t="shared" si="6"/>
        <v>____</v>
      </c>
    </row>
    <row r="877" spans="1:30" ht="12.5">
      <c r="A877" s="3">
        <v>876</v>
      </c>
      <c r="F877" s="3"/>
      <c r="H877" s="3"/>
      <c r="M877" s="3" t="s">
        <v>39</v>
      </c>
      <c r="N877" s="3">
        <v>16</v>
      </c>
      <c r="O877" s="3">
        <v>4</v>
      </c>
      <c r="P877" s="3">
        <v>10</v>
      </c>
      <c r="R877" s="3">
        <v>0</v>
      </c>
      <c r="S877" s="3">
        <v>0</v>
      </c>
      <c r="T877" s="3">
        <v>3.1E-2</v>
      </c>
      <c r="U877" s="3">
        <v>1.1010000000000001E-2</v>
      </c>
      <c r="V877" s="3">
        <v>0</v>
      </c>
      <c r="W877" s="3">
        <v>0</v>
      </c>
      <c r="AA877" s="3" t="str">
        <f t="shared" si="7"/>
        <v>___</v>
      </c>
      <c r="AB877" s="3" t="str">
        <f t="shared" si="6"/>
        <v>____</v>
      </c>
    </row>
    <row r="878" spans="1:30" ht="12.5">
      <c r="A878" s="3">
        <v>877</v>
      </c>
      <c r="C878" s="20">
        <v>897</v>
      </c>
      <c r="D878" s="3">
        <v>42</v>
      </c>
      <c r="F878" s="3"/>
      <c r="H878" s="3" t="s">
        <v>35</v>
      </c>
      <c r="I878" s="3">
        <v>2</v>
      </c>
      <c r="J878" s="3">
        <v>11</v>
      </c>
      <c r="K878" s="3">
        <v>11.5</v>
      </c>
      <c r="L878" s="3">
        <v>5</v>
      </c>
      <c r="M878" s="3" t="s">
        <v>36</v>
      </c>
      <c r="N878" s="3">
        <v>21</v>
      </c>
      <c r="O878" s="3">
        <v>8</v>
      </c>
      <c r="P878" s="3">
        <v>11</v>
      </c>
      <c r="R878" s="3">
        <v>0</v>
      </c>
      <c r="S878" s="3">
        <v>0</v>
      </c>
      <c r="T878" s="3">
        <v>1.8239999999999999E-2</v>
      </c>
      <c r="U878" s="3">
        <v>3.8500000000000001E-3</v>
      </c>
      <c r="V878" s="3">
        <v>0</v>
      </c>
      <c r="W878" s="3">
        <v>0</v>
      </c>
      <c r="AA878" s="3" t="str">
        <f t="shared" si="7"/>
        <v>897_42__vv</v>
      </c>
      <c r="AB878" s="3" t="str">
        <f t="shared" si="6"/>
        <v>897_42__vv_2</v>
      </c>
      <c r="AD878" s="3" t="s">
        <v>37</v>
      </c>
    </row>
    <row r="879" spans="1:30" ht="12.5">
      <c r="A879" s="3">
        <v>878</v>
      </c>
      <c r="F879" s="3"/>
      <c r="H879" s="3"/>
      <c r="M879" s="3" t="s">
        <v>38</v>
      </c>
      <c r="N879" s="3">
        <v>17</v>
      </c>
      <c r="O879" s="3">
        <v>7</v>
      </c>
      <c r="P879" s="3">
        <v>10</v>
      </c>
      <c r="R879" s="3">
        <v>0</v>
      </c>
      <c r="S879" s="3">
        <v>0</v>
      </c>
      <c r="T879" s="3">
        <v>1.5820000000000001E-2</v>
      </c>
      <c r="U879" s="3">
        <v>5.4200000000000003E-3</v>
      </c>
      <c r="V879" s="3">
        <v>0</v>
      </c>
      <c r="W879" s="3">
        <v>0</v>
      </c>
      <c r="AA879" s="3" t="str">
        <f t="shared" si="7"/>
        <v>___</v>
      </c>
      <c r="AB879" s="3" t="str">
        <f t="shared" si="6"/>
        <v>____</v>
      </c>
    </row>
    <row r="880" spans="1:30" ht="12.5">
      <c r="A880" s="3">
        <v>879</v>
      </c>
      <c r="F880" s="3"/>
      <c r="H880" s="3"/>
      <c r="M880" s="3" t="s">
        <v>39</v>
      </c>
      <c r="N880" s="3">
        <v>23</v>
      </c>
      <c r="O880" s="3">
        <v>2</v>
      </c>
      <c r="P880" s="3">
        <v>10</v>
      </c>
      <c r="R880" s="3">
        <v>1</v>
      </c>
      <c r="S880" s="3">
        <v>0</v>
      </c>
      <c r="T880" s="3">
        <v>1.072E-2</v>
      </c>
      <c r="U880" s="3">
        <v>1.4E-2</v>
      </c>
      <c r="V880" s="3">
        <v>4.0620000000000003E-2</v>
      </c>
      <c r="W880" s="3">
        <v>0</v>
      </c>
      <c r="AA880" s="3" t="str">
        <f t="shared" si="7"/>
        <v>___</v>
      </c>
      <c r="AB880" s="3" t="str">
        <f t="shared" si="6"/>
        <v>____</v>
      </c>
    </row>
    <row r="881" spans="1:30" ht="12.5">
      <c r="A881" s="3">
        <v>880</v>
      </c>
      <c r="C881" s="3">
        <v>897</v>
      </c>
      <c r="D881" s="3">
        <v>42</v>
      </c>
      <c r="F881" s="3"/>
      <c r="H881" s="3" t="s">
        <v>35</v>
      </c>
      <c r="I881" s="3">
        <v>3</v>
      </c>
      <c r="J881" s="3">
        <v>13.1</v>
      </c>
      <c r="K881" s="3">
        <v>11.8</v>
      </c>
      <c r="L881" s="3">
        <v>5</v>
      </c>
      <c r="M881" s="3" t="s">
        <v>36</v>
      </c>
      <c r="N881" s="3">
        <v>19</v>
      </c>
      <c r="O881" s="3">
        <v>7</v>
      </c>
      <c r="P881" s="3">
        <v>9</v>
      </c>
      <c r="R881" s="3">
        <v>0</v>
      </c>
      <c r="S881" s="3">
        <v>0</v>
      </c>
      <c r="T881" s="3">
        <v>4.6800000000000001E-2</v>
      </c>
      <c r="U881" s="3">
        <v>5.1900000000000002E-3</v>
      </c>
      <c r="V881" s="3">
        <v>0</v>
      </c>
      <c r="W881" s="3">
        <v>0</v>
      </c>
      <c r="AA881" s="3" t="str">
        <f t="shared" si="7"/>
        <v>897_42__vv</v>
      </c>
      <c r="AB881" s="3" t="str">
        <f t="shared" si="6"/>
        <v>897_42__vv_3</v>
      </c>
      <c r="AD881" s="3" t="s">
        <v>37</v>
      </c>
    </row>
    <row r="882" spans="1:30" ht="12.5">
      <c r="A882" s="3">
        <v>881</v>
      </c>
      <c r="F882" s="3"/>
      <c r="H882" s="3"/>
      <c r="M882" s="3" t="s">
        <v>38</v>
      </c>
      <c r="N882" s="3">
        <v>22</v>
      </c>
      <c r="O882" s="3">
        <v>7</v>
      </c>
      <c r="P882" s="3">
        <v>11</v>
      </c>
      <c r="R882" s="3">
        <v>1</v>
      </c>
      <c r="S882" s="3">
        <v>0</v>
      </c>
      <c r="T882" s="3">
        <v>6.5809999999999994E-2</v>
      </c>
      <c r="U882" s="3">
        <v>1.5820000000000001E-2</v>
      </c>
      <c r="V882" s="3">
        <v>2.3800000000000002E-2</v>
      </c>
      <c r="W882" s="3">
        <v>0</v>
      </c>
      <c r="AA882" s="3" t="str">
        <f t="shared" si="7"/>
        <v>___</v>
      </c>
      <c r="AB882" s="3" t="str">
        <f t="shared" si="6"/>
        <v>____</v>
      </c>
    </row>
    <row r="883" spans="1:30" ht="12.5">
      <c r="A883" s="3">
        <v>882</v>
      </c>
      <c r="F883" s="3"/>
      <c r="H883" s="3"/>
      <c r="M883" s="3" t="s">
        <v>39</v>
      </c>
      <c r="N883" s="3">
        <v>9</v>
      </c>
      <c r="O883" s="3">
        <v>0</v>
      </c>
      <c r="P883" s="3">
        <v>3</v>
      </c>
      <c r="R883" s="3">
        <v>0</v>
      </c>
      <c r="S883" s="3">
        <v>0</v>
      </c>
      <c r="T883" s="3">
        <v>0</v>
      </c>
      <c r="U883" s="3">
        <v>2.3700000000000001E-3</v>
      </c>
      <c r="V883" s="3">
        <v>0</v>
      </c>
      <c r="W883" s="3">
        <v>0</v>
      </c>
      <c r="AA883" s="3" t="str">
        <f t="shared" si="7"/>
        <v>___</v>
      </c>
      <c r="AB883" s="3" t="str">
        <f t="shared" si="6"/>
        <v>____</v>
      </c>
    </row>
    <row r="884" spans="1:30" ht="12.5">
      <c r="A884" s="3">
        <v>883</v>
      </c>
      <c r="C884" s="7">
        <v>794</v>
      </c>
      <c r="D884" s="6">
        <v>62</v>
      </c>
      <c r="F884" s="3"/>
      <c r="H884" s="3" t="s">
        <v>40</v>
      </c>
      <c r="I884" s="3">
        <v>1</v>
      </c>
      <c r="J884" s="3">
        <v>28.3</v>
      </c>
      <c r="K884" s="3">
        <v>35.200000000000003</v>
      </c>
      <c r="L884" s="3">
        <v>3</v>
      </c>
      <c r="M884" s="3" t="s">
        <v>36</v>
      </c>
      <c r="N884" s="3">
        <v>73</v>
      </c>
      <c r="O884" s="3">
        <v>8</v>
      </c>
      <c r="P884" s="3">
        <v>8</v>
      </c>
      <c r="R884" s="3">
        <v>0</v>
      </c>
      <c r="S884" s="3">
        <v>0</v>
      </c>
      <c r="T884" s="3">
        <v>5.0180000000000002E-2</v>
      </c>
      <c r="U884" s="3">
        <v>5.4609999999999999E-2</v>
      </c>
      <c r="V884" s="3">
        <v>0</v>
      </c>
      <c r="W884" s="3">
        <v>0</v>
      </c>
      <c r="AA884" s="3" t="str">
        <f t="shared" si="7"/>
        <v>794_62__vm</v>
      </c>
      <c r="AB884" s="3" t="str">
        <f t="shared" si="6"/>
        <v>794_62__vm_1</v>
      </c>
      <c r="AD884" s="3" t="s">
        <v>37</v>
      </c>
    </row>
    <row r="885" spans="1:30" ht="12.5">
      <c r="A885" s="3">
        <v>884</v>
      </c>
      <c r="F885" s="3"/>
      <c r="H885" s="3"/>
      <c r="M885" s="3" t="s">
        <v>38</v>
      </c>
      <c r="N885" s="3">
        <v>143</v>
      </c>
      <c r="O885" s="3">
        <v>0</v>
      </c>
      <c r="P885" s="3">
        <v>12</v>
      </c>
      <c r="R885" s="3">
        <v>4</v>
      </c>
      <c r="S885" s="3">
        <v>0</v>
      </c>
      <c r="T885" s="3">
        <v>0</v>
      </c>
      <c r="U885" s="3">
        <v>0.28219</v>
      </c>
      <c r="V885" s="3">
        <v>0.28842000000000001</v>
      </c>
      <c r="W885" s="3">
        <v>0</v>
      </c>
      <c r="AA885" s="3" t="str">
        <f t="shared" si="7"/>
        <v>___</v>
      </c>
      <c r="AB885" s="3" t="str">
        <f t="shared" si="6"/>
        <v>____</v>
      </c>
    </row>
    <row r="886" spans="1:30" ht="12.5">
      <c r="A886" s="3">
        <v>885</v>
      </c>
      <c r="F886" s="3"/>
      <c r="H886" s="3"/>
      <c r="M886" s="3" t="s">
        <v>39</v>
      </c>
      <c r="N886" s="3">
        <v>129</v>
      </c>
      <c r="O886" s="3">
        <v>0</v>
      </c>
      <c r="P886" s="3">
        <v>15</v>
      </c>
      <c r="R886" s="3">
        <v>0</v>
      </c>
      <c r="S886" s="3">
        <v>0</v>
      </c>
      <c r="T886" s="3">
        <v>0</v>
      </c>
      <c r="U886" s="3">
        <v>0.32318000000000002</v>
      </c>
      <c r="V886" s="3">
        <v>0</v>
      </c>
      <c r="W886" s="3">
        <v>0</v>
      </c>
      <c r="AA886" s="3" t="str">
        <f t="shared" si="7"/>
        <v>___</v>
      </c>
      <c r="AB886" s="3" t="str">
        <f t="shared" si="6"/>
        <v>____</v>
      </c>
    </row>
    <row r="887" spans="1:30" ht="12.5">
      <c r="A887" s="3">
        <v>886</v>
      </c>
      <c r="C887" s="7">
        <v>794</v>
      </c>
      <c r="D887" s="3">
        <v>62</v>
      </c>
      <c r="F887" s="3"/>
      <c r="H887" s="3" t="s">
        <v>40</v>
      </c>
      <c r="I887" s="3">
        <v>2</v>
      </c>
      <c r="J887" s="3">
        <v>33.5</v>
      </c>
      <c r="K887" s="3">
        <v>31.5</v>
      </c>
      <c r="L887" s="3">
        <v>5</v>
      </c>
      <c r="M887" s="3" t="s">
        <v>36</v>
      </c>
      <c r="N887" s="3">
        <v>31</v>
      </c>
      <c r="O887" s="3">
        <v>5</v>
      </c>
      <c r="P887" s="3">
        <v>5</v>
      </c>
      <c r="R887" s="3">
        <v>0</v>
      </c>
      <c r="S887" s="3">
        <v>0</v>
      </c>
      <c r="T887" s="3">
        <v>2.3109999999999999E-2</v>
      </c>
      <c r="U887" s="3">
        <v>9.1599999999999997E-3</v>
      </c>
      <c r="V887" s="3">
        <v>0</v>
      </c>
      <c r="W887" s="3">
        <v>0</v>
      </c>
      <c r="AA887" s="3" t="str">
        <f t="shared" si="7"/>
        <v>794_62__vm</v>
      </c>
      <c r="AB887" s="3" t="str">
        <f t="shared" si="6"/>
        <v>794_62__vm_2</v>
      </c>
      <c r="AD887" s="3" t="s">
        <v>37</v>
      </c>
    </row>
    <row r="888" spans="1:30" ht="12.5">
      <c r="A888" s="3">
        <v>887</v>
      </c>
      <c r="F888" s="3"/>
      <c r="H888" s="3"/>
      <c r="M888" s="3" t="s">
        <v>38</v>
      </c>
      <c r="N888" s="3">
        <v>65</v>
      </c>
      <c r="O888" s="3">
        <v>0</v>
      </c>
      <c r="P888" s="3">
        <v>7</v>
      </c>
      <c r="R888" s="3">
        <v>3</v>
      </c>
      <c r="S888" s="3">
        <v>0</v>
      </c>
      <c r="T888" s="3">
        <v>0</v>
      </c>
      <c r="U888" s="3">
        <v>3.866E-2</v>
      </c>
      <c r="V888" s="3">
        <v>6.3320000000000001E-2</v>
      </c>
      <c r="W888" s="3">
        <v>0</v>
      </c>
      <c r="AA888" s="3" t="str">
        <f t="shared" si="7"/>
        <v>___</v>
      </c>
      <c r="AB888" s="3" t="str">
        <f t="shared" si="6"/>
        <v>____</v>
      </c>
    </row>
    <row r="889" spans="1:30" ht="12.5">
      <c r="A889" s="3">
        <v>888</v>
      </c>
      <c r="F889" s="3"/>
      <c r="H889" s="3"/>
      <c r="M889" s="3" t="s">
        <v>39</v>
      </c>
      <c r="N889" s="3">
        <v>76</v>
      </c>
      <c r="O889" s="3">
        <v>0</v>
      </c>
      <c r="P889" s="3">
        <v>8</v>
      </c>
      <c r="R889" s="3">
        <v>2</v>
      </c>
      <c r="S889" s="3">
        <v>0</v>
      </c>
      <c r="T889" s="3">
        <v>0</v>
      </c>
      <c r="U889" s="3">
        <v>0.99970000000000003</v>
      </c>
      <c r="V889" s="3">
        <v>0.25186999999999998</v>
      </c>
      <c r="W889" s="3">
        <v>0</v>
      </c>
      <c r="AA889" s="3" t="str">
        <f t="shared" si="7"/>
        <v>___</v>
      </c>
      <c r="AB889" s="3" t="str">
        <f t="shared" si="6"/>
        <v>____</v>
      </c>
    </row>
    <row r="890" spans="1:30" ht="12.5">
      <c r="A890" s="3">
        <v>889</v>
      </c>
      <c r="C890" s="7">
        <v>794</v>
      </c>
      <c r="D890" s="3">
        <v>62</v>
      </c>
      <c r="F890" s="3"/>
      <c r="H890" s="3" t="s">
        <v>40</v>
      </c>
      <c r="I890" s="3">
        <v>3</v>
      </c>
      <c r="J890" s="3">
        <v>30.4</v>
      </c>
      <c r="K890" s="3">
        <v>30.9</v>
      </c>
      <c r="L890" s="3">
        <v>6</v>
      </c>
      <c r="M890" s="3" t="s">
        <v>36</v>
      </c>
      <c r="N890" s="3">
        <v>76</v>
      </c>
      <c r="O890" s="3">
        <v>8</v>
      </c>
      <c r="P890" s="3">
        <v>8</v>
      </c>
      <c r="R890" s="3">
        <v>0</v>
      </c>
      <c r="S890" s="3">
        <v>0</v>
      </c>
      <c r="T890" s="3">
        <v>7.5600000000000001E-2</v>
      </c>
      <c r="U890" s="3">
        <v>5.1549999999999999E-2</v>
      </c>
      <c r="V890" s="3">
        <v>0</v>
      </c>
      <c r="W890" s="3">
        <v>0</v>
      </c>
      <c r="AA890" s="3" t="str">
        <f t="shared" si="7"/>
        <v>794_62__vm</v>
      </c>
      <c r="AB890" s="3" t="str">
        <f t="shared" si="6"/>
        <v>794_62__vm_3</v>
      </c>
      <c r="AD890" s="3" t="s">
        <v>37</v>
      </c>
    </row>
    <row r="891" spans="1:30" ht="12.5">
      <c r="A891" s="3">
        <v>890</v>
      </c>
      <c r="F891" s="3"/>
      <c r="H891" s="3"/>
      <c r="M891" s="3" t="s">
        <v>38</v>
      </c>
      <c r="N891" s="3">
        <v>87</v>
      </c>
      <c r="O891" s="3">
        <v>0</v>
      </c>
      <c r="P891" s="3">
        <v>8</v>
      </c>
      <c r="R891" s="3">
        <v>2</v>
      </c>
      <c r="S891" s="3">
        <v>0</v>
      </c>
      <c r="T891" s="3">
        <v>0</v>
      </c>
      <c r="U891" s="3">
        <v>0.13173000000000001</v>
      </c>
      <c r="V891" s="3">
        <v>0.23014000000000001</v>
      </c>
      <c r="W891" s="3">
        <v>0</v>
      </c>
      <c r="AA891" s="3" t="str">
        <f t="shared" si="7"/>
        <v>___</v>
      </c>
      <c r="AB891" s="3" t="str">
        <f t="shared" si="6"/>
        <v>____</v>
      </c>
    </row>
    <row r="892" spans="1:30" ht="12.5">
      <c r="A892" s="3">
        <v>891</v>
      </c>
      <c r="F892" s="3"/>
      <c r="H892" s="3"/>
      <c r="M892" s="3" t="s">
        <v>39</v>
      </c>
      <c r="N892" s="3">
        <v>21</v>
      </c>
      <c r="O892" s="3">
        <v>0</v>
      </c>
      <c r="P892" s="3">
        <v>1</v>
      </c>
      <c r="R892" s="3">
        <v>0</v>
      </c>
      <c r="S892" s="3">
        <v>0</v>
      </c>
      <c r="T892" s="3">
        <v>0</v>
      </c>
      <c r="U892" s="3">
        <v>4.3839999999999997E-2</v>
      </c>
      <c r="V892" s="3">
        <v>0</v>
      </c>
      <c r="W892" s="3">
        <v>0</v>
      </c>
      <c r="AA892" s="3" t="str">
        <f t="shared" si="7"/>
        <v>___</v>
      </c>
      <c r="AB892" s="3" t="str">
        <f t="shared" si="6"/>
        <v>____</v>
      </c>
    </row>
    <row r="893" spans="1:30" ht="12.5">
      <c r="A893" s="3">
        <v>892</v>
      </c>
      <c r="C893" s="7">
        <v>794</v>
      </c>
      <c r="D893" s="3">
        <v>62</v>
      </c>
      <c r="F893" s="3"/>
      <c r="H893" s="3" t="s">
        <v>35</v>
      </c>
      <c r="I893" s="3">
        <v>1</v>
      </c>
      <c r="J893" s="3">
        <v>32.799999999999997</v>
      </c>
      <c r="K893" s="3">
        <v>39</v>
      </c>
      <c r="L893" s="3">
        <v>4</v>
      </c>
      <c r="M893" s="3" t="s">
        <v>36</v>
      </c>
      <c r="N893" s="3">
        <v>87</v>
      </c>
      <c r="O893" s="3">
        <v>15</v>
      </c>
      <c r="P893" s="3">
        <v>19</v>
      </c>
      <c r="R893" s="3">
        <v>0</v>
      </c>
      <c r="S893" s="3">
        <v>0</v>
      </c>
      <c r="T893" s="3">
        <v>0.36082999999999998</v>
      </c>
      <c r="U893" s="3">
        <v>7.3270000000000002E-2</v>
      </c>
      <c r="V893" s="3">
        <v>0</v>
      </c>
      <c r="W893" s="3">
        <v>0</v>
      </c>
      <c r="AA893" s="3" t="str">
        <f t="shared" si="7"/>
        <v>794_62__vv</v>
      </c>
      <c r="AB893" s="3" t="str">
        <f t="shared" si="6"/>
        <v>794_62__vv_1</v>
      </c>
      <c r="AD893" s="3" t="s">
        <v>37</v>
      </c>
    </row>
    <row r="894" spans="1:30" ht="12.5">
      <c r="A894" s="3">
        <v>893</v>
      </c>
      <c r="F894" s="3"/>
      <c r="H894" s="3"/>
      <c r="M894" s="3" t="s">
        <v>38</v>
      </c>
      <c r="N894" s="3">
        <v>105</v>
      </c>
      <c r="O894" s="3">
        <v>7</v>
      </c>
      <c r="P894" s="3">
        <v>14</v>
      </c>
      <c r="R894" s="3">
        <v>0</v>
      </c>
      <c r="S894" s="3">
        <v>0</v>
      </c>
      <c r="T894" s="3">
        <v>0.21515999999999999</v>
      </c>
      <c r="U894" s="3">
        <v>0.15276999999999999</v>
      </c>
      <c r="V894" s="3">
        <v>0</v>
      </c>
      <c r="W894" s="3">
        <v>0</v>
      </c>
      <c r="AA894" s="3" t="str">
        <f t="shared" si="7"/>
        <v>___</v>
      </c>
      <c r="AB894" s="3" t="str">
        <f t="shared" si="6"/>
        <v>____</v>
      </c>
    </row>
    <row r="895" spans="1:30" ht="12.5">
      <c r="A895" s="3">
        <v>894</v>
      </c>
      <c r="F895" s="3"/>
      <c r="H895" s="3"/>
      <c r="M895" s="3" t="s">
        <v>39</v>
      </c>
      <c r="N895" s="3">
        <v>103</v>
      </c>
      <c r="O895" s="3">
        <v>0</v>
      </c>
      <c r="P895" s="3">
        <v>9</v>
      </c>
      <c r="R895" s="3">
        <v>0</v>
      </c>
      <c r="S895" s="3">
        <v>0</v>
      </c>
      <c r="T895" s="3">
        <v>0</v>
      </c>
      <c r="U895" s="3">
        <v>0.16306999999999999</v>
      </c>
      <c r="V895" s="3">
        <v>0</v>
      </c>
      <c r="W895" s="3">
        <v>0</v>
      </c>
      <c r="AA895" s="3" t="str">
        <f t="shared" si="7"/>
        <v>___</v>
      </c>
      <c r="AB895" s="3" t="str">
        <f t="shared" si="6"/>
        <v>____</v>
      </c>
    </row>
    <row r="896" spans="1:30" ht="12.5">
      <c r="A896" s="3">
        <v>895</v>
      </c>
      <c r="C896" s="7">
        <v>794</v>
      </c>
      <c r="D896" s="3">
        <v>62</v>
      </c>
      <c r="F896" s="3"/>
      <c r="H896" s="3" t="s">
        <v>35</v>
      </c>
      <c r="I896" s="3">
        <v>2</v>
      </c>
      <c r="J896" s="3">
        <v>27.9</v>
      </c>
      <c r="K896" s="3">
        <v>27.4</v>
      </c>
      <c r="L896" s="3">
        <v>4</v>
      </c>
      <c r="M896" s="3" t="s">
        <v>36</v>
      </c>
      <c r="N896" s="3">
        <v>56</v>
      </c>
      <c r="O896" s="3">
        <v>11</v>
      </c>
      <c r="P896" s="3">
        <v>13</v>
      </c>
      <c r="R896" s="3">
        <v>0</v>
      </c>
      <c r="S896" s="3">
        <v>0</v>
      </c>
      <c r="T896" s="3">
        <v>0.13005</v>
      </c>
      <c r="U896" s="3">
        <v>2.7869999999999999E-2</v>
      </c>
      <c r="V896" s="3">
        <v>0</v>
      </c>
      <c r="W896" s="3">
        <v>0</v>
      </c>
      <c r="AA896" s="3" t="str">
        <f t="shared" si="7"/>
        <v>794_62__vv</v>
      </c>
      <c r="AB896" s="3" t="str">
        <f t="shared" si="6"/>
        <v>794_62__vv_2</v>
      </c>
      <c r="AD896" s="3" t="s">
        <v>37</v>
      </c>
    </row>
    <row r="897" spans="1:30" ht="12.5">
      <c r="A897" s="3">
        <v>896</v>
      </c>
      <c r="F897" s="3"/>
      <c r="H897" s="3"/>
      <c r="M897" s="3" t="s">
        <v>38</v>
      </c>
      <c r="N897" s="3">
        <v>94</v>
      </c>
      <c r="O897" s="3">
        <v>8</v>
      </c>
      <c r="P897" s="3">
        <v>29</v>
      </c>
      <c r="R897" s="3">
        <v>0</v>
      </c>
      <c r="S897" s="3">
        <v>0</v>
      </c>
      <c r="T897" s="3">
        <v>4.4450000000000003E-2</v>
      </c>
      <c r="U897" s="3">
        <v>8.7050000000000002E-2</v>
      </c>
      <c r="V897" s="3">
        <v>0</v>
      </c>
      <c r="W897" s="3">
        <v>0</v>
      </c>
      <c r="AA897" s="3" t="str">
        <f t="shared" si="7"/>
        <v>___</v>
      </c>
      <c r="AB897" s="3" t="str">
        <f t="shared" si="6"/>
        <v>____</v>
      </c>
    </row>
    <row r="898" spans="1:30" ht="12.5">
      <c r="A898" s="3">
        <v>897</v>
      </c>
      <c r="F898" s="3"/>
      <c r="H898" s="3"/>
      <c r="M898" s="3" t="s">
        <v>39</v>
      </c>
      <c r="N898" s="3">
        <v>61</v>
      </c>
      <c r="O898" s="3">
        <v>0</v>
      </c>
      <c r="P898" s="3">
        <v>16</v>
      </c>
      <c r="R898" s="3">
        <v>0</v>
      </c>
      <c r="S898" s="3">
        <v>0</v>
      </c>
      <c r="T898" s="3">
        <v>0</v>
      </c>
      <c r="U898" s="3">
        <v>7.2370000000000004E-2</v>
      </c>
      <c r="V898" s="3">
        <v>0</v>
      </c>
      <c r="W898" s="3">
        <v>0</v>
      </c>
      <c r="AA898" s="3" t="str">
        <f t="shared" si="7"/>
        <v>___</v>
      </c>
      <c r="AB898" s="3" t="str">
        <f t="shared" si="6"/>
        <v>____</v>
      </c>
    </row>
    <row r="899" spans="1:30" ht="12.5">
      <c r="A899" s="3">
        <v>898</v>
      </c>
      <c r="C899" s="7">
        <v>794</v>
      </c>
      <c r="D899" s="3">
        <v>62</v>
      </c>
      <c r="F899" s="3"/>
      <c r="H899" s="3" t="s">
        <v>35</v>
      </c>
      <c r="I899" s="3">
        <v>3</v>
      </c>
      <c r="J899" s="3">
        <v>19.100000000000001</v>
      </c>
      <c r="K899" s="3">
        <v>27.1</v>
      </c>
      <c r="L899" s="3">
        <v>4</v>
      </c>
      <c r="M899" s="3" t="s">
        <v>36</v>
      </c>
      <c r="N899" s="3">
        <v>61</v>
      </c>
      <c r="O899" s="3">
        <v>13</v>
      </c>
      <c r="P899" s="3">
        <v>17</v>
      </c>
      <c r="R899" s="3">
        <v>0</v>
      </c>
      <c r="S899" s="3">
        <v>0</v>
      </c>
      <c r="T899" s="3">
        <v>0.17979000000000001</v>
      </c>
      <c r="U899" s="3">
        <v>2.614E-2</v>
      </c>
      <c r="V899" s="3">
        <v>0</v>
      </c>
      <c r="W899" s="3">
        <v>0</v>
      </c>
      <c r="AA899" s="3" t="str">
        <f t="shared" si="7"/>
        <v>794_62__vv</v>
      </c>
      <c r="AB899" s="3" t="str">
        <f t="shared" si="6"/>
        <v>794_62__vv_3</v>
      </c>
      <c r="AD899" s="3" t="s">
        <v>37</v>
      </c>
    </row>
    <row r="900" spans="1:30" ht="12.5">
      <c r="A900" s="3">
        <v>899</v>
      </c>
      <c r="F900" s="3"/>
      <c r="H900" s="3"/>
      <c r="M900" s="3" t="s">
        <v>38</v>
      </c>
      <c r="N900" s="3">
        <v>76</v>
      </c>
      <c r="O900" s="3">
        <v>9</v>
      </c>
      <c r="P900" s="3">
        <v>16</v>
      </c>
      <c r="R900" s="3">
        <v>0</v>
      </c>
      <c r="S900" s="3">
        <v>0</v>
      </c>
      <c r="T900" s="3">
        <v>0.20330000000000001</v>
      </c>
      <c r="U900" s="3">
        <v>5.6599999999999998E-2</v>
      </c>
      <c r="V900" s="3">
        <v>0</v>
      </c>
      <c r="W900" s="3">
        <v>0</v>
      </c>
      <c r="AA900" s="3" t="str">
        <f t="shared" si="7"/>
        <v>___</v>
      </c>
      <c r="AB900" s="3" t="str">
        <f t="shared" si="6"/>
        <v>____</v>
      </c>
    </row>
    <row r="901" spans="1:30" ht="12.5">
      <c r="A901" s="3">
        <v>900</v>
      </c>
      <c r="F901" s="3"/>
      <c r="H901" s="3"/>
      <c r="M901" s="3" t="s">
        <v>39</v>
      </c>
      <c r="N901" s="3">
        <v>83</v>
      </c>
      <c r="O901" s="3">
        <v>6</v>
      </c>
      <c r="P901" s="3">
        <v>15</v>
      </c>
      <c r="R901" s="3">
        <v>0</v>
      </c>
      <c r="S901" s="3">
        <v>0</v>
      </c>
      <c r="T901" s="3">
        <v>8.8980000000000004E-2</v>
      </c>
      <c r="U901" s="3">
        <v>8.4150000000000003E-2</v>
      </c>
      <c r="V901" s="3">
        <v>0</v>
      </c>
      <c r="W901" s="3">
        <v>0</v>
      </c>
      <c r="AA901" s="3" t="str">
        <f t="shared" si="7"/>
        <v>___</v>
      </c>
      <c r="AB901" s="3" t="str">
        <f t="shared" si="6"/>
        <v>____</v>
      </c>
    </row>
    <row r="902" spans="1:30" ht="12.5">
      <c r="A902" s="3">
        <v>901</v>
      </c>
      <c r="C902" s="7">
        <v>794</v>
      </c>
      <c r="D902" s="10">
        <v>66</v>
      </c>
      <c r="F902" s="3"/>
      <c r="H902" s="3" t="s">
        <v>40</v>
      </c>
      <c r="I902" s="3">
        <v>1</v>
      </c>
      <c r="J902" s="3">
        <v>20.8</v>
      </c>
      <c r="K902" s="3">
        <v>25.1</v>
      </c>
      <c r="L902" s="3">
        <v>4</v>
      </c>
      <c r="M902" s="3" t="s">
        <v>36</v>
      </c>
      <c r="N902" s="3">
        <v>29</v>
      </c>
      <c r="O902" s="3">
        <v>5</v>
      </c>
      <c r="P902" s="3">
        <v>6</v>
      </c>
      <c r="R902" s="3">
        <v>0</v>
      </c>
      <c r="S902" s="3">
        <v>0</v>
      </c>
      <c r="T902" s="3">
        <v>2.5690000000000001E-2</v>
      </c>
      <c r="U902" s="3">
        <v>1.328E-2</v>
      </c>
      <c r="V902" s="3">
        <v>0</v>
      </c>
      <c r="W902" s="3">
        <v>0</v>
      </c>
      <c r="AA902" s="3" t="str">
        <f t="shared" si="7"/>
        <v>794_66__vm</v>
      </c>
      <c r="AB902" s="3" t="str">
        <f t="shared" si="6"/>
        <v>794_66__vm_1</v>
      </c>
      <c r="AD902" s="3" t="s">
        <v>37</v>
      </c>
    </row>
    <row r="903" spans="1:30" ht="12.5">
      <c r="A903" s="3">
        <v>902</v>
      </c>
      <c r="F903" s="3"/>
      <c r="H903" s="3"/>
      <c r="M903" s="3" t="s">
        <v>38</v>
      </c>
      <c r="N903" s="3">
        <v>88</v>
      </c>
      <c r="O903" s="3">
        <v>0</v>
      </c>
      <c r="P903" s="3">
        <v>8</v>
      </c>
      <c r="R903" s="3">
        <v>4</v>
      </c>
      <c r="S903" s="3">
        <v>0</v>
      </c>
      <c r="T903" s="3">
        <v>0</v>
      </c>
      <c r="U903" s="3">
        <v>0.11018</v>
      </c>
      <c r="V903" s="3">
        <v>0.17666999999999999</v>
      </c>
      <c r="W903" s="3">
        <v>0</v>
      </c>
      <c r="AA903" s="3" t="str">
        <f t="shared" si="7"/>
        <v>___</v>
      </c>
      <c r="AB903" s="3" t="str">
        <f t="shared" si="6"/>
        <v>____</v>
      </c>
    </row>
    <row r="904" spans="1:30" ht="12.5">
      <c r="A904" s="3">
        <v>903</v>
      </c>
      <c r="F904" s="3"/>
      <c r="H904" s="3"/>
      <c r="M904" s="3" t="s">
        <v>39</v>
      </c>
      <c r="N904" s="3">
        <v>96</v>
      </c>
      <c r="O904" s="3">
        <v>0</v>
      </c>
      <c r="P904" s="3">
        <v>9</v>
      </c>
      <c r="R904" s="3">
        <v>2</v>
      </c>
      <c r="S904" s="3">
        <v>0</v>
      </c>
      <c r="T904" s="3">
        <v>0</v>
      </c>
      <c r="U904" s="3">
        <v>0.27554000000000001</v>
      </c>
      <c r="V904" s="3">
        <v>0.48691000000000001</v>
      </c>
      <c r="W904" s="3">
        <v>0</v>
      </c>
      <c r="AA904" s="3" t="str">
        <f t="shared" si="7"/>
        <v>___</v>
      </c>
      <c r="AB904" s="3" t="str">
        <f t="shared" si="6"/>
        <v>____</v>
      </c>
    </row>
    <row r="905" spans="1:30" ht="12.5">
      <c r="A905" s="3">
        <v>904</v>
      </c>
      <c r="C905" s="7">
        <v>794</v>
      </c>
      <c r="D905" s="3">
        <v>66</v>
      </c>
      <c r="F905" s="3"/>
      <c r="H905" s="3" t="s">
        <v>40</v>
      </c>
      <c r="I905" s="3">
        <v>2</v>
      </c>
      <c r="J905" s="3">
        <v>22.4</v>
      </c>
      <c r="K905" s="3">
        <v>33.700000000000003</v>
      </c>
      <c r="L905" s="3">
        <v>7</v>
      </c>
      <c r="M905" s="3" t="s">
        <v>36</v>
      </c>
      <c r="N905" s="3">
        <v>46</v>
      </c>
      <c r="O905" s="3">
        <v>7</v>
      </c>
      <c r="P905" s="3">
        <v>7</v>
      </c>
      <c r="R905" s="3">
        <v>0</v>
      </c>
      <c r="S905" s="3">
        <v>0</v>
      </c>
      <c r="T905" s="3">
        <v>4.2419999999999999E-2</v>
      </c>
      <c r="U905" s="3">
        <v>2.597E-2</v>
      </c>
      <c r="V905" s="3">
        <v>0</v>
      </c>
      <c r="W905" s="3">
        <v>0</v>
      </c>
      <c r="AA905" s="3" t="str">
        <f t="shared" si="7"/>
        <v>794_66__vm</v>
      </c>
      <c r="AB905" s="3" t="str">
        <f t="shared" si="6"/>
        <v>794_66__vm_2</v>
      </c>
      <c r="AD905" s="3" t="s">
        <v>37</v>
      </c>
    </row>
    <row r="906" spans="1:30" ht="12.5">
      <c r="A906" s="3">
        <v>905</v>
      </c>
      <c r="F906" s="3"/>
      <c r="H906" s="3"/>
      <c r="M906" s="3" t="s">
        <v>38</v>
      </c>
      <c r="N906" s="3">
        <v>58</v>
      </c>
      <c r="O906" s="3">
        <v>0</v>
      </c>
      <c r="P906" s="3">
        <v>7</v>
      </c>
      <c r="R906" s="3">
        <v>2</v>
      </c>
      <c r="S906" s="3">
        <v>0</v>
      </c>
      <c r="T906" s="3">
        <v>0</v>
      </c>
      <c r="U906" s="3">
        <v>5.1200000000000002E-2</v>
      </c>
      <c r="V906" s="3">
        <v>7.2289999999999993E-2</v>
      </c>
      <c r="W906" s="3">
        <v>0</v>
      </c>
      <c r="AA906" s="3" t="str">
        <f t="shared" si="7"/>
        <v>___</v>
      </c>
      <c r="AB906" s="3" t="str">
        <f t="shared" si="6"/>
        <v>____</v>
      </c>
    </row>
    <row r="907" spans="1:30" ht="12.5">
      <c r="A907" s="3">
        <v>906</v>
      </c>
      <c r="F907" s="3"/>
      <c r="H907" s="3"/>
      <c r="M907" s="3" t="s">
        <v>39</v>
      </c>
      <c r="N907" s="3">
        <v>81</v>
      </c>
      <c r="O907" s="3">
        <v>0</v>
      </c>
      <c r="P907" s="3">
        <v>9</v>
      </c>
      <c r="R907" s="3">
        <v>4</v>
      </c>
      <c r="S907" s="3">
        <v>0</v>
      </c>
      <c r="T907" s="3">
        <v>0</v>
      </c>
      <c r="U907" s="3">
        <v>0.20216999999999999</v>
      </c>
      <c r="V907" s="3">
        <v>0.61119000000000001</v>
      </c>
      <c r="W907" s="3">
        <v>0</v>
      </c>
      <c r="AA907" s="3" t="str">
        <f t="shared" si="7"/>
        <v>___</v>
      </c>
      <c r="AB907" s="3" t="str">
        <f t="shared" si="6"/>
        <v>____</v>
      </c>
    </row>
    <row r="908" spans="1:30" ht="12.5">
      <c r="A908" s="3">
        <v>907</v>
      </c>
      <c r="C908" s="7">
        <v>794</v>
      </c>
      <c r="D908" s="3">
        <v>66</v>
      </c>
      <c r="F908" s="3"/>
      <c r="H908" s="3" t="s">
        <v>40</v>
      </c>
      <c r="I908" s="3">
        <v>3</v>
      </c>
      <c r="J908" s="3">
        <v>40.200000000000003</v>
      </c>
      <c r="K908" s="3">
        <v>40.200000000000003</v>
      </c>
      <c r="L908" s="3">
        <v>4</v>
      </c>
      <c r="M908" s="3" t="s">
        <v>36</v>
      </c>
      <c r="N908" s="3">
        <v>44</v>
      </c>
      <c r="O908" s="3">
        <v>6</v>
      </c>
      <c r="P908" s="3">
        <v>6</v>
      </c>
      <c r="R908" s="3">
        <v>0</v>
      </c>
      <c r="S908" s="3">
        <v>0</v>
      </c>
      <c r="T908" s="3">
        <v>5.697E-2</v>
      </c>
      <c r="U908" s="3">
        <v>3.8780000000000002E-2</v>
      </c>
      <c r="V908" s="3">
        <v>0</v>
      </c>
      <c r="W908" s="3">
        <v>0</v>
      </c>
      <c r="AA908" s="3" t="str">
        <f t="shared" si="7"/>
        <v>794_66__vm</v>
      </c>
      <c r="AB908" s="3" t="str">
        <f t="shared" si="6"/>
        <v>794_66__vm_3</v>
      </c>
      <c r="AD908" s="3" t="s">
        <v>37</v>
      </c>
    </row>
    <row r="909" spans="1:30" ht="12.5">
      <c r="A909" s="3">
        <v>908</v>
      </c>
      <c r="F909" s="3"/>
      <c r="H909" s="3"/>
      <c r="M909" s="3" t="s">
        <v>38</v>
      </c>
      <c r="N909" s="3">
        <v>107</v>
      </c>
      <c r="O909" s="3">
        <v>0</v>
      </c>
      <c r="P909" s="3">
        <v>10</v>
      </c>
      <c r="R909" s="3">
        <v>3</v>
      </c>
      <c r="S909" s="3">
        <v>0</v>
      </c>
      <c r="T909" s="3">
        <v>0</v>
      </c>
      <c r="U909" s="3">
        <v>0.16719000000000001</v>
      </c>
      <c r="V909" s="3">
        <v>0.19606000000000001</v>
      </c>
      <c r="W909" s="3">
        <v>0</v>
      </c>
      <c r="AA909" s="3" t="str">
        <f t="shared" si="7"/>
        <v>___</v>
      </c>
      <c r="AB909" s="3" t="str">
        <f t="shared" si="6"/>
        <v>____</v>
      </c>
    </row>
    <row r="910" spans="1:30" ht="12.5">
      <c r="A910" s="3">
        <v>909</v>
      </c>
      <c r="F910" s="3"/>
      <c r="H910" s="3"/>
      <c r="M910" s="3" t="s">
        <v>39</v>
      </c>
      <c r="N910" s="3">
        <v>126</v>
      </c>
      <c r="O910" s="3">
        <v>0</v>
      </c>
      <c r="P910" s="3">
        <v>10</v>
      </c>
      <c r="R910" s="3">
        <v>3</v>
      </c>
      <c r="S910" s="3">
        <v>0</v>
      </c>
      <c r="T910" s="3">
        <v>0</v>
      </c>
      <c r="U910" s="3">
        <v>0.52690999999999999</v>
      </c>
      <c r="V910" s="3">
        <v>0.82660999999999996</v>
      </c>
      <c r="W910" s="3">
        <v>0</v>
      </c>
      <c r="AA910" s="3" t="str">
        <f t="shared" si="7"/>
        <v>___</v>
      </c>
      <c r="AB910" s="3" t="str">
        <f t="shared" si="6"/>
        <v>____</v>
      </c>
    </row>
    <row r="911" spans="1:30" ht="12.5">
      <c r="A911" s="3">
        <v>910</v>
      </c>
      <c r="C911" s="7">
        <v>794</v>
      </c>
      <c r="D911" s="3">
        <v>66</v>
      </c>
      <c r="F911" s="3"/>
      <c r="H911" s="3" t="s">
        <v>35</v>
      </c>
      <c r="I911" s="3">
        <v>1</v>
      </c>
      <c r="J911" s="3">
        <v>30.1</v>
      </c>
      <c r="K911" s="3">
        <v>27.9</v>
      </c>
      <c r="L911" s="3">
        <v>4</v>
      </c>
      <c r="M911" s="3" t="s">
        <v>36</v>
      </c>
      <c r="N911" s="3">
        <v>54</v>
      </c>
      <c r="O911" s="3">
        <v>9</v>
      </c>
      <c r="P911" s="3">
        <v>14</v>
      </c>
      <c r="R911" s="3">
        <v>0</v>
      </c>
      <c r="S911" s="3">
        <v>0</v>
      </c>
      <c r="T911" s="3">
        <v>0.10423</v>
      </c>
      <c r="U911" s="3">
        <v>2.6360000000000001E-2</v>
      </c>
      <c r="V911" s="3">
        <v>0</v>
      </c>
      <c r="W911" s="3">
        <v>0</v>
      </c>
      <c r="AA911" s="3" t="str">
        <f t="shared" si="7"/>
        <v>794_66__vv</v>
      </c>
      <c r="AB911" s="3" t="str">
        <f t="shared" si="6"/>
        <v>794_66__vv_1</v>
      </c>
      <c r="AD911" s="3" t="s">
        <v>37</v>
      </c>
    </row>
    <row r="912" spans="1:30" ht="12.5">
      <c r="A912" s="3">
        <v>911</v>
      </c>
      <c r="F912" s="3"/>
      <c r="H912" s="3"/>
      <c r="M912" s="3" t="s">
        <v>38</v>
      </c>
      <c r="N912" s="3">
        <v>87</v>
      </c>
      <c r="O912" s="3">
        <v>11</v>
      </c>
      <c r="P912" s="3">
        <v>20</v>
      </c>
      <c r="R912" s="3">
        <v>1</v>
      </c>
      <c r="S912" s="3">
        <v>0</v>
      </c>
      <c r="T912" s="3">
        <v>0.31143999999999999</v>
      </c>
      <c r="U912" s="3">
        <v>0.10635</v>
      </c>
      <c r="V912" s="3">
        <v>0.16883000000000001</v>
      </c>
      <c r="W912" s="3">
        <v>0</v>
      </c>
      <c r="AA912" s="3" t="str">
        <f t="shared" si="7"/>
        <v>___</v>
      </c>
      <c r="AB912" s="3" t="str">
        <f t="shared" si="6"/>
        <v>____</v>
      </c>
    </row>
    <row r="913" spans="1:30" ht="12.5">
      <c r="A913" s="3">
        <v>912</v>
      </c>
      <c r="F913" s="3"/>
      <c r="H913" s="3"/>
      <c r="M913" s="3" t="s">
        <v>39</v>
      </c>
      <c r="N913" s="3">
        <v>89</v>
      </c>
      <c r="O913" s="3">
        <v>4</v>
      </c>
      <c r="P913" s="3">
        <v>17</v>
      </c>
      <c r="R913" s="3">
        <v>0</v>
      </c>
      <c r="S913" s="3">
        <v>0</v>
      </c>
      <c r="T913" s="3">
        <v>0.10854999999999999</v>
      </c>
      <c r="U913" s="3">
        <v>0.14985000000000001</v>
      </c>
      <c r="V913" s="3">
        <v>0</v>
      </c>
      <c r="W913" s="3">
        <v>0</v>
      </c>
      <c r="AA913" s="3" t="str">
        <f t="shared" si="7"/>
        <v>___</v>
      </c>
      <c r="AB913" s="3" t="str">
        <f t="shared" si="6"/>
        <v>____</v>
      </c>
    </row>
    <row r="914" spans="1:30" ht="12.5">
      <c r="A914" s="3">
        <v>913</v>
      </c>
      <c r="C914" s="7">
        <v>794</v>
      </c>
      <c r="D914" s="3">
        <v>66</v>
      </c>
      <c r="F914" s="3"/>
      <c r="H914" s="3" t="s">
        <v>35</v>
      </c>
      <c r="I914" s="3">
        <v>2</v>
      </c>
      <c r="J914" s="3">
        <v>36.700000000000003</v>
      </c>
      <c r="K914" s="3">
        <v>31.3</v>
      </c>
      <c r="L914" s="3">
        <v>4</v>
      </c>
      <c r="M914" s="3" t="s">
        <v>36</v>
      </c>
      <c r="N914" s="3">
        <v>45</v>
      </c>
      <c r="O914" s="3">
        <v>10</v>
      </c>
      <c r="P914" s="3">
        <v>13</v>
      </c>
      <c r="R914" s="3">
        <v>0</v>
      </c>
      <c r="S914" s="3">
        <v>0</v>
      </c>
      <c r="T914" s="3">
        <v>6.3009999999999997E-2</v>
      </c>
      <c r="U914" s="3">
        <v>1.5709999999999998E-2</v>
      </c>
      <c r="V914" s="3">
        <v>0</v>
      </c>
      <c r="W914" s="3">
        <v>0</v>
      </c>
      <c r="AA914" s="3" t="str">
        <f t="shared" si="7"/>
        <v>794_66__vv</v>
      </c>
      <c r="AB914" s="3" t="str">
        <f t="shared" si="6"/>
        <v>794_66__vv_2</v>
      </c>
      <c r="AD914" s="3" t="s">
        <v>37</v>
      </c>
    </row>
    <row r="915" spans="1:30" ht="12.5">
      <c r="A915" s="3">
        <v>914</v>
      </c>
      <c r="F915" s="3"/>
      <c r="H915" s="3"/>
      <c r="M915" s="3" t="s">
        <v>38</v>
      </c>
      <c r="N915" s="3">
        <v>121</v>
      </c>
      <c r="O915" s="3">
        <v>13</v>
      </c>
      <c r="P915" s="3">
        <v>21</v>
      </c>
      <c r="R915" s="3">
        <v>1</v>
      </c>
      <c r="S915" s="3">
        <v>0</v>
      </c>
      <c r="T915" s="3">
        <v>0.36534</v>
      </c>
      <c r="U915" s="3">
        <v>0.17272999999999999</v>
      </c>
      <c r="V915" s="3">
        <v>9.6129999999999993E-2</v>
      </c>
      <c r="W915" s="3">
        <v>0</v>
      </c>
      <c r="AA915" s="3" t="str">
        <f t="shared" si="7"/>
        <v>___</v>
      </c>
      <c r="AB915" s="3" t="str">
        <f t="shared" si="6"/>
        <v>____</v>
      </c>
    </row>
    <row r="916" spans="1:30" ht="12.5">
      <c r="A916" s="3">
        <v>915</v>
      </c>
      <c r="F916" s="3"/>
      <c r="H916" s="3"/>
      <c r="M916" s="3" t="s">
        <v>39</v>
      </c>
      <c r="N916" s="3">
        <v>100</v>
      </c>
      <c r="O916" s="3">
        <v>7</v>
      </c>
      <c r="P916" s="3">
        <v>12</v>
      </c>
      <c r="R916" s="3">
        <v>0</v>
      </c>
      <c r="S916" s="3">
        <v>0</v>
      </c>
      <c r="T916" s="3">
        <v>0.16667000000000001</v>
      </c>
      <c r="U916" s="3">
        <v>0.19223000000000001</v>
      </c>
      <c r="V916" s="3">
        <v>0</v>
      </c>
      <c r="W916" s="3">
        <v>0</v>
      </c>
      <c r="AA916" s="3" t="str">
        <f t="shared" si="7"/>
        <v>___</v>
      </c>
      <c r="AB916" s="3" t="str">
        <f t="shared" si="6"/>
        <v>____</v>
      </c>
    </row>
    <row r="917" spans="1:30" ht="12.5">
      <c r="A917" s="3">
        <v>916</v>
      </c>
      <c r="C917" s="3">
        <v>794</v>
      </c>
      <c r="D917" s="3">
        <v>66</v>
      </c>
      <c r="F917" s="3"/>
      <c r="H917" s="3" t="s">
        <v>35</v>
      </c>
      <c r="I917" s="3">
        <v>3</v>
      </c>
      <c r="J917" s="3">
        <v>34.5</v>
      </c>
      <c r="K917" s="3">
        <v>27.2</v>
      </c>
      <c r="L917" s="3">
        <v>4</v>
      </c>
      <c r="M917" s="3" t="s">
        <v>36</v>
      </c>
      <c r="N917" s="3">
        <v>54</v>
      </c>
      <c r="O917" s="3">
        <v>10</v>
      </c>
      <c r="P917" s="3">
        <v>17</v>
      </c>
      <c r="R917" s="3">
        <v>0</v>
      </c>
      <c r="S917" s="3">
        <v>0</v>
      </c>
      <c r="T917" s="3">
        <v>0.12639</v>
      </c>
      <c r="U917" s="3">
        <v>3.9440000000000003E-2</v>
      </c>
      <c r="V917" s="3">
        <v>0</v>
      </c>
      <c r="W917" s="3">
        <v>0</v>
      </c>
      <c r="AA917" s="3" t="str">
        <f t="shared" si="7"/>
        <v>794_66__vv</v>
      </c>
      <c r="AB917" s="3" t="str">
        <f t="shared" si="6"/>
        <v>794_66__vv_3</v>
      </c>
      <c r="AD917" s="3" t="s">
        <v>37</v>
      </c>
    </row>
    <row r="918" spans="1:30" ht="12.5">
      <c r="A918" s="3">
        <v>917</v>
      </c>
      <c r="F918" s="3"/>
      <c r="H918" s="3"/>
      <c r="M918" s="3" t="s">
        <v>38</v>
      </c>
      <c r="N918" s="3">
        <v>99</v>
      </c>
      <c r="O918" s="3">
        <v>15</v>
      </c>
      <c r="P918" s="3">
        <v>26</v>
      </c>
      <c r="R918" s="3">
        <v>0</v>
      </c>
      <c r="S918" s="3">
        <v>0</v>
      </c>
      <c r="T918" s="3">
        <v>0.17907999999999999</v>
      </c>
      <c r="U918" s="3">
        <v>0.11115</v>
      </c>
      <c r="V918" s="3">
        <v>0</v>
      </c>
      <c r="W918" s="3">
        <v>0</v>
      </c>
      <c r="AA918" s="3" t="str">
        <f t="shared" si="7"/>
        <v>___</v>
      </c>
      <c r="AB918" s="3" t="str">
        <f t="shared" si="6"/>
        <v>____</v>
      </c>
    </row>
    <row r="919" spans="1:30" ht="12.5">
      <c r="A919" s="3">
        <v>918</v>
      </c>
      <c r="F919" s="3"/>
      <c r="H919" s="3"/>
      <c r="M919" s="3" t="s">
        <v>39</v>
      </c>
      <c r="N919" s="3">
        <v>98</v>
      </c>
      <c r="O919" s="3">
        <v>7</v>
      </c>
      <c r="P919" s="3">
        <v>20</v>
      </c>
      <c r="R919" s="3">
        <v>0</v>
      </c>
      <c r="S919" s="3">
        <v>0</v>
      </c>
      <c r="T919" s="3">
        <v>9.1300000000000006E-2</v>
      </c>
      <c r="U919" s="3">
        <v>0.17773</v>
      </c>
      <c r="V919" s="3">
        <v>0</v>
      </c>
      <c r="W919" s="3">
        <v>0</v>
      </c>
      <c r="AA919" s="3" t="str">
        <f t="shared" si="7"/>
        <v>___</v>
      </c>
      <c r="AB919" s="3" t="str">
        <f t="shared" si="6"/>
        <v>____</v>
      </c>
    </row>
    <row r="920" spans="1:30" ht="12.5">
      <c r="A920" s="3">
        <v>919</v>
      </c>
      <c r="C920" s="7">
        <v>647</v>
      </c>
      <c r="D920" s="10">
        <v>32</v>
      </c>
      <c r="F920" s="3"/>
      <c r="H920" s="3" t="s">
        <v>40</v>
      </c>
      <c r="I920" s="3">
        <v>1</v>
      </c>
      <c r="J920" s="3">
        <v>10.8</v>
      </c>
      <c r="K920" s="3">
        <v>17.2</v>
      </c>
      <c r="L920" s="3">
        <v>8</v>
      </c>
      <c r="M920" s="3" t="s">
        <v>36</v>
      </c>
      <c r="N920" s="3">
        <v>14</v>
      </c>
      <c r="O920" s="3">
        <v>4</v>
      </c>
      <c r="P920" s="3">
        <v>4</v>
      </c>
      <c r="R920" s="3">
        <v>0</v>
      </c>
      <c r="S920" s="3">
        <v>0</v>
      </c>
      <c r="T920" s="3">
        <v>1.218E-2</v>
      </c>
      <c r="U920" s="3">
        <v>3.3999999999999998E-3</v>
      </c>
      <c r="V920" s="3">
        <v>0</v>
      </c>
      <c r="W920" s="3">
        <v>0</v>
      </c>
      <c r="AA920" s="3" t="str">
        <f t="shared" si="7"/>
        <v>647_32__vm</v>
      </c>
      <c r="AB920" s="3" t="str">
        <f t="shared" si="6"/>
        <v>647_32__vm_1</v>
      </c>
      <c r="AD920" s="3" t="s">
        <v>37</v>
      </c>
    </row>
    <row r="921" spans="1:30" ht="12.5">
      <c r="A921" s="3">
        <v>920</v>
      </c>
      <c r="F921" s="3"/>
      <c r="H921" s="3"/>
      <c r="M921" s="3" t="s">
        <v>38</v>
      </c>
      <c r="N921" s="3">
        <v>22</v>
      </c>
      <c r="O921" s="3">
        <v>0</v>
      </c>
      <c r="P921" s="3">
        <v>5</v>
      </c>
      <c r="R921" s="3">
        <v>2</v>
      </c>
      <c r="S921" s="3">
        <v>0</v>
      </c>
      <c r="T921" s="3">
        <v>0</v>
      </c>
      <c r="U921" s="3">
        <v>8.6999999999999994E-3</v>
      </c>
      <c r="V921" s="3">
        <v>1.553E-2</v>
      </c>
      <c r="W921" s="3">
        <v>0</v>
      </c>
      <c r="AA921" s="3" t="str">
        <f t="shared" si="7"/>
        <v>___</v>
      </c>
      <c r="AB921" s="3" t="str">
        <f t="shared" si="6"/>
        <v>____</v>
      </c>
    </row>
    <row r="922" spans="1:30" ht="12.5">
      <c r="A922" s="3">
        <v>921</v>
      </c>
      <c r="F922" s="3"/>
      <c r="H922" s="3"/>
      <c r="M922" s="3" t="s">
        <v>39</v>
      </c>
      <c r="N922" s="3">
        <v>32</v>
      </c>
      <c r="O922" s="3">
        <v>0</v>
      </c>
      <c r="P922" s="3">
        <v>6</v>
      </c>
      <c r="R922" s="3">
        <v>1</v>
      </c>
      <c r="S922" s="3">
        <v>0</v>
      </c>
      <c r="T922" s="3">
        <v>0</v>
      </c>
      <c r="U922" s="3">
        <v>1.5939999999999999E-2</v>
      </c>
      <c r="V922" s="3">
        <v>2.0959999999999999E-2</v>
      </c>
      <c r="W922" s="3">
        <v>0</v>
      </c>
      <c r="AA922" s="3" t="str">
        <f t="shared" si="7"/>
        <v>___</v>
      </c>
      <c r="AB922" s="3" t="str">
        <f t="shared" si="6"/>
        <v>____</v>
      </c>
    </row>
    <row r="923" spans="1:30" ht="12.5">
      <c r="A923" s="3">
        <v>922</v>
      </c>
      <c r="C923" s="7">
        <v>647</v>
      </c>
      <c r="D923" s="3">
        <v>32</v>
      </c>
      <c r="F923" s="3"/>
      <c r="H923" s="3" t="s">
        <v>40</v>
      </c>
      <c r="I923" s="3">
        <v>2</v>
      </c>
      <c r="J923" s="3">
        <v>12.9</v>
      </c>
      <c r="K923" s="3">
        <v>12.5</v>
      </c>
      <c r="L923" s="3">
        <v>7</v>
      </c>
      <c r="M923" s="3" t="s">
        <v>36</v>
      </c>
      <c r="N923" s="3">
        <v>11</v>
      </c>
      <c r="O923" s="3">
        <v>4</v>
      </c>
      <c r="P923" s="3">
        <v>4</v>
      </c>
      <c r="R923" s="3">
        <v>0</v>
      </c>
      <c r="S923" s="3">
        <v>0</v>
      </c>
      <c r="T923" s="3">
        <v>9.7599999999999996E-3</v>
      </c>
      <c r="U923" s="3">
        <v>2.33E-3</v>
      </c>
      <c r="V923" s="3">
        <v>0</v>
      </c>
      <c r="W923" s="3">
        <v>0</v>
      </c>
      <c r="AA923" s="3" t="str">
        <f t="shared" si="7"/>
        <v>647_32__vm</v>
      </c>
      <c r="AB923" s="3" t="str">
        <f t="shared" si="6"/>
        <v>647_32__vm_2</v>
      </c>
      <c r="AD923" s="3" t="s">
        <v>37</v>
      </c>
    </row>
    <row r="924" spans="1:30" ht="12.5">
      <c r="A924" s="3">
        <v>923</v>
      </c>
      <c r="F924" s="3"/>
      <c r="H924" s="3"/>
      <c r="M924" s="3" t="s">
        <v>38</v>
      </c>
      <c r="N924" s="3">
        <v>13</v>
      </c>
      <c r="O924" s="3">
        <v>0</v>
      </c>
      <c r="P924" s="3">
        <v>4</v>
      </c>
      <c r="R924" s="3">
        <v>1</v>
      </c>
      <c r="S924" s="3">
        <v>0</v>
      </c>
      <c r="T924" s="3">
        <v>0</v>
      </c>
      <c r="U924" s="3">
        <v>4.81E-3</v>
      </c>
      <c r="V924" s="3">
        <v>7.8799999999999999E-3</v>
      </c>
      <c r="W924" s="3">
        <v>0</v>
      </c>
      <c r="AA924" s="3" t="str">
        <f t="shared" si="7"/>
        <v>___</v>
      </c>
      <c r="AB924" s="3" t="str">
        <f t="shared" si="6"/>
        <v>____</v>
      </c>
    </row>
    <row r="925" spans="1:30" ht="12.5">
      <c r="A925" s="3">
        <v>924</v>
      </c>
      <c r="F925" s="3"/>
      <c r="H925" s="3"/>
      <c r="M925" s="3" t="s">
        <v>39</v>
      </c>
      <c r="N925" s="3">
        <v>19</v>
      </c>
      <c r="O925" s="3">
        <v>0</v>
      </c>
      <c r="P925" s="3">
        <v>5</v>
      </c>
      <c r="R925" s="3">
        <v>1</v>
      </c>
      <c r="S925" s="3">
        <v>0</v>
      </c>
      <c r="T925" s="3">
        <v>0</v>
      </c>
      <c r="U925" s="3">
        <v>8.2199999999999999E-3</v>
      </c>
      <c r="V925" s="3">
        <v>1.133E-2</v>
      </c>
      <c r="W925" s="3">
        <v>0</v>
      </c>
      <c r="AA925" s="3" t="str">
        <f t="shared" si="7"/>
        <v>___</v>
      </c>
      <c r="AB925" s="3" t="str">
        <f t="shared" si="6"/>
        <v>____</v>
      </c>
    </row>
    <row r="926" spans="1:30" ht="12.5">
      <c r="A926" s="3">
        <v>925</v>
      </c>
      <c r="C926" s="7">
        <v>647</v>
      </c>
      <c r="D926" s="3">
        <v>32</v>
      </c>
      <c r="F926" s="3"/>
      <c r="H926" s="3" t="s">
        <v>40</v>
      </c>
      <c r="I926" s="3">
        <v>3</v>
      </c>
      <c r="J926" s="3">
        <v>11.5</v>
      </c>
      <c r="K926" s="3">
        <v>10.9</v>
      </c>
      <c r="L926" s="3">
        <v>6</v>
      </c>
      <c r="M926" s="3" t="s">
        <v>36</v>
      </c>
      <c r="N926" s="3">
        <v>12</v>
      </c>
      <c r="O926" s="3">
        <v>5</v>
      </c>
      <c r="P926" s="3">
        <v>5</v>
      </c>
      <c r="R926" s="3">
        <v>0</v>
      </c>
      <c r="S926" s="3">
        <v>0</v>
      </c>
      <c r="T926" s="3">
        <v>8.8000000000000005E-3</v>
      </c>
      <c r="U926" s="3">
        <v>3.3400000000000001E-3</v>
      </c>
      <c r="V926" s="3">
        <v>0</v>
      </c>
      <c r="W926" s="3">
        <v>0</v>
      </c>
      <c r="AA926" s="3" t="str">
        <f t="shared" si="7"/>
        <v>647_32__vm</v>
      </c>
      <c r="AB926" s="3" t="str">
        <f t="shared" si="6"/>
        <v>647_32__vm_3</v>
      </c>
      <c r="AD926" s="3" t="s">
        <v>37</v>
      </c>
    </row>
    <row r="927" spans="1:30" ht="12.5">
      <c r="A927" s="3">
        <v>926</v>
      </c>
      <c r="F927" s="3"/>
      <c r="H927" s="3"/>
      <c r="M927" s="3" t="s">
        <v>38</v>
      </c>
      <c r="N927" s="3">
        <v>22</v>
      </c>
      <c r="O927" s="3">
        <v>0</v>
      </c>
      <c r="P927" s="3">
        <v>6</v>
      </c>
      <c r="R927" s="3">
        <v>1</v>
      </c>
      <c r="S927" s="3">
        <v>0</v>
      </c>
      <c r="T927" s="3">
        <v>0</v>
      </c>
      <c r="U927" s="3">
        <v>8.2900000000000005E-3</v>
      </c>
      <c r="V927" s="3">
        <v>8.3499999999999998E-3</v>
      </c>
      <c r="W927" s="3">
        <v>0</v>
      </c>
      <c r="AA927" s="3" t="str">
        <f t="shared" si="7"/>
        <v>___</v>
      </c>
      <c r="AB927" s="3" t="str">
        <f t="shared" si="6"/>
        <v>____</v>
      </c>
    </row>
    <row r="928" spans="1:30" ht="12.5">
      <c r="A928" s="3">
        <v>927</v>
      </c>
      <c r="F928" s="3"/>
      <c r="H928" s="3"/>
      <c r="M928" s="3" t="s">
        <v>39</v>
      </c>
      <c r="N928" s="3">
        <v>27</v>
      </c>
      <c r="O928" s="3">
        <v>0</v>
      </c>
      <c r="P928" s="3">
        <v>6</v>
      </c>
      <c r="R928" s="3">
        <v>1</v>
      </c>
      <c r="S928" s="3">
        <v>0</v>
      </c>
      <c r="T928" s="3">
        <v>0</v>
      </c>
      <c r="U928" s="3">
        <v>1.6789999999999999E-2</v>
      </c>
      <c r="V928" s="3">
        <v>1.9210000000000001E-2</v>
      </c>
      <c r="W928" s="3">
        <v>0</v>
      </c>
      <c r="AA928" s="3" t="str">
        <f t="shared" si="7"/>
        <v>___</v>
      </c>
      <c r="AB928" s="3" t="str">
        <f t="shared" si="6"/>
        <v>____</v>
      </c>
    </row>
    <row r="929" spans="1:30" ht="12.5">
      <c r="A929" s="3">
        <v>928</v>
      </c>
      <c r="C929" s="7">
        <v>647</v>
      </c>
      <c r="D929" s="3">
        <v>32</v>
      </c>
      <c r="F929" s="3"/>
      <c r="H929" s="3" t="s">
        <v>35</v>
      </c>
      <c r="I929" s="3">
        <v>1</v>
      </c>
      <c r="J929" s="3">
        <v>11.2</v>
      </c>
      <c r="K929" s="3">
        <v>14.9</v>
      </c>
      <c r="L929" s="3">
        <v>4</v>
      </c>
      <c r="M929" s="3" t="s">
        <v>36</v>
      </c>
      <c r="N929" s="3">
        <v>34</v>
      </c>
      <c r="O929" s="3">
        <v>12</v>
      </c>
      <c r="P929" s="3">
        <v>14</v>
      </c>
      <c r="R929" s="3">
        <v>0</v>
      </c>
      <c r="S929" s="3">
        <v>0</v>
      </c>
      <c r="T929" s="3">
        <v>0.12060999999999999</v>
      </c>
      <c r="U929" s="3">
        <v>1.21E-2</v>
      </c>
      <c r="V929" s="3">
        <v>0</v>
      </c>
      <c r="W929" s="3">
        <v>0</v>
      </c>
      <c r="AA929" s="3" t="str">
        <f t="shared" si="7"/>
        <v>647_32__vv</v>
      </c>
      <c r="AB929" s="3" t="str">
        <f t="shared" si="6"/>
        <v>647_32__vv_1</v>
      </c>
      <c r="AD929" s="3" t="s">
        <v>37</v>
      </c>
    </row>
    <row r="930" spans="1:30" ht="12.5">
      <c r="A930" s="3">
        <v>929</v>
      </c>
      <c r="F930" s="3"/>
      <c r="H930" s="3"/>
      <c r="M930" s="3" t="s">
        <v>38</v>
      </c>
      <c r="N930" s="3">
        <v>54</v>
      </c>
      <c r="O930" s="3">
        <v>11</v>
      </c>
      <c r="P930" s="3">
        <v>14</v>
      </c>
      <c r="R930" s="3">
        <v>0</v>
      </c>
      <c r="S930" s="3">
        <v>0</v>
      </c>
      <c r="T930" s="3">
        <v>0.12950999999999999</v>
      </c>
      <c r="U930" s="3">
        <v>3.6150000000000002E-2</v>
      </c>
      <c r="V930" s="3">
        <v>0</v>
      </c>
      <c r="W930" s="3">
        <v>0</v>
      </c>
      <c r="AA930" s="3" t="str">
        <f t="shared" si="7"/>
        <v>___</v>
      </c>
      <c r="AB930" s="3" t="str">
        <f t="shared" si="6"/>
        <v>____</v>
      </c>
    </row>
    <row r="931" spans="1:30" ht="12.5">
      <c r="A931" s="3">
        <v>930</v>
      </c>
      <c r="F931" s="3"/>
      <c r="H931" s="3"/>
      <c r="M931" s="3" t="s">
        <v>39</v>
      </c>
      <c r="N931" s="3">
        <v>45</v>
      </c>
      <c r="O931" s="3">
        <v>0</v>
      </c>
      <c r="P931" s="3">
        <v>17</v>
      </c>
      <c r="R931" s="3">
        <v>0</v>
      </c>
      <c r="S931" s="3">
        <v>0</v>
      </c>
      <c r="T931" s="3">
        <v>0</v>
      </c>
      <c r="U931" s="3">
        <v>4.4170000000000001E-2</v>
      </c>
      <c r="V931" s="3">
        <v>0</v>
      </c>
      <c r="W931" s="3">
        <v>0</v>
      </c>
      <c r="AA931" s="3" t="str">
        <f t="shared" si="7"/>
        <v>___</v>
      </c>
      <c r="AB931" s="3" t="str">
        <f t="shared" si="6"/>
        <v>____</v>
      </c>
    </row>
    <row r="932" spans="1:30" ht="12.5">
      <c r="A932" s="3">
        <v>931</v>
      </c>
      <c r="C932" s="7">
        <v>647</v>
      </c>
      <c r="D932" s="3">
        <v>32</v>
      </c>
      <c r="F932" s="3"/>
      <c r="H932" s="3" t="s">
        <v>35</v>
      </c>
      <c r="I932" s="3">
        <v>2</v>
      </c>
      <c r="J932" s="3">
        <v>10.7</v>
      </c>
      <c r="K932" s="3">
        <v>12.7</v>
      </c>
      <c r="L932" s="3">
        <v>4</v>
      </c>
      <c r="M932" s="3" t="s">
        <v>36</v>
      </c>
      <c r="N932" s="3">
        <v>22</v>
      </c>
      <c r="O932" s="3">
        <v>11</v>
      </c>
      <c r="P932" s="3">
        <v>11</v>
      </c>
      <c r="R932" s="3">
        <v>0</v>
      </c>
      <c r="S932" s="3">
        <v>0</v>
      </c>
      <c r="T932" s="3">
        <v>8.344E-2</v>
      </c>
      <c r="U932" s="3">
        <v>6.1900000000000002E-3</v>
      </c>
      <c r="V932" s="3">
        <v>0</v>
      </c>
      <c r="W932" s="3">
        <v>0</v>
      </c>
      <c r="AA932" s="3" t="str">
        <f t="shared" si="7"/>
        <v>647_32__vv</v>
      </c>
      <c r="AB932" s="3" t="str">
        <f t="shared" si="6"/>
        <v>647_32__vv_2</v>
      </c>
      <c r="AD932" s="3" t="s">
        <v>37</v>
      </c>
    </row>
    <row r="933" spans="1:30" ht="12.5">
      <c r="A933" s="3">
        <v>932</v>
      </c>
      <c r="F933" s="3"/>
      <c r="H933" s="3"/>
      <c r="M933" s="3" t="s">
        <v>38</v>
      </c>
      <c r="N933" s="3">
        <v>28</v>
      </c>
      <c r="O933" s="3">
        <v>11</v>
      </c>
      <c r="P933" s="3">
        <v>13</v>
      </c>
      <c r="R933" s="3">
        <v>0</v>
      </c>
      <c r="S933" s="3">
        <v>0</v>
      </c>
      <c r="T933" s="3">
        <v>0.11881</v>
      </c>
      <c r="U933" s="3">
        <v>1.46E-2</v>
      </c>
      <c r="V933" s="3">
        <v>0</v>
      </c>
      <c r="W933" s="3">
        <v>0</v>
      </c>
      <c r="AA933" s="3" t="str">
        <f t="shared" si="7"/>
        <v>___</v>
      </c>
      <c r="AB933" s="3" t="str">
        <f t="shared" si="6"/>
        <v>____</v>
      </c>
    </row>
    <row r="934" spans="1:30" ht="12.5">
      <c r="A934" s="3">
        <v>933</v>
      </c>
      <c r="F934" s="3"/>
      <c r="H934" s="3"/>
      <c r="M934" s="3" t="s">
        <v>39</v>
      </c>
      <c r="N934" s="3">
        <v>42</v>
      </c>
      <c r="O934" s="3">
        <v>5</v>
      </c>
      <c r="P934" s="3">
        <v>13</v>
      </c>
      <c r="R934" s="3">
        <v>0</v>
      </c>
      <c r="S934" s="3">
        <v>0</v>
      </c>
      <c r="T934" s="3">
        <v>5.0909999999999997E-2</v>
      </c>
      <c r="U934" s="3">
        <v>3.3090000000000001E-2</v>
      </c>
      <c r="V934" s="3">
        <v>0</v>
      </c>
      <c r="W934" s="3">
        <v>0</v>
      </c>
      <c r="AA934" s="3" t="str">
        <f t="shared" si="7"/>
        <v>___</v>
      </c>
      <c r="AB934" s="3" t="str">
        <f t="shared" si="6"/>
        <v>____</v>
      </c>
    </row>
    <row r="935" spans="1:30" ht="12.5">
      <c r="A935" s="3">
        <v>934</v>
      </c>
      <c r="C935" s="3">
        <v>647</v>
      </c>
      <c r="D935" s="3">
        <v>32</v>
      </c>
      <c r="F935" s="3"/>
      <c r="H935" s="3" t="s">
        <v>35</v>
      </c>
      <c r="I935" s="3">
        <v>3</v>
      </c>
      <c r="J935" s="3">
        <v>10.199999999999999</v>
      </c>
      <c r="K935" s="3">
        <v>9.1999999999999993</v>
      </c>
      <c r="L935" s="3">
        <v>4</v>
      </c>
      <c r="M935" s="3" t="s">
        <v>36</v>
      </c>
      <c r="N935" s="3">
        <v>32</v>
      </c>
      <c r="O935" s="3">
        <v>10</v>
      </c>
      <c r="P935" s="3">
        <v>13</v>
      </c>
      <c r="R935" s="3">
        <v>0</v>
      </c>
      <c r="S935" s="3">
        <v>0</v>
      </c>
      <c r="T935" s="3">
        <v>9.4350000000000003E-2</v>
      </c>
      <c r="U935" s="3">
        <v>1.141E-2</v>
      </c>
      <c r="V935" s="3">
        <v>0</v>
      </c>
      <c r="W935" s="3">
        <v>0</v>
      </c>
      <c r="AA935" s="3" t="str">
        <f t="shared" si="7"/>
        <v>647_32__vv</v>
      </c>
      <c r="AB935" s="3" t="str">
        <f t="shared" si="6"/>
        <v>647_32__vv_3</v>
      </c>
      <c r="AD935" s="3" t="s">
        <v>37</v>
      </c>
    </row>
    <row r="936" spans="1:30" ht="12.5">
      <c r="A936" s="3">
        <v>935</v>
      </c>
      <c r="F936" s="3"/>
      <c r="H936" s="3"/>
      <c r="M936" s="3" t="s">
        <v>38</v>
      </c>
      <c r="N936" s="3">
        <v>34</v>
      </c>
      <c r="O936" s="3">
        <v>8</v>
      </c>
      <c r="P936" s="3">
        <v>14</v>
      </c>
      <c r="R936" s="3">
        <v>0</v>
      </c>
      <c r="S936" s="3">
        <v>0</v>
      </c>
      <c r="T936" s="3">
        <v>5.5289999999999999E-2</v>
      </c>
      <c r="U936" s="3">
        <v>2.3099999999999999E-2</v>
      </c>
      <c r="V936" s="3">
        <v>0</v>
      </c>
      <c r="W936" s="3">
        <v>0</v>
      </c>
      <c r="AA936" s="3" t="str">
        <f t="shared" si="7"/>
        <v>___</v>
      </c>
      <c r="AB936" s="3" t="str">
        <f t="shared" si="6"/>
        <v>____</v>
      </c>
    </row>
    <row r="937" spans="1:30" ht="12.5">
      <c r="A937" s="3">
        <v>936</v>
      </c>
      <c r="F937" s="3"/>
      <c r="M937" s="3" t="s">
        <v>39</v>
      </c>
      <c r="N937" s="3">
        <v>8</v>
      </c>
      <c r="O937" s="3">
        <v>0</v>
      </c>
      <c r="P937" s="3">
        <v>3</v>
      </c>
      <c r="R937" s="3">
        <v>0</v>
      </c>
      <c r="S937" s="3">
        <v>0</v>
      </c>
      <c r="T937" s="3">
        <v>0</v>
      </c>
      <c r="U937" s="3">
        <v>4.5599999999999998E-3</v>
      </c>
      <c r="V937" s="3">
        <v>0</v>
      </c>
      <c r="W937" s="3">
        <v>0</v>
      </c>
      <c r="AA937" s="3" t="str">
        <f t="shared" si="7"/>
        <v>___</v>
      </c>
      <c r="AB937" s="3" t="str">
        <f t="shared" si="6"/>
        <v>____</v>
      </c>
    </row>
    <row r="938" spans="1:30" ht="14">
      <c r="A938" s="3">
        <v>937</v>
      </c>
      <c r="B938" s="22" t="s">
        <v>132</v>
      </c>
      <c r="C938" s="23" t="s">
        <v>133</v>
      </c>
      <c r="D938" s="22">
        <v>46</v>
      </c>
      <c r="E938" s="23" t="s">
        <v>134</v>
      </c>
      <c r="F938" s="23" t="s">
        <v>135</v>
      </c>
      <c r="G938" s="23" t="s">
        <v>136</v>
      </c>
      <c r="H938" s="23" t="s">
        <v>40</v>
      </c>
      <c r="I938" s="22">
        <v>1</v>
      </c>
      <c r="J938" s="23"/>
      <c r="K938" s="22">
        <v>29.6</v>
      </c>
      <c r="L938" s="22">
        <v>6</v>
      </c>
      <c r="M938" s="23" t="s">
        <v>36</v>
      </c>
      <c r="N938" s="22">
        <v>4.96</v>
      </c>
      <c r="O938" s="22">
        <v>5</v>
      </c>
      <c r="P938" s="22">
        <v>6</v>
      </c>
      <c r="Q938" s="23"/>
      <c r="R938" s="22">
        <v>0</v>
      </c>
      <c r="S938" s="23"/>
      <c r="Y938" s="23"/>
      <c r="Z938" s="22">
        <v>100</v>
      </c>
      <c r="AA938" s="3" t="str">
        <f t="shared" si="7"/>
        <v>ANO_0166_46_T4-C1_vm</v>
      </c>
      <c r="AB938" s="3" t="str">
        <f t="shared" si="6"/>
        <v>ANO_0166_46_T4-C1_vm_1</v>
      </c>
    </row>
    <row r="939" spans="1:30" ht="14">
      <c r="A939" s="3">
        <v>938</v>
      </c>
      <c r="B939" s="23"/>
      <c r="C939" s="23"/>
      <c r="D939" s="23"/>
      <c r="E939" s="23"/>
      <c r="F939" s="23"/>
      <c r="G939" s="23"/>
      <c r="H939" s="23"/>
      <c r="I939" s="22">
        <v>2</v>
      </c>
      <c r="J939" s="23"/>
      <c r="K939" s="23"/>
      <c r="L939" s="23"/>
      <c r="M939" s="23" t="s">
        <v>38</v>
      </c>
      <c r="N939" s="22">
        <v>6.52</v>
      </c>
      <c r="O939" s="22">
        <v>5</v>
      </c>
      <c r="P939" s="22">
        <v>2</v>
      </c>
      <c r="Q939" s="22">
        <v>2</v>
      </c>
      <c r="R939" s="22">
        <v>3</v>
      </c>
      <c r="S939" s="23"/>
      <c r="Y939" s="23" t="s">
        <v>137</v>
      </c>
      <c r="Z939" s="23"/>
      <c r="AA939" s="3" t="str">
        <f t="shared" si="7"/>
        <v>___</v>
      </c>
      <c r="AB939" s="3" t="str">
        <f t="shared" si="6"/>
        <v>____2</v>
      </c>
    </row>
    <row r="940" spans="1:30" ht="14">
      <c r="A940" s="3">
        <v>939</v>
      </c>
      <c r="B940" s="23"/>
      <c r="C940" s="23"/>
      <c r="D940" s="23"/>
      <c r="E940" s="23"/>
      <c r="F940" s="23"/>
      <c r="G940" s="23"/>
      <c r="H940" s="23"/>
      <c r="I940" s="22">
        <v>3</v>
      </c>
      <c r="J940" s="23"/>
      <c r="K940" s="23"/>
      <c r="L940" s="23"/>
      <c r="M940" s="23" t="s">
        <v>39</v>
      </c>
      <c r="N940" s="22">
        <v>7.05</v>
      </c>
      <c r="O940" s="22">
        <v>0</v>
      </c>
      <c r="P940" s="22">
        <v>7</v>
      </c>
      <c r="Q940" s="22">
        <v>0</v>
      </c>
      <c r="R940" s="22">
        <v>0</v>
      </c>
      <c r="S940" s="23"/>
      <c r="Y940" s="23" t="s">
        <v>137</v>
      </c>
      <c r="Z940" s="23"/>
      <c r="AA940" s="3" t="str">
        <f t="shared" si="7"/>
        <v>___</v>
      </c>
      <c r="AB940" s="3" t="str">
        <f t="shared" si="6"/>
        <v>____3</v>
      </c>
    </row>
    <row r="941" spans="1:30" ht="14">
      <c r="A941" s="3">
        <v>940</v>
      </c>
      <c r="B941" s="22" t="s">
        <v>132</v>
      </c>
      <c r="C941" s="23" t="s">
        <v>133</v>
      </c>
      <c r="D941" s="22">
        <v>46</v>
      </c>
      <c r="E941" s="23" t="s">
        <v>134</v>
      </c>
      <c r="F941" s="23" t="s">
        <v>135</v>
      </c>
      <c r="G941" s="23" t="s">
        <v>136</v>
      </c>
      <c r="H941" s="23" t="s">
        <v>40</v>
      </c>
      <c r="I941" s="22">
        <v>1</v>
      </c>
      <c r="J941" s="23"/>
      <c r="K941" s="22">
        <v>27</v>
      </c>
      <c r="L941" s="22">
        <v>5</v>
      </c>
      <c r="M941" s="23" t="s">
        <v>36</v>
      </c>
      <c r="N941" s="22">
        <v>6.35</v>
      </c>
      <c r="O941" s="22">
        <v>6</v>
      </c>
      <c r="P941" s="22">
        <v>6</v>
      </c>
      <c r="Q941" s="22">
        <v>0</v>
      </c>
      <c r="R941" s="22">
        <v>0</v>
      </c>
      <c r="S941" s="23"/>
      <c r="Y941" s="23"/>
      <c r="Z941" s="22">
        <v>101</v>
      </c>
      <c r="AA941" s="3" t="str">
        <f t="shared" si="7"/>
        <v>ANO_0166_46_T4-C1_vm</v>
      </c>
      <c r="AB941" s="3" t="str">
        <f t="shared" si="6"/>
        <v>ANO_0166_46_T4-C1_vm_1</v>
      </c>
    </row>
    <row r="942" spans="1:30" ht="14">
      <c r="A942" s="3">
        <v>941</v>
      </c>
      <c r="B942" s="23"/>
      <c r="C942" s="23"/>
      <c r="D942" s="23"/>
      <c r="E942" s="23"/>
      <c r="F942" s="23"/>
      <c r="G942" s="23"/>
      <c r="H942" s="23"/>
      <c r="I942" s="22">
        <v>2</v>
      </c>
      <c r="J942" s="23"/>
      <c r="K942" s="23"/>
      <c r="L942" s="23"/>
      <c r="M942" s="23" t="s">
        <v>38</v>
      </c>
      <c r="N942" s="22">
        <v>5.53</v>
      </c>
      <c r="O942" s="22">
        <v>0</v>
      </c>
      <c r="P942" s="22">
        <v>6</v>
      </c>
      <c r="Q942" s="22">
        <v>0</v>
      </c>
      <c r="R942" s="22">
        <v>5</v>
      </c>
      <c r="S942" s="23"/>
      <c r="Y942" s="23" t="s">
        <v>137</v>
      </c>
      <c r="Z942" s="23"/>
      <c r="AA942" s="3" t="str">
        <f t="shared" si="7"/>
        <v>___</v>
      </c>
      <c r="AB942" s="3" t="str">
        <f t="shared" si="6"/>
        <v>____2</v>
      </c>
    </row>
    <row r="943" spans="1:30" ht="14">
      <c r="A943" s="3">
        <v>942</v>
      </c>
      <c r="B943" s="23"/>
      <c r="C943" s="23"/>
      <c r="D943" s="23"/>
      <c r="E943" s="23"/>
      <c r="F943" s="23"/>
      <c r="G943" s="23"/>
      <c r="H943" s="23"/>
      <c r="I943" s="22">
        <v>3</v>
      </c>
      <c r="J943" s="23"/>
      <c r="K943" s="23"/>
      <c r="L943" s="23"/>
      <c r="M943" s="23" t="s">
        <v>39</v>
      </c>
      <c r="N943" s="22">
        <v>12.32</v>
      </c>
      <c r="O943" s="22">
        <v>0</v>
      </c>
      <c r="P943" s="22">
        <v>11</v>
      </c>
      <c r="Q943" s="23"/>
      <c r="R943" s="22">
        <v>5</v>
      </c>
      <c r="S943" s="23"/>
      <c r="Y943" s="23" t="s">
        <v>137</v>
      </c>
      <c r="Z943" s="23"/>
      <c r="AA943" s="3" t="str">
        <f t="shared" si="7"/>
        <v>___</v>
      </c>
      <c r="AB943" s="3" t="str">
        <f t="shared" si="6"/>
        <v>____3</v>
      </c>
    </row>
    <row r="944" spans="1:30" ht="14">
      <c r="A944" s="3">
        <v>943</v>
      </c>
      <c r="B944" s="22" t="s">
        <v>132</v>
      </c>
      <c r="C944" s="23" t="s">
        <v>133</v>
      </c>
      <c r="D944" s="22">
        <v>46</v>
      </c>
      <c r="E944" s="23" t="s">
        <v>134</v>
      </c>
      <c r="F944" s="23" t="s">
        <v>135</v>
      </c>
      <c r="G944" s="23" t="s">
        <v>136</v>
      </c>
      <c r="H944" s="23" t="s">
        <v>40</v>
      </c>
      <c r="I944" s="22">
        <v>1</v>
      </c>
      <c r="J944" s="23"/>
      <c r="K944" s="22">
        <v>39.6</v>
      </c>
      <c r="L944" s="22">
        <v>7</v>
      </c>
      <c r="M944" s="23" t="s">
        <v>36</v>
      </c>
      <c r="N944" s="22">
        <v>6.35</v>
      </c>
      <c r="O944" s="22">
        <v>7</v>
      </c>
      <c r="P944" s="22">
        <v>7</v>
      </c>
      <c r="Q944" s="22">
        <v>0</v>
      </c>
      <c r="R944" s="22">
        <v>0</v>
      </c>
      <c r="S944" s="23"/>
      <c r="Y944" s="23"/>
      <c r="Z944" s="22">
        <v>102</v>
      </c>
      <c r="AA944" s="3" t="str">
        <f t="shared" si="7"/>
        <v>ANO_0166_46_T4-C1_vm</v>
      </c>
      <c r="AB944" s="3" t="str">
        <f t="shared" si="6"/>
        <v>ANO_0166_46_T4-C1_vm_1</v>
      </c>
    </row>
    <row r="945" spans="1:28" ht="14">
      <c r="A945" s="3">
        <v>944</v>
      </c>
      <c r="B945" s="23"/>
      <c r="C945" s="23"/>
      <c r="D945" s="23"/>
      <c r="E945" s="23"/>
      <c r="F945" s="23"/>
      <c r="G945" s="23"/>
      <c r="H945" s="23"/>
      <c r="I945" s="22">
        <v>2</v>
      </c>
      <c r="J945" s="23"/>
      <c r="K945" s="23"/>
      <c r="L945" s="23"/>
      <c r="M945" s="23" t="s">
        <v>38</v>
      </c>
      <c r="N945" s="22">
        <v>7.5</v>
      </c>
      <c r="O945" s="22">
        <v>0</v>
      </c>
      <c r="P945" s="22">
        <v>4</v>
      </c>
      <c r="Q945" s="23"/>
      <c r="R945" s="22">
        <v>1</v>
      </c>
      <c r="S945" s="23"/>
      <c r="Y945" s="23" t="s">
        <v>137</v>
      </c>
      <c r="Z945" s="23"/>
      <c r="AA945" s="3" t="str">
        <f t="shared" si="7"/>
        <v>___</v>
      </c>
      <c r="AB945" s="3" t="str">
        <f t="shared" si="6"/>
        <v>____2</v>
      </c>
    </row>
    <row r="946" spans="1:28" ht="14">
      <c r="A946" s="3">
        <v>945</v>
      </c>
      <c r="B946" s="23"/>
      <c r="C946" s="23"/>
      <c r="D946" s="23"/>
      <c r="E946" s="23"/>
      <c r="F946" s="23"/>
      <c r="G946" s="23"/>
      <c r="H946" s="23"/>
      <c r="I946" s="22">
        <v>3</v>
      </c>
      <c r="J946" s="23"/>
      <c r="K946" s="23"/>
      <c r="L946" s="23"/>
      <c r="M946" s="23" t="s">
        <v>39</v>
      </c>
      <c r="N946" s="22">
        <v>4.93</v>
      </c>
      <c r="O946" s="22">
        <v>0</v>
      </c>
      <c r="P946" s="22">
        <v>1</v>
      </c>
      <c r="Q946" s="23"/>
      <c r="R946" s="22">
        <v>2</v>
      </c>
      <c r="S946" s="23"/>
      <c r="Y946" s="23" t="s">
        <v>137</v>
      </c>
      <c r="Z946" s="23"/>
      <c r="AA946" s="3" t="str">
        <f t="shared" si="7"/>
        <v>___</v>
      </c>
      <c r="AB946" s="3" t="str">
        <f t="shared" si="6"/>
        <v>____3</v>
      </c>
    </row>
    <row r="947" spans="1:28" ht="14">
      <c r="A947" s="3">
        <v>946</v>
      </c>
      <c r="B947" s="22" t="s">
        <v>132</v>
      </c>
      <c r="C947" s="23" t="s">
        <v>133</v>
      </c>
      <c r="D947" s="22">
        <v>46</v>
      </c>
      <c r="E947" s="23" t="s">
        <v>134</v>
      </c>
      <c r="F947" s="23" t="s">
        <v>135</v>
      </c>
      <c r="G947" s="23" t="s">
        <v>136</v>
      </c>
      <c r="H947" s="23" t="s">
        <v>35</v>
      </c>
      <c r="I947" s="22">
        <v>1</v>
      </c>
      <c r="J947" s="23"/>
      <c r="K947" s="22">
        <v>15.1</v>
      </c>
      <c r="L947" s="22">
        <v>4</v>
      </c>
      <c r="M947" s="23" t="s">
        <v>36</v>
      </c>
      <c r="N947" s="22">
        <v>3.95</v>
      </c>
      <c r="O947" s="22">
        <v>9</v>
      </c>
      <c r="P947" s="22">
        <v>2</v>
      </c>
      <c r="Q947" s="23"/>
      <c r="R947" s="23"/>
      <c r="S947" s="23"/>
      <c r="Y947" s="23"/>
      <c r="Z947" s="22">
        <v>103</v>
      </c>
      <c r="AA947" s="3" t="str">
        <f t="shared" si="7"/>
        <v>ANO_0166_46_T4-C1_vv</v>
      </c>
      <c r="AB947" s="3" t="str">
        <f t="shared" si="6"/>
        <v>ANO_0166_46_T4-C1_vv_1</v>
      </c>
    </row>
    <row r="948" spans="1:28" ht="14">
      <c r="A948" s="3">
        <v>947</v>
      </c>
      <c r="B948" s="23"/>
      <c r="C948" s="23"/>
      <c r="D948" s="23"/>
      <c r="E948" s="23"/>
      <c r="F948" s="23"/>
      <c r="G948" s="23"/>
      <c r="H948" s="23"/>
      <c r="I948" s="22">
        <v>2</v>
      </c>
      <c r="J948" s="23"/>
      <c r="K948" s="23"/>
      <c r="L948" s="23"/>
      <c r="M948" s="23" t="s">
        <v>38</v>
      </c>
      <c r="N948" s="22">
        <v>5.22</v>
      </c>
      <c r="O948" s="22">
        <v>9</v>
      </c>
      <c r="P948" s="22">
        <v>2</v>
      </c>
      <c r="Q948" s="23"/>
      <c r="R948" s="23"/>
      <c r="S948" s="23"/>
      <c r="Y948" s="23"/>
      <c r="Z948" s="23"/>
      <c r="AA948" s="3" t="str">
        <f t="shared" si="7"/>
        <v>___</v>
      </c>
      <c r="AB948" s="3" t="str">
        <f t="shared" si="6"/>
        <v>____2</v>
      </c>
    </row>
    <row r="949" spans="1:28" ht="14">
      <c r="A949" s="3">
        <v>948</v>
      </c>
      <c r="B949" s="23"/>
      <c r="C949" s="23"/>
      <c r="D949" s="23"/>
      <c r="E949" s="23"/>
      <c r="F949" s="23"/>
      <c r="G949" s="23"/>
      <c r="H949" s="23"/>
      <c r="I949" s="22">
        <v>3</v>
      </c>
      <c r="J949" s="23"/>
      <c r="K949" s="23"/>
      <c r="L949" s="23"/>
      <c r="M949" s="23" t="s">
        <v>39</v>
      </c>
      <c r="N949" s="22">
        <v>4.79</v>
      </c>
      <c r="O949" s="22">
        <v>4</v>
      </c>
      <c r="P949" s="22">
        <v>3</v>
      </c>
      <c r="Q949" s="23"/>
      <c r="R949" s="23"/>
      <c r="S949" s="23"/>
      <c r="Y949" s="23"/>
      <c r="Z949" s="23"/>
      <c r="AA949" s="3" t="str">
        <f t="shared" si="7"/>
        <v>___</v>
      </c>
      <c r="AB949" s="3" t="str">
        <f t="shared" si="6"/>
        <v>____3</v>
      </c>
    </row>
    <row r="950" spans="1:28" ht="14">
      <c r="A950" s="3">
        <v>949</v>
      </c>
      <c r="B950" s="22" t="s">
        <v>132</v>
      </c>
      <c r="C950" s="23" t="s">
        <v>133</v>
      </c>
      <c r="D950" s="22">
        <v>46</v>
      </c>
      <c r="E950" s="23" t="s">
        <v>134</v>
      </c>
      <c r="F950" s="23" t="s">
        <v>135</v>
      </c>
      <c r="G950" s="23" t="s">
        <v>136</v>
      </c>
      <c r="H950" s="23" t="s">
        <v>35</v>
      </c>
      <c r="I950" s="22">
        <v>1</v>
      </c>
      <c r="J950" s="23"/>
      <c r="K950" s="22">
        <v>10.7</v>
      </c>
      <c r="L950" s="22">
        <v>4</v>
      </c>
      <c r="M950" s="23" t="s">
        <v>36</v>
      </c>
      <c r="N950" s="22">
        <v>3.08</v>
      </c>
      <c r="O950" s="22">
        <v>7</v>
      </c>
      <c r="P950" s="22">
        <v>0</v>
      </c>
      <c r="Q950" s="23"/>
      <c r="R950" s="23"/>
      <c r="S950" s="23"/>
      <c r="Y950" s="23"/>
      <c r="Z950" s="22">
        <v>104</v>
      </c>
      <c r="AA950" s="3" t="str">
        <f t="shared" si="7"/>
        <v>ANO_0166_46_T4-C1_vv</v>
      </c>
      <c r="AB950" s="3" t="str">
        <f t="shared" si="6"/>
        <v>ANO_0166_46_T4-C1_vv_1</v>
      </c>
    </row>
    <row r="951" spans="1:28" ht="14">
      <c r="A951" s="3">
        <v>950</v>
      </c>
      <c r="B951" s="23"/>
      <c r="C951" s="23"/>
      <c r="D951" s="23"/>
      <c r="E951" s="23"/>
      <c r="F951" s="23"/>
      <c r="G951" s="23"/>
      <c r="H951" s="23"/>
      <c r="I951" s="22">
        <v>2</v>
      </c>
      <c r="J951" s="23"/>
      <c r="K951" s="23"/>
      <c r="L951" s="23"/>
      <c r="M951" s="23" t="s">
        <v>38</v>
      </c>
      <c r="N951" s="22">
        <v>4.68</v>
      </c>
      <c r="O951" s="22">
        <v>6</v>
      </c>
      <c r="P951" s="22">
        <v>4</v>
      </c>
      <c r="Q951" s="23"/>
      <c r="R951" s="23"/>
      <c r="S951" s="23"/>
      <c r="Y951" s="23"/>
      <c r="Z951" s="23"/>
      <c r="AA951" s="3" t="str">
        <f t="shared" si="7"/>
        <v>___</v>
      </c>
      <c r="AB951" s="3" t="str">
        <f t="shared" si="6"/>
        <v>____2</v>
      </c>
    </row>
    <row r="952" spans="1:28" ht="14">
      <c r="A952" s="3">
        <v>951</v>
      </c>
      <c r="B952" s="23"/>
      <c r="C952" s="23"/>
      <c r="D952" s="23"/>
      <c r="E952" s="23"/>
      <c r="F952" s="23"/>
      <c r="G952" s="23"/>
      <c r="H952" s="23"/>
      <c r="I952" s="22">
        <v>3</v>
      </c>
      <c r="J952" s="23"/>
      <c r="K952" s="23"/>
      <c r="L952" s="23"/>
      <c r="M952" s="23" t="s">
        <v>39</v>
      </c>
      <c r="N952" s="22">
        <v>2.21</v>
      </c>
      <c r="O952" s="22">
        <v>0</v>
      </c>
      <c r="P952" s="22">
        <v>2</v>
      </c>
      <c r="Q952" s="23"/>
      <c r="R952" s="22">
        <v>1</v>
      </c>
      <c r="S952" s="23"/>
      <c r="Y952" s="23"/>
      <c r="Z952" s="23"/>
      <c r="AA952" s="3" t="str">
        <f t="shared" si="7"/>
        <v>___</v>
      </c>
      <c r="AB952" s="3" t="str">
        <f t="shared" si="6"/>
        <v>____3</v>
      </c>
    </row>
    <row r="953" spans="1:28" ht="14">
      <c r="A953" s="3">
        <v>952</v>
      </c>
      <c r="B953" s="22" t="s">
        <v>132</v>
      </c>
      <c r="C953" s="23" t="s">
        <v>133</v>
      </c>
      <c r="D953" s="22">
        <v>46</v>
      </c>
      <c r="E953" s="23" t="s">
        <v>134</v>
      </c>
      <c r="F953" s="23" t="s">
        <v>135</v>
      </c>
      <c r="G953" s="23" t="s">
        <v>136</v>
      </c>
      <c r="H953" s="23" t="s">
        <v>35</v>
      </c>
      <c r="I953" s="22">
        <v>1</v>
      </c>
      <c r="J953" s="23"/>
      <c r="K953" s="22">
        <v>17</v>
      </c>
      <c r="L953" s="22">
        <v>4</v>
      </c>
      <c r="M953" s="23" t="s">
        <v>36</v>
      </c>
      <c r="N953" s="22">
        <v>3.43</v>
      </c>
      <c r="O953" s="22">
        <v>9</v>
      </c>
      <c r="P953" s="22">
        <v>2</v>
      </c>
      <c r="Q953" s="23"/>
      <c r="R953" s="23"/>
      <c r="S953" s="23"/>
      <c r="Y953" s="23"/>
      <c r="Z953" s="22">
        <v>105</v>
      </c>
      <c r="AA953" s="3" t="str">
        <f t="shared" si="7"/>
        <v>ANO_0166_46_T4-C1_vv</v>
      </c>
      <c r="AB953" s="3" t="str">
        <f t="shared" si="6"/>
        <v>ANO_0166_46_T4-C1_vv_1</v>
      </c>
    </row>
    <row r="954" spans="1:28" ht="14">
      <c r="A954" s="3">
        <v>953</v>
      </c>
      <c r="B954" s="23"/>
      <c r="C954" s="23"/>
      <c r="D954" s="23"/>
      <c r="E954" s="23"/>
      <c r="F954" s="23"/>
      <c r="G954" s="23"/>
      <c r="H954" s="23"/>
      <c r="I954" s="22">
        <v>2</v>
      </c>
      <c r="J954" s="23"/>
      <c r="K954" s="23"/>
      <c r="L954" s="23"/>
      <c r="M954" s="23" t="s">
        <v>38</v>
      </c>
      <c r="N954" s="22">
        <v>3.29</v>
      </c>
      <c r="O954" s="22">
        <v>8</v>
      </c>
      <c r="P954" s="22">
        <v>0</v>
      </c>
      <c r="Q954" s="23"/>
      <c r="R954" s="23"/>
      <c r="S954" s="23"/>
      <c r="Y954" s="23"/>
      <c r="Z954" s="23"/>
      <c r="AA954" s="3" t="str">
        <f t="shared" si="7"/>
        <v>___</v>
      </c>
      <c r="AB954" s="3" t="str">
        <f t="shared" si="6"/>
        <v>____2</v>
      </c>
    </row>
    <row r="955" spans="1:28" ht="14">
      <c r="A955" s="3">
        <v>954</v>
      </c>
      <c r="B955" s="23"/>
      <c r="C955" s="23"/>
      <c r="D955" s="23"/>
      <c r="E955" s="23"/>
      <c r="F955" s="23"/>
      <c r="G955" s="23"/>
      <c r="H955" s="23"/>
      <c r="I955" s="22">
        <v>3</v>
      </c>
      <c r="J955" s="23"/>
      <c r="K955" s="23"/>
      <c r="L955" s="23"/>
      <c r="M955" s="23" t="s">
        <v>39</v>
      </c>
      <c r="N955" s="22">
        <v>5.33</v>
      </c>
      <c r="O955" s="22">
        <v>4</v>
      </c>
      <c r="P955" s="22">
        <v>2</v>
      </c>
      <c r="Q955" s="23"/>
      <c r="R955" s="23"/>
      <c r="S955" s="23"/>
      <c r="Y955" s="23"/>
      <c r="Z955" s="23"/>
      <c r="AA955" s="3" t="str">
        <f t="shared" si="7"/>
        <v>___</v>
      </c>
      <c r="AB955" s="3" t="str">
        <f t="shared" si="6"/>
        <v>____3</v>
      </c>
    </row>
    <row r="956" spans="1:28" ht="14">
      <c r="A956" s="3">
        <v>955</v>
      </c>
      <c r="B956" s="22" t="s">
        <v>138</v>
      </c>
      <c r="C956" s="23" t="s">
        <v>139</v>
      </c>
      <c r="D956" s="22">
        <v>55</v>
      </c>
      <c r="E956" s="23" t="s">
        <v>134</v>
      </c>
      <c r="F956" s="23" t="s">
        <v>34</v>
      </c>
      <c r="G956" s="23" t="s">
        <v>140</v>
      </c>
      <c r="H956" s="23" t="s">
        <v>35</v>
      </c>
      <c r="I956" s="22">
        <v>1</v>
      </c>
      <c r="J956" s="22">
        <v>15</v>
      </c>
      <c r="K956" s="22">
        <v>17.5</v>
      </c>
      <c r="L956" s="22">
        <v>3</v>
      </c>
      <c r="M956" s="23" t="s">
        <v>36</v>
      </c>
      <c r="N956" s="22">
        <v>4.9000000000000004</v>
      </c>
      <c r="O956" s="22">
        <v>12</v>
      </c>
      <c r="P956" s="22">
        <v>1</v>
      </c>
      <c r="Q956" s="23"/>
      <c r="R956" s="23"/>
      <c r="S956" s="23"/>
      <c r="Y956" s="23"/>
      <c r="Z956" s="22">
        <v>106</v>
      </c>
      <c r="AA956" s="3" t="str">
        <f t="shared" si="7"/>
        <v>ANO_0022_55_T3-C3_vv</v>
      </c>
      <c r="AB956" s="3" t="str">
        <f t="shared" si="6"/>
        <v>ANO_0022_55_T3-C3_vv_1</v>
      </c>
    </row>
    <row r="957" spans="1:28" ht="14">
      <c r="A957" s="3">
        <v>956</v>
      </c>
      <c r="B957" s="23"/>
      <c r="C957" s="23"/>
      <c r="D957" s="23"/>
      <c r="E957" s="23"/>
      <c r="F957" s="23"/>
      <c r="G957" s="23"/>
      <c r="H957" s="23"/>
      <c r="I957" s="22">
        <v>2</v>
      </c>
      <c r="J957" s="23"/>
      <c r="K957" s="23"/>
      <c r="L957" s="23"/>
      <c r="M957" s="23" t="s">
        <v>38</v>
      </c>
      <c r="N957" s="22">
        <v>7.2</v>
      </c>
      <c r="O957" s="22">
        <v>10</v>
      </c>
      <c r="P957" s="22">
        <v>3</v>
      </c>
      <c r="Q957" s="23"/>
      <c r="R957" s="23"/>
      <c r="S957" s="23"/>
      <c r="Y957" s="23"/>
      <c r="Z957" s="23"/>
      <c r="AA957" s="3" t="str">
        <f t="shared" si="7"/>
        <v>___</v>
      </c>
      <c r="AB957" s="3" t="str">
        <f t="shared" si="6"/>
        <v>____2</v>
      </c>
    </row>
    <row r="958" spans="1:28" ht="14">
      <c r="A958" s="3">
        <v>957</v>
      </c>
      <c r="B958" s="23"/>
      <c r="C958" s="23"/>
      <c r="D958" s="23"/>
      <c r="E958" s="23"/>
      <c r="F958" s="23"/>
      <c r="G958" s="23"/>
      <c r="H958" s="23"/>
      <c r="I958" s="22">
        <v>3</v>
      </c>
      <c r="J958" s="23"/>
      <c r="K958" s="23"/>
      <c r="L958" s="23"/>
      <c r="M958" s="23" t="s">
        <v>39</v>
      </c>
      <c r="N958" s="22">
        <v>5.3</v>
      </c>
      <c r="O958" s="22">
        <v>0</v>
      </c>
      <c r="P958" s="22">
        <v>8</v>
      </c>
      <c r="Q958" s="23"/>
      <c r="R958" s="23"/>
      <c r="S958" s="23"/>
      <c r="Y958" s="23"/>
      <c r="Z958" s="23"/>
      <c r="AA958" s="3" t="str">
        <f t="shared" si="7"/>
        <v>___</v>
      </c>
      <c r="AB958" s="3" t="str">
        <f t="shared" si="6"/>
        <v>____3</v>
      </c>
    </row>
    <row r="959" spans="1:28" ht="14">
      <c r="A959" s="3">
        <v>958</v>
      </c>
      <c r="B959" s="22" t="s">
        <v>138</v>
      </c>
      <c r="C959" s="23" t="s">
        <v>139</v>
      </c>
      <c r="D959" s="22">
        <v>55</v>
      </c>
      <c r="E959" s="23" t="s">
        <v>134</v>
      </c>
      <c r="F959" s="23" t="s">
        <v>34</v>
      </c>
      <c r="G959" s="23" t="s">
        <v>140</v>
      </c>
      <c r="H959" s="23" t="s">
        <v>35</v>
      </c>
      <c r="I959" s="22">
        <v>1</v>
      </c>
      <c r="J959" s="22">
        <v>19</v>
      </c>
      <c r="K959" s="22">
        <v>21.8</v>
      </c>
      <c r="L959" s="22">
        <v>4</v>
      </c>
      <c r="M959" s="23" t="s">
        <v>36</v>
      </c>
      <c r="N959" s="22">
        <v>4.9000000000000004</v>
      </c>
      <c r="O959" s="22">
        <v>12</v>
      </c>
      <c r="P959" s="22">
        <v>1</v>
      </c>
      <c r="Q959" s="23"/>
      <c r="R959" s="23"/>
      <c r="S959" s="23"/>
      <c r="Y959" s="23"/>
      <c r="Z959" s="22">
        <v>107</v>
      </c>
      <c r="AA959" s="3" t="str">
        <f t="shared" si="7"/>
        <v>ANO_0022_55_T3-C3_vv</v>
      </c>
      <c r="AB959" s="3" t="str">
        <f t="shared" si="6"/>
        <v>ANO_0022_55_T3-C3_vv_1</v>
      </c>
    </row>
    <row r="960" spans="1:28" ht="14">
      <c r="A960" s="3">
        <v>959</v>
      </c>
      <c r="B960" s="23"/>
      <c r="C960" s="23"/>
      <c r="D960" s="23"/>
      <c r="E960" s="23"/>
      <c r="F960" s="23"/>
      <c r="G960" s="23"/>
      <c r="H960" s="23"/>
      <c r="I960" s="22">
        <v>2</v>
      </c>
      <c r="J960" s="23"/>
      <c r="K960" s="23"/>
      <c r="L960" s="23"/>
      <c r="M960" s="23" t="s">
        <v>38</v>
      </c>
      <c r="N960" s="22">
        <v>6.1</v>
      </c>
      <c r="O960" s="22">
        <v>9</v>
      </c>
      <c r="P960" s="22">
        <v>2</v>
      </c>
      <c r="Q960" s="23"/>
      <c r="R960" s="23"/>
      <c r="S960" s="23"/>
      <c r="Y960" s="23"/>
      <c r="Z960" s="23"/>
      <c r="AA960" s="3" t="str">
        <f t="shared" si="7"/>
        <v>___</v>
      </c>
      <c r="AB960" s="3" t="str">
        <f t="shared" si="6"/>
        <v>____2</v>
      </c>
    </row>
    <row r="961" spans="1:28" ht="14">
      <c r="A961" s="3">
        <v>960</v>
      </c>
      <c r="B961" s="23"/>
      <c r="C961" s="23"/>
      <c r="D961" s="23"/>
      <c r="E961" s="23"/>
      <c r="F961" s="23"/>
      <c r="G961" s="23"/>
      <c r="H961" s="23"/>
      <c r="I961" s="22">
        <v>3</v>
      </c>
      <c r="J961" s="23"/>
      <c r="K961" s="23"/>
      <c r="L961" s="23"/>
      <c r="M961" s="23" t="s">
        <v>39</v>
      </c>
      <c r="N961" s="22">
        <v>6.4</v>
      </c>
      <c r="O961" s="22">
        <v>3</v>
      </c>
      <c r="P961" s="22">
        <v>6</v>
      </c>
      <c r="Q961" s="23"/>
      <c r="R961" s="23"/>
      <c r="S961" s="23"/>
      <c r="Y961" s="23"/>
      <c r="Z961" s="23"/>
      <c r="AA961" s="3" t="str">
        <f t="shared" si="7"/>
        <v>___</v>
      </c>
      <c r="AB961" s="3" t="str">
        <f t="shared" si="6"/>
        <v>____3</v>
      </c>
    </row>
    <row r="962" spans="1:28" ht="14">
      <c r="A962" s="3">
        <v>961</v>
      </c>
      <c r="B962" s="22" t="s">
        <v>138</v>
      </c>
      <c r="C962" s="23" t="s">
        <v>139</v>
      </c>
      <c r="D962" s="22">
        <v>55</v>
      </c>
      <c r="E962" s="23" t="s">
        <v>134</v>
      </c>
      <c r="F962" s="23" t="s">
        <v>34</v>
      </c>
      <c r="G962" s="23" t="s">
        <v>140</v>
      </c>
      <c r="H962" s="23" t="s">
        <v>35</v>
      </c>
      <c r="I962" s="22">
        <v>1</v>
      </c>
      <c r="J962" s="22">
        <v>12.5</v>
      </c>
      <c r="K962" s="22">
        <v>14.8</v>
      </c>
      <c r="L962" s="22">
        <v>3</v>
      </c>
      <c r="M962" s="23" t="s">
        <v>36</v>
      </c>
      <c r="N962" s="22">
        <v>3.4</v>
      </c>
      <c r="O962" s="22">
        <v>11</v>
      </c>
      <c r="P962" s="22">
        <v>2</v>
      </c>
      <c r="Q962" s="23"/>
      <c r="R962" s="23"/>
      <c r="S962" s="23"/>
      <c r="Y962" s="23"/>
      <c r="Z962" s="22">
        <v>108</v>
      </c>
      <c r="AA962" s="3" t="str">
        <f t="shared" si="7"/>
        <v>ANO_0022_55_T3-C3_vv</v>
      </c>
      <c r="AB962" s="3" t="str">
        <f t="shared" si="6"/>
        <v>ANO_0022_55_T3-C3_vv_1</v>
      </c>
    </row>
    <row r="963" spans="1:28" ht="14">
      <c r="A963" s="3">
        <v>962</v>
      </c>
      <c r="B963" s="23"/>
      <c r="C963" s="23"/>
      <c r="D963" s="23"/>
      <c r="E963" s="23"/>
      <c r="F963" s="23"/>
      <c r="G963" s="23"/>
      <c r="H963" s="23"/>
      <c r="I963" s="22">
        <v>2</v>
      </c>
      <c r="J963" s="23"/>
      <c r="K963" s="23"/>
      <c r="L963" s="23"/>
      <c r="M963" s="23" t="s">
        <v>38</v>
      </c>
      <c r="N963" s="22">
        <v>4.9000000000000004</v>
      </c>
      <c r="O963" s="22">
        <v>8</v>
      </c>
      <c r="P963" s="22">
        <v>6</v>
      </c>
      <c r="Q963" s="23"/>
      <c r="R963" s="23"/>
      <c r="S963" s="23"/>
      <c r="Y963" s="23"/>
      <c r="Z963" s="23"/>
      <c r="AA963" s="3" t="str">
        <f t="shared" si="7"/>
        <v>___</v>
      </c>
      <c r="AB963" s="3" t="str">
        <f t="shared" si="6"/>
        <v>____2</v>
      </c>
    </row>
    <row r="964" spans="1:28" ht="14">
      <c r="A964" s="3">
        <v>963</v>
      </c>
      <c r="B964" s="23"/>
      <c r="C964" s="23"/>
      <c r="D964" s="23"/>
      <c r="E964" s="23"/>
      <c r="F964" s="23"/>
      <c r="G964" s="23"/>
      <c r="H964" s="23"/>
      <c r="I964" s="22">
        <v>3</v>
      </c>
      <c r="J964" s="23"/>
      <c r="K964" s="23"/>
      <c r="L964" s="23"/>
      <c r="M964" s="23" t="s">
        <v>39</v>
      </c>
      <c r="N964" s="22">
        <v>6.2</v>
      </c>
      <c r="O964" s="22">
        <v>1</v>
      </c>
      <c r="P964" s="22">
        <v>7</v>
      </c>
      <c r="Q964" s="23"/>
      <c r="R964" s="23"/>
      <c r="S964" s="23"/>
      <c r="Y964" s="23"/>
      <c r="Z964" s="23"/>
      <c r="AA964" s="3" t="str">
        <f t="shared" si="7"/>
        <v>___</v>
      </c>
      <c r="AB964" s="3" t="str">
        <f t="shared" si="6"/>
        <v>____3</v>
      </c>
    </row>
    <row r="965" spans="1:28" ht="14">
      <c r="A965" s="3">
        <v>964</v>
      </c>
      <c r="B965" s="22" t="s">
        <v>138</v>
      </c>
      <c r="C965" s="23" t="s">
        <v>139</v>
      </c>
      <c r="D965" s="22">
        <v>55</v>
      </c>
      <c r="E965" s="23" t="s">
        <v>134</v>
      </c>
      <c r="F965" s="23" t="s">
        <v>34</v>
      </c>
      <c r="G965" s="23" t="s">
        <v>140</v>
      </c>
      <c r="H965" s="23" t="s">
        <v>40</v>
      </c>
      <c r="I965" s="22">
        <v>1</v>
      </c>
      <c r="J965" s="22">
        <v>20.5</v>
      </c>
      <c r="K965" s="22">
        <v>21</v>
      </c>
      <c r="L965" s="22">
        <v>6</v>
      </c>
      <c r="M965" s="23" t="s">
        <v>36</v>
      </c>
      <c r="N965" s="22">
        <v>4.0999999999999996</v>
      </c>
      <c r="O965" s="22">
        <v>7</v>
      </c>
      <c r="P965" s="22">
        <v>0</v>
      </c>
      <c r="Q965" s="23"/>
      <c r="R965" s="22">
        <v>0</v>
      </c>
      <c r="S965" s="23"/>
      <c r="Y965" s="23"/>
      <c r="Z965" s="22">
        <v>109</v>
      </c>
      <c r="AA965" s="3" t="str">
        <f t="shared" si="7"/>
        <v>ANO_0022_55_T3-C3_vm</v>
      </c>
      <c r="AB965" s="3" t="str">
        <f t="shared" si="6"/>
        <v>ANO_0022_55_T3-C3_vm_1</v>
      </c>
    </row>
    <row r="966" spans="1:28" ht="14">
      <c r="A966" s="3">
        <v>965</v>
      </c>
      <c r="B966" s="23"/>
      <c r="C966" s="23"/>
      <c r="D966" s="23"/>
      <c r="E966" s="23"/>
      <c r="F966" s="23"/>
      <c r="G966" s="23"/>
      <c r="H966" s="23"/>
      <c r="I966" s="22">
        <v>2</v>
      </c>
      <c r="J966" s="23"/>
      <c r="K966" s="23"/>
      <c r="L966" s="23"/>
      <c r="M966" s="23" t="s">
        <v>38</v>
      </c>
      <c r="N966" s="22">
        <v>3.4</v>
      </c>
      <c r="O966" s="22">
        <v>0</v>
      </c>
      <c r="P966" s="22">
        <v>1</v>
      </c>
      <c r="Q966" s="23"/>
      <c r="R966" s="22">
        <v>2</v>
      </c>
      <c r="S966" s="23"/>
      <c r="Y966" s="23"/>
      <c r="Z966" s="23"/>
      <c r="AA966" s="3" t="str">
        <f t="shared" si="7"/>
        <v>___</v>
      </c>
      <c r="AB966" s="3" t="str">
        <f t="shared" si="6"/>
        <v>____2</v>
      </c>
    </row>
    <row r="967" spans="1:28" ht="14">
      <c r="A967" s="3">
        <v>966</v>
      </c>
      <c r="B967" s="23"/>
      <c r="C967" s="23"/>
      <c r="D967" s="23"/>
      <c r="E967" s="23"/>
      <c r="F967" s="23"/>
      <c r="G967" s="23"/>
      <c r="H967" s="23"/>
      <c r="I967" s="22">
        <v>3</v>
      </c>
      <c r="J967" s="23"/>
      <c r="K967" s="23"/>
      <c r="L967" s="23"/>
      <c r="M967" s="23" t="s">
        <v>39</v>
      </c>
      <c r="N967" s="22">
        <v>4.4000000000000004</v>
      </c>
      <c r="O967" s="22">
        <v>0</v>
      </c>
      <c r="P967" s="22">
        <v>3</v>
      </c>
      <c r="Q967" s="23"/>
      <c r="R967" s="22">
        <v>1</v>
      </c>
      <c r="S967" s="23"/>
      <c r="Y967" s="23"/>
      <c r="Z967" s="23"/>
      <c r="AA967" s="3" t="str">
        <f t="shared" si="7"/>
        <v>___</v>
      </c>
      <c r="AB967" s="3" t="str">
        <f t="shared" si="6"/>
        <v>____3</v>
      </c>
    </row>
    <row r="968" spans="1:28" ht="14">
      <c r="A968" s="3">
        <v>967</v>
      </c>
      <c r="B968" s="22" t="s">
        <v>138</v>
      </c>
      <c r="C968" s="23" t="s">
        <v>139</v>
      </c>
      <c r="D968" s="22">
        <v>55</v>
      </c>
      <c r="E968" s="23" t="s">
        <v>134</v>
      </c>
      <c r="F968" s="23" t="s">
        <v>34</v>
      </c>
      <c r="G968" s="23" t="s">
        <v>140</v>
      </c>
      <c r="H968" s="23" t="s">
        <v>40</v>
      </c>
      <c r="I968" s="22">
        <v>1</v>
      </c>
      <c r="J968" s="22">
        <v>23</v>
      </c>
      <c r="K968" s="22">
        <v>29</v>
      </c>
      <c r="L968" s="22">
        <v>5</v>
      </c>
      <c r="M968" s="23" t="s">
        <v>36</v>
      </c>
      <c r="N968" s="22">
        <v>5.6</v>
      </c>
      <c r="O968" s="22">
        <v>6</v>
      </c>
      <c r="P968" s="22">
        <v>0</v>
      </c>
      <c r="Q968" s="23"/>
      <c r="R968" s="22">
        <v>0</v>
      </c>
      <c r="S968" s="23"/>
      <c r="Y968" s="23"/>
      <c r="Z968" s="22">
        <v>110</v>
      </c>
      <c r="AA968" s="3" t="str">
        <f t="shared" si="7"/>
        <v>ANO_0022_55_T3-C3_vm</v>
      </c>
      <c r="AB968" s="3" t="str">
        <f t="shared" si="6"/>
        <v>ANO_0022_55_T3-C3_vm_1</v>
      </c>
    </row>
    <row r="969" spans="1:28" ht="14">
      <c r="A969" s="3">
        <v>968</v>
      </c>
      <c r="B969" s="23"/>
      <c r="C969" s="23"/>
      <c r="D969" s="23"/>
      <c r="E969" s="23"/>
      <c r="F969" s="23"/>
      <c r="G969" s="23"/>
      <c r="H969" s="23"/>
      <c r="I969" s="22">
        <v>2</v>
      </c>
      <c r="J969" s="23"/>
      <c r="K969" s="23"/>
      <c r="L969" s="23"/>
      <c r="M969" s="23" t="s">
        <v>38</v>
      </c>
      <c r="N969" s="22">
        <v>7.5</v>
      </c>
      <c r="O969" s="22">
        <v>2</v>
      </c>
      <c r="P969" s="22">
        <v>6</v>
      </c>
      <c r="Q969" s="23"/>
      <c r="R969" s="22">
        <v>2</v>
      </c>
      <c r="S969" s="23"/>
      <c r="Y969" s="23"/>
      <c r="Z969" s="23"/>
      <c r="AA969" s="3" t="str">
        <f t="shared" si="7"/>
        <v>___</v>
      </c>
      <c r="AB969" s="3" t="str">
        <f t="shared" si="6"/>
        <v>____2</v>
      </c>
    </row>
    <row r="970" spans="1:28" ht="14">
      <c r="A970" s="3">
        <v>969</v>
      </c>
      <c r="B970" s="23"/>
      <c r="C970" s="23"/>
      <c r="D970" s="23"/>
      <c r="E970" s="23"/>
      <c r="F970" s="23"/>
      <c r="G970" s="23"/>
      <c r="H970" s="23"/>
      <c r="I970" s="22">
        <v>3</v>
      </c>
      <c r="J970" s="23"/>
      <c r="K970" s="23"/>
      <c r="L970" s="23"/>
      <c r="M970" s="23" t="s">
        <v>39</v>
      </c>
      <c r="N970" s="22">
        <v>5.9</v>
      </c>
      <c r="O970" s="22">
        <v>0</v>
      </c>
      <c r="P970" s="22">
        <v>5</v>
      </c>
      <c r="Q970" s="23"/>
      <c r="R970" s="22">
        <v>2</v>
      </c>
      <c r="S970" s="23"/>
      <c r="Y970" s="23"/>
      <c r="Z970" s="23"/>
      <c r="AA970" s="3" t="str">
        <f t="shared" si="7"/>
        <v>___</v>
      </c>
      <c r="AB970" s="3" t="str">
        <f t="shared" si="6"/>
        <v>____3</v>
      </c>
    </row>
    <row r="971" spans="1:28" ht="14">
      <c r="A971" s="3">
        <v>970</v>
      </c>
      <c r="B971" s="22" t="s">
        <v>138</v>
      </c>
      <c r="C971" s="23" t="s">
        <v>139</v>
      </c>
      <c r="D971" s="22">
        <v>55</v>
      </c>
      <c r="E971" s="23" t="s">
        <v>134</v>
      </c>
      <c r="F971" s="23" t="s">
        <v>34</v>
      </c>
      <c r="G971" s="23" t="s">
        <v>140</v>
      </c>
      <c r="H971" s="23" t="s">
        <v>40</v>
      </c>
      <c r="I971" s="22">
        <v>1</v>
      </c>
      <c r="J971" s="22">
        <v>20</v>
      </c>
      <c r="K971" s="22">
        <v>23.1</v>
      </c>
      <c r="L971" s="22">
        <v>6</v>
      </c>
      <c r="M971" s="23" t="s">
        <v>36</v>
      </c>
      <c r="N971" s="22">
        <v>4.9000000000000004</v>
      </c>
      <c r="O971" s="22">
        <v>6</v>
      </c>
      <c r="P971" s="22">
        <v>0</v>
      </c>
      <c r="Q971" s="23"/>
      <c r="R971" s="22">
        <v>1</v>
      </c>
      <c r="S971" s="23"/>
      <c r="Y971" s="23"/>
      <c r="Z971" s="22">
        <v>111</v>
      </c>
      <c r="AA971" s="3" t="str">
        <f t="shared" si="7"/>
        <v>ANO_0022_55_T3-C3_vm</v>
      </c>
      <c r="AB971" s="3" t="str">
        <f t="shared" si="6"/>
        <v>ANO_0022_55_T3-C3_vm_1</v>
      </c>
    </row>
    <row r="972" spans="1:28" ht="14">
      <c r="A972" s="3">
        <v>971</v>
      </c>
      <c r="B972" s="23"/>
      <c r="C972" s="23"/>
      <c r="D972" s="23"/>
      <c r="E972" s="23"/>
      <c r="F972" s="23"/>
      <c r="G972" s="23"/>
      <c r="H972" s="23"/>
      <c r="I972" s="22">
        <v>2</v>
      </c>
      <c r="J972" s="23"/>
      <c r="K972" s="23"/>
      <c r="L972" s="23"/>
      <c r="M972" s="23" t="s">
        <v>38</v>
      </c>
      <c r="N972" s="22">
        <v>6.7</v>
      </c>
      <c r="O972" s="22">
        <v>0</v>
      </c>
      <c r="P972" s="22">
        <v>6</v>
      </c>
      <c r="Q972" s="23"/>
      <c r="R972" s="22">
        <v>3</v>
      </c>
      <c r="S972" s="23"/>
      <c r="Y972" s="23"/>
      <c r="Z972" s="23"/>
      <c r="AA972" s="3" t="str">
        <f t="shared" si="7"/>
        <v>___</v>
      </c>
      <c r="AB972" s="3" t="str">
        <f t="shared" si="6"/>
        <v>____2</v>
      </c>
    </row>
    <row r="973" spans="1:28" ht="14">
      <c r="A973" s="3">
        <v>972</v>
      </c>
      <c r="B973" s="23"/>
      <c r="C973" s="23"/>
      <c r="D973" s="23"/>
      <c r="E973" s="23"/>
      <c r="F973" s="23"/>
      <c r="G973" s="23"/>
      <c r="H973" s="23"/>
      <c r="I973" s="22">
        <v>3</v>
      </c>
      <c r="J973" s="23"/>
      <c r="K973" s="23"/>
      <c r="L973" s="23"/>
      <c r="M973" s="23" t="s">
        <v>39</v>
      </c>
      <c r="N973" s="22">
        <v>4.0999999999999996</v>
      </c>
      <c r="O973" s="22">
        <v>0</v>
      </c>
      <c r="P973" s="22">
        <v>3</v>
      </c>
      <c r="Q973" s="23"/>
      <c r="R973" s="22">
        <v>0</v>
      </c>
      <c r="S973" s="23"/>
      <c r="Y973" s="23"/>
      <c r="Z973" s="23"/>
      <c r="AA973" s="3" t="str">
        <f t="shared" si="7"/>
        <v>___</v>
      </c>
      <c r="AB973" s="3" t="str">
        <f t="shared" si="6"/>
        <v>____3</v>
      </c>
    </row>
    <row r="974" spans="1:28" ht="14">
      <c r="A974" s="3">
        <v>973</v>
      </c>
      <c r="B974" s="22" t="s">
        <v>138</v>
      </c>
      <c r="C974" s="23" t="s">
        <v>139</v>
      </c>
      <c r="D974" s="22">
        <v>26</v>
      </c>
      <c r="E974" s="23" t="s">
        <v>134</v>
      </c>
      <c r="F974" s="23" t="s">
        <v>135</v>
      </c>
      <c r="G974" s="23" t="s">
        <v>136</v>
      </c>
      <c r="H974" s="23" t="s">
        <v>40</v>
      </c>
      <c r="I974" s="22">
        <v>1</v>
      </c>
      <c r="J974" s="22">
        <v>19.5</v>
      </c>
      <c r="K974" s="22">
        <v>21.7</v>
      </c>
      <c r="L974" s="22">
        <v>6</v>
      </c>
      <c r="M974" s="23" t="s">
        <v>36</v>
      </c>
      <c r="N974" s="22">
        <v>1.6</v>
      </c>
      <c r="O974" s="22">
        <v>4</v>
      </c>
      <c r="P974" s="22">
        <v>0</v>
      </c>
      <c r="Q974" s="23"/>
      <c r="R974" s="23"/>
      <c r="S974" s="23"/>
      <c r="Y974" s="23"/>
      <c r="Z974" s="22">
        <v>112</v>
      </c>
      <c r="AA974" s="3" t="str">
        <f t="shared" si="7"/>
        <v>ANO_0022_26_T4-C1_vm</v>
      </c>
      <c r="AB974" s="3" t="str">
        <f t="shared" si="6"/>
        <v>ANO_0022_26_T4-C1_vm_1</v>
      </c>
    </row>
    <row r="975" spans="1:28" ht="14">
      <c r="A975" s="3">
        <v>974</v>
      </c>
      <c r="B975" s="23"/>
      <c r="C975" s="23"/>
      <c r="D975" s="23"/>
      <c r="E975" s="23"/>
      <c r="F975" s="23"/>
      <c r="G975" s="23"/>
      <c r="H975" s="23"/>
      <c r="I975" s="22">
        <v>2</v>
      </c>
      <c r="J975" s="23"/>
      <c r="K975" s="23"/>
      <c r="L975" s="23"/>
      <c r="M975" s="23" t="s">
        <v>38</v>
      </c>
      <c r="N975" s="22">
        <v>4.2</v>
      </c>
      <c r="O975" s="22">
        <v>0</v>
      </c>
      <c r="P975" s="22">
        <v>4</v>
      </c>
      <c r="Q975" s="23"/>
      <c r="R975" s="22">
        <v>2</v>
      </c>
      <c r="S975" s="23"/>
      <c r="Y975" s="23"/>
      <c r="Z975" s="23"/>
      <c r="AA975" s="3" t="str">
        <f t="shared" si="7"/>
        <v>___</v>
      </c>
      <c r="AB975" s="3" t="str">
        <f t="shared" si="6"/>
        <v>____2</v>
      </c>
    </row>
    <row r="976" spans="1:28" ht="14">
      <c r="A976" s="3">
        <v>975</v>
      </c>
      <c r="B976" s="23"/>
      <c r="C976" s="23"/>
      <c r="D976" s="23"/>
      <c r="E976" s="23"/>
      <c r="F976" s="23"/>
      <c r="G976" s="23"/>
      <c r="H976" s="23"/>
      <c r="I976" s="22">
        <v>3</v>
      </c>
      <c r="J976" s="23"/>
      <c r="K976" s="23"/>
      <c r="L976" s="23"/>
      <c r="M976" s="23" t="s">
        <v>39</v>
      </c>
      <c r="N976" s="22">
        <v>6.6</v>
      </c>
      <c r="O976" s="22">
        <v>0</v>
      </c>
      <c r="P976" s="22">
        <v>5</v>
      </c>
      <c r="Q976" s="23"/>
      <c r="R976" s="22">
        <v>3</v>
      </c>
      <c r="S976" s="23"/>
      <c r="Y976" s="23"/>
      <c r="Z976" s="23"/>
      <c r="AA976" s="3" t="str">
        <f t="shared" si="7"/>
        <v>___</v>
      </c>
      <c r="AB976" s="3" t="str">
        <f t="shared" si="6"/>
        <v>____3</v>
      </c>
    </row>
    <row r="977" spans="1:28" ht="14">
      <c r="A977" s="3">
        <v>976</v>
      </c>
      <c r="B977" s="22" t="s">
        <v>138</v>
      </c>
      <c r="C977" s="23" t="s">
        <v>139</v>
      </c>
      <c r="D977" s="22">
        <v>26</v>
      </c>
      <c r="E977" s="23" t="s">
        <v>134</v>
      </c>
      <c r="F977" s="23" t="s">
        <v>135</v>
      </c>
      <c r="G977" s="23" t="s">
        <v>136</v>
      </c>
      <c r="H977" s="23" t="s">
        <v>40</v>
      </c>
      <c r="I977" s="22">
        <v>1</v>
      </c>
      <c r="J977" s="22">
        <v>19</v>
      </c>
      <c r="K977" s="22">
        <v>22</v>
      </c>
      <c r="L977" s="22">
        <v>7</v>
      </c>
      <c r="M977" s="23" t="s">
        <v>36</v>
      </c>
      <c r="N977" s="22">
        <v>3.9</v>
      </c>
      <c r="O977" s="22">
        <v>6</v>
      </c>
      <c r="P977" s="22">
        <v>2</v>
      </c>
      <c r="Q977" s="23"/>
      <c r="R977" s="23"/>
      <c r="S977" s="23"/>
      <c r="Y977" s="23"/>
      <c r="Z977" s="22">
        <v>113</v>
      </c>
      <c r="AA977" s="3" t="str">
        <f t="shared" si="7"/>
        <v>ANO_0022_26_T4-C1_vm</v>
      </c>
      <c r="AB977" s="3" t="str">
        <f t="shared" si="6"/>
        <v>ANO_0022_26_T4-C1_vm_1</v>
      </c>
    </row>
    <row r="978" spans="1:28" ht="14">
      <c r="A978" s="3">
        <v>977</v>
      </c>
      <c r="B978" s="23"/>
      <c r="C978" s="23"/>
      <c r="D978" s="23"/>
      <c r="E978" s="23"/>
      <c r="F978" s="23"/>
      <c r="G978" s="23"/>
      <c r="H978" s="23"/>
      <c r="I978" s="22">
        <v>2</v>
      </c>
      <c r="J978" s="23"/>
      <c r="K978" s="23"/>
      <c r="L978" s="23"/>
      <c r="M978" s="23" t="s">
        <v>38</v>
      </c>
      <c r="N978" s="22">
        <v>5.6</v>
      </c>
      <c r="O978" s="22">
        <v>2</v>
      </c>
      <c r="P978" s="22">
        <v>2</v>
      </c>
      <c r="Q978" s="23"/>
      <c r="R978" s="22">
        <v>3</v>
      </c>
      <c r="S978" s="23"/>
      <c r="Y978" s="23"/>
      <c r="Z978" s="23"/>
      <c r="AA978" s="3" t="str">
        <f t="shared" si="7"/>
        <v>___</v>
      </c>
      <c r="AB978" s="3" t="str">
        <f t="shared" si="6"/>
        <v>____2</v>
      </c>
    </row>
    <row r="979" spans="1:28" ht="14">
      <c r="A979" s="3">
        <v>978</v>
      </c>
      <c r="B979" s="23"/>
      <c r="C979" s="23"/>
      <c r="D979" s="23"/>
      <c r="E979" s="23"/>
      <c r="F979" s="23"/>
      <c r="G979" s="23"/>
      <c r="H979" s="23"/>
      <c r="I979" s="22">
        <v>3</v>
      </c>
      <c r="J979" s="23"/>
      <c r="K979" s="23"/>
      <c r="L979" s="23"/>
      <c r="M979" s="23" t="s">
        <v>39</v>
      </c>
      <c r="N979" s="22">
        <v>6.5</v>
      </c>
      <c r="O979" s="22">
        <v>0</v>
      </c>
      <c r="P979" s="22">
        <v>4</v>
      </c>
      <c r="Q979" s="23"/>
      <c r="R979" s="22">
        <v>3</v>
      </c>
      <c r="S979" s="23"/>
      <c r="Y979" s="23"/>
      <c r="Z979" s="23"/>
      <c r="AA979" s="3" t="str">
        <f t="shared" si="7"/>
        <v>___</v>
      </c>
      <c r="AB979" s="3" t="str">
        <f t="shared" si="6"/>
        <v>____3</v>
      </c>
    </row>
    <row r="980" spans="1:28" ht="14">
      <c r="A980" s="3">
        <v>979</v>
      </c>
      <c r="B980" s="22" t="s">
        <v>138</v>
      </c>
      <c r="C980" s="23" t="s">
        <v>139</v>
      </c>
      <c r="D980" s="22">
        <v>26</v>
      </c>
      <c r="E980" s="23" t="s">
        <v>134</v>
      </c>
      <c r="F980" s="23" t="s">
        <v>135</v>
      </c>
      <c r="G980" s="23" t="s">
        <v>136</v>
      </c>
      <c r="H980" s="23" t="s">
        <v>40</v>
      </c>
      <c r="I980" s="22">
        <v>1</v>
      </c>
      <c r="J980" s="22">
        <v>25.5</v>
      </c>
      <c r="K980" s="22">
        <v>28.9</v>
      </c>
      <c r="L980" s="22">
        <v>8</v>
      </c>
      <c r="M980" s="23" t="s">
        <v>36</v>
      </c>
      <c r="N980" s="22">
        <v>1.9</v>
      </c>
      <c r="O980" s="22">
        <v>4</v>
      </c>
      <c r="P980" s="22">
        <v>0</v>
      </c>
      <c r="Q980" s="23"/>
      <c r="R980" s="23"/>
      <c r="S980" s="23"/>
      <c r="Y980" s="23"/>
      <c r="Z980" s="22">
        <v>114</v>
      </c>
      <c r="AA980" s="3" t="str">
        <f t="shared" si="7"/>
        <v>ANO_0022_26_T4-C1_vm</v>
      </c>
      <c r="AB980" s="3" t="str">
        <f t="shared" si="6"/>
        <v>ANO_0022_26_T4-C1_vm_1</v>
      </c>
    </row>
    <row r="981" spans="1:28" ht="14">
      <c r="A981" s="3">
        <v>980</v>
      </c>
      <c r="B981" s="23"/>
      <c r="C981" s="23"/>
      <c r="D981" s="23"/>
      <c r="E981" s="23"/>
      <c r="F981" s="23"/>
      <c r="G981" s="23"/>
      <c r="H981" s="23"/>
      <c r="I981" s="22">
        <v>2</v>
      </c>
      <c r="J981" s="23"/>
      <c r="K981" s="23"/>
      <c r="L981" s="23"/>
      <c r="M981" s="23" t="s">
        <v>38</v>
      </c>
      <c r="N981" s="22">
        <v>4.0999999999999996</v>
      </c>
      <c r="O981" s="22">
        <v>2</v>
      </c>
      <c r="P981" s="22">
        <v>2</v>
      </c>
      <c r="Q981" s="23"/>
      <c r="R981" s="22">
        <v>3</v>
      </c>
      <c r="S981" s="23"/>
      <c r="Y981" s="23"/>
      <c r="Z981" s="23"/>
      <c r="AA981" s="3" t="str">
        <f t="shared" si="7"/>
        <v>___</v>
      </c>
      <c r="AB981" s="3" t="str">
        <f t="shared" si="6"/>
        <v>____2</v>
      </c>
    </row>
    <row r="982" spans="1:28" ht="14">
      <c r="A982" s="3">
        <v>981</v>
      </c>
      <c r="B982" s="23"/>
      <c r="C982" s="23"/>
      <c r="D982" s="23"/>
      <c r="E982" s="23"/>
      <c r="F982" s="23"/>
      <c r="G982" s="23"/>
      <c r="H982" s="23"/>
      <c r="I982" s="22">
        <v>3</v>
      </c>
      <c r="J982" s="23"/>
      <c r="K982" s="23"/>
      <c r="L982" s="23"/>
      <c r="M982" s="23" t="s">
        <v>39</v>
      </c>
      <c r="N982" s="22">
        <v>8.5</v>
      </c>
      <c r="O982" s="22">
        <v>0</v>
      </c>
      <c r="P982" s="22">
        <v>1</v>
      </c>
      <c r="Q982" s="23"/>
      <c r="R982" s="22">
        <v>6</v>
      </c>
      <c r="S982" s="23"/>
      <c r="Y982" s="23"/>
      <c r="Z982" s="23"/>
      <c r="AA982" s="3" t="str">
        <f t="shared" si="7"/>
        <v>___</v>
      </c>
      <c r="AB982" s="3" t="str">
        <f t="shared" si="6"/>
        <v>____3</v>
      </c>
    </row>
    <row r="983" spans="1:28" ht="14">
      <c r="A983" s="3">
        <v>982</v>
      </c>
      <c r="B983" s="22" t="s">
        <v>138</v>
      </c>
      <c r="C983" s="23" t="s">
        <v>139</v>
      </c>
      <c r="D983" s="22">
        <v>26</v>
      </c>
      <c r="E983" s="23" t="s">
        <v>134</v>
      </c>
      <c r="F983" s="23" t="s">
        <v>135</v>
      </c>
      <c r="G983" s="23" t="s">
        <v>136</v>
      </c>
      <c r="H983" s="23" t="s">
        <v>35</v>
      </c>
      <c r="I983" s="22">
        <v>1</v>
      </c>
      <c r="J983" s="22">
        <v>13</v>
      </c>
      <c r="K983" s="22">
        <v>17.5</v>
      </c>
      <c r="L983" s="22">
        <v>5</v>
      </c>
      <c r="M983" s="23" t="s">
        <v>36</v>
      </c>
      <c r="N983" s="22">
        <v>2.2000000000000002</v>
      </c>
      <c r="O983" s="22">
        <v>11</v>
      </c>
      <c r="P983" s="22">
        <v>0</v>
      </c>
      <c r="Q983" s="23"/>
      <c r="R983" s="23"/>
      <c r="S983" s="23"/>
      <c r="Y983" s="23"/>
      <c r="Z983" s="22">
        <v>115</v>
      </c>
      <c r="AA983" s="3" t="str">
        <f t="shared" si="7"/>
        <v>ANO_0022_26_T4-C1_vv</v>
      </c>
      <c r="AB983" s="3" t="str">
        <f t="shared" si="6"/>
        <v>ANO_0022_26_T4-C1_vv_1</v>
      </c>
    </row>
    <row r="984" spans="1:28" ht="14">
      <c r="A984" s="3">
        <v>983</v>
      </c>
      <c r="B984" s="23"/>
      <c r="C984" s="23"/>
      <c r="D984" s="23"/>
      <c r="E984" s="23"/>
      <c r="F984" s="23"/>
      <c r="G984" s="23"/>
      <c r="H984" s="23"/>
      <c r="I984" s="22">
        <v>2</v>
      </c>
      <c r="J984" s="23"/>
      <c r="K984" s="23"/>
      <c r="L984" s="23"/>
      <c r="M984" s="23" t="s">
        <v>38</v>
      </c>
      <c r="N984" s="22">
        <v>4</v>
      </c>
      <c r="O984" s="22">
        <v>8</v>
      </c>
      <c r="P984" s="22">
        <v>3</v>
      </c>
      <c r="Q984" s="23"/>
      <c r="R984" s="23"/>
      <c r="S984" s="23"/>
      <c r="Y984" s="23"/>
      <c r="Z984" s="23"/>
      <c r="AA984" s="3" t="str">
        <f t="shared" si="7"/>
        <v>___</v>
      </c>
      <c r="AB984" s="3" t="str">
        <f t="shared" si="6"/>
        <v>____2</v>
      </c>
    </row>
    <row r="985" spans="1:28" ht="14">
      <c r="A985" s="3">
        <v>984</v>
      </c>
      <c r="B985" s="23"/>
      <c r="C985" s="23"/>
      <c r="D985" s="23"/>
      <c r="E985" s="23"/>
      <c r="F985" s="23"/>
      <c r="G985" s="23"/>
      <c r="H985" s="23"/>
      <c r="I985" s="22">
        <v>3</v>
      </c>
      <c r="J985" s="23"/>
      <c r="K985" s="23"/>
      <c r="L985" s="23"/>
      <c r="M985" s="23" t="s">
        <v>39</v>
      </c>
      <c r="N985" s="22">
        <v>3.7</v>
      </c>
      <c r="O985" s="22">
        <v>3</v>
      </c>
      <c r="P985" s="22">
        <v>4</v>
      </c>
      <c r="Q985" s="23"/>
      <c r="R985" s="23"/>
      <c r="S985" s="23"/>
      <c r="Y985" s="23"/>
      <c r="Z985" s="23"/>
      <c r="AA985" s="3" t="str">
        <f t="shared" si="7"/>
        <v>___</v>
      </c>
      <c r="AB985" s="3" t="str">
        <f t="shared" si="6"/>
        <v>____3</v>
      </c>
    </row>
    <row r="986" spans="1:28" ht="14">
      <c r="A986" s="3">
        <v>985</v>
      </c>
      <c r="B986" s="22" t="s">
        <v>138</v>
      </c>
      <c r="C986" s="23" t="s">
        <v>139</v>
      </c>
      <c r="D986" s="22">
        <v>26</v>
      </c>
      <c r="E986" s="23" t="s">
        <v>134</v>
      </c>
      <c r="F986" s="23" t="s">
        <v>135</v>
      </c>
      <c r="G986" s="23" t="s">
        <v>136</v>
      </c>
      <c r="H986" s="23" t="s">
        <v>35</v>
      </c>
      <c r="I986" s="22">
        <v>1</v>
      </c>
      <c r="J986" s="22">
        <v>11.4</v>
      </c>
      <c r="K986" s="22">
        <v>10</v>
      </c>
      <c r="L986" s="22">
        <v>4</v>
      </c>
      <c r="M986" s="23" t="s">
        <v>36</v>
      </c>
      <c r="N986" s="22">
        <v>3.5</v>
      </c>
      <c r="O986" s="22">
        <v>18</v>
      </c>
      <c r="P986" s="22">
        <v>0</v>
      </c>
      <c r="Q986" s="23"/>
      <c r="R986" s="23"/>
      <c r="S986" s="23"/>
      <c r="Y986" s="23" t="s">
        <v>141</v>
      </c>
      <c r="Z986" s="22">
        <v>116</v>
      </c>
      <c r="AA986" s="3" t="str">
        <f t="shared" si="7"/>
        <v>ANO_0022_26_T4-C1_vv</v>
      </c>
      <c r="AB986" s="3" t="str">
        <f t="shared" si="6"/>
        <v>ANO_0022_26_T4-C1_vv_1</v>
      </c>
    </row>
    <row r="987" spans="1:28" ht="14">
      <c r="A987" s="3">
        <v>986</v>
      </c>
      <c r="B987" s="23"/>
      <c r="C987" s="23"/>
      <c r="D987" s="23"/>
      <c r="E987" s="23"/>
      <c r="F987" s="23"/>
      <c r="G987" s="23"/>
      <c r="H987" s="23"/>
      <c r="I987" s="22">
        <v>2</v>
      </c>
      <c r="J987" s="23"/>
      <c r="K987" s="23"/>
      <c r="L987" s="23"/>
      <c r="M987" s="23" t="s">
        <v>38</v>
      </c>
      <c r="N987" s="22">
        <v>2.6</v>
      </c>
      <c r="O987" s="22">
        <v>11</v>
      </c>
      <c r="P987" s="22">
        <v>1</v>
      </c>
      <c r="Q987" s="23"/>
      <c r="R987" s="23"/>
      <c r="S987" s="23"/>
      <c r="Y987" s="23"/>
      <c r="Z987" s="23"/>
      <c r="AA987" s="3" t="str">
        <f t="shared" si="7"/>
        <v>___</v>
      </c>
      <c r="AB987" s="3" t="str">
        <f t="shared" si="6"/>
        <v>____2</v>
      </c>
    </row>
    <row r="988" spans="1:28" ht="14">
      <c r="A988" s="3">
        <v>987</v>
      </c>
      <c r="B988" s="23"/>
      <c r="C988" s="23"/>
      <c r="D988" s="23"/>
      <c r="E988" s="23"/>
      <c r="F988" s="23"/>
      <c r="G988" s="23"/>
      <c r="H988" s="23"/>
      <c r="I988" s="22">
        <v>3</v>
      </c>
      <c r="J988" s="23"/>
      <c r="K988" s="23"/>
      <c r="L988" s="23"/>
      <c r="M988" s="23" t="s">
        <v>39</v>
      </c>
      <c r="N988" s="22">
        <v>3</v>
      </c>
      <c r="O988" s="22">
        <v>6</v>
      </c>
      <c r="P988" s="22">
        <v>4</v>
      </c>
      <c r="Q988" s="23"/>
      <c r="R988" s="23"/>
      <c r="S988" s="23"/>
      <c r="Y988" s="23"/>
      <c r="Z988" s="23"/>
      <c r="AA988" s="3" t="str">
        <f t="shared" si="7"/>
        <v>___</v>
      </c>
      <c r="AB988" s="3" t="str">
        <f t="shared" si="6"/>
        <v>____3</v>
      </c>
    </row>
    <row r="989" spans="1:28" ht="14">
      <c r="A989" s="3">
        <v>988</v>
      </c>
      <c r="B989" s="22" t="s">
        <v>138</v>
      </c>
      <c r="C989" s="23" t="s">
        <v>139</v>
      </c>
      <c r="D989" s="22">
        <v>26</v>
      </c>
      <c r="E989" s="23" t="s">
        <v>134</v>
      </c>
      <c r="F989" s="23" t="s">
        <v>135</v>
      </c>
      <c r="G989" s="23" t="s">
        <v>136</v>
      </c>
      <c r="H989" s="23" t="s">
        <v>35</v>
      </c>
      <c r="I989" s="22">
        <v>1</v>
      </c>
      <c r="J989" s="22">
        <v>15</v>
      </c>
      <c r="K989" s="22">
        <v>19.399999999999999</v>
      </c>
      <c r="L989" s="22">
        <v>6</v>
      </c>
      <c r="M989" s="23" t="s">
        <v>36</v>
      </c>
      <c r="N989" s="22">
        <v>3.7</v>
      </c>
      <c r="O989" s="22">
        <v>16</v>
      </c>
      <c r="P989" s="22">
        <v>1</v>
      </c>
      <c r="Q989" s="23"/>
      <c r="R989" s="23"/>
      <c r="S989" s="23"/>
      <c r="Y989" s="23" t="s">
        <v>141</v>
      </c>
      <c r="Z989" s="22">
        <v>117</v>
      </c>
      <c r="AA989" s="3" t="str">
        <f t="shared" si="7"/>
        <v>ANO_0022_26_T4-C1_vv</v>
      </c>
      <c r="AB989" s="3" t="str">
        <f t="shared" si="6"/>
        <v>ANO_0022_26_T4-C1_vv_1</v>
      </c>
    </row>
    <row r="990" spans="1:28" ht="14">
      <c r="A990" s="3">
        <v>989</v>
      </c>
      <c r="B990" s="23"/>
      <c r="C990" s="23"/>
      <c r="D990" s="23"/>
      <c r="E990" s="23"/>
      <c r="F990" s="23"/>
      <c r="G990" s="23"/>
      <c r="H990" s="23"/>
      <c r="I990" s="22">
        <v>2</v>
      </c>
      <c r="J990" s="23"/>
      <c r="K990" s="23"/>
      <c r="L990" s="23"/>
      <c r="M990" s="23" t="s">
        <v>38</v>
      </c>
      <c r="N990" s="22">
        <v>2.9</v>
      </c>
      <c r="O990" s="22">
        <v>10</v>
      </c>
      <c r="P990" s="22">
        <v>1</v>
      </c>
      <c r="Q990" s="23"/>
      <c r="R990" s="23"/>
      <c r="S990" s="23"/>
      <c r="Y990" s="23"/>
      <c r="Z990" s="23"/>
      <c r="AA990" s="3" t="str">
        <f t="shared" si="7"/>
        <v>___</v>
      </c>
      <c r="AB990" s="3" t="str">
        <f t="shared" si="6"/>
        <v>____2</v>
      </c>
    </row>
    <row r="991" spans="1:28" ht="14">
      <c r="A991" s="3">
        <v>990</v>
      </c>
      <c r="B991" s="23"/>
      <c r="C991" s="23"/>
      <c r="D991" s="23"/>
      <c r="E991" s="23"/>
      <c r="F991" s="23"/>
      <c r="G991" s="23"/>
      <c r="H991" s="23"/>
      <c r="I991" s="22">
        <v>3</v>
      </c>
      <c r="J991" s="23"/>
      <c r="K991" s="23"/>
      <c r="L991" s="23"/>
      <c r="M991" s="23" t="s">
        <v>39</v>
      </c>
      <c r="N991" s="22">
        <v>5.0999999999999996</v>
      </c>
      <c r="O991" s="22">
        <v>11</v>
      </c>
      <c r="P991" s="22">
        <v>3</v>
      </c>
      <c r="Q991" s="23"/>
      <c r="R991" s="23"/>
      <c r="S991" s="23"/>
      <c r="Y991" s="23"/>
      <c r="Z991" s="23"/>
      <c r="AA991" s="3" t="str">
        <f t="shared" si="7"/>
        <v>___</v>
      </c>
      <c r="AB991" s="3" t="str">
        <f t="shared" si="6"/>
        <v>____3</v>
      </c>
    </row>
    <row r="992" spans="1:28" ht="14">
      <c r="A992" s="3">
        <v>991</v>
      </c>
      <c r="B992" s="22" t="s">
        <v>142</v>
      </c>
      <c r="C992" s="23" t="s">
        <v>143</v>
      </c>
      <c r="D992" s="22">
        <v>46</v>
      </c>
      <c r="E992" s="23" t="s">
        <v>134</v>
      </c>
      <c r="F992" s="23" t="s">
        <v>34</v>
      </c>
      <c r="G992" s="23" t="s">
        <v>144</v>
      </c>
      <c r="H992" s="23" t="s">
        <v>40</v>
      </c>
      <c r="I992" s="22">
        <v>1</v>
      </c>
      <c r="J992" s="22">
        <v>20.5</v>
      </c>
      <c r="K992" s="22">
        <v>22.3</v>
      </c>
      <c r="L992" s="22">
        <v>5</v>
      </c>
      <c r="M992" s="23" t="s">
        <v>36</v>
      </c>
      <c r="N992" s="22">
        <v>1.5</v>
      </c>
      <c r="O992" s="22">
        <v>3</v>
      </c>
      <c r="P992" s="22">
        <v>0</v>
      </c>
      <c r="Q992" s="23"/>
      <c r="R992" s="23"/>
      <c r="S992" s="23"/>
      <c r="Y992" s="23"/>
      <c r="Z992" s="22">
        <v>118</v>
      </c>
      <c r="AA992" s="3" t="str">
        <f t="shared" si="7"/>
        <v>ANO_0212_46_V1-C5_vm</v>
      </c>
      <c r="AB992" s="3" t="str">
        <f t="shared" si="6"/>
        <v>ANO_0212_46_V1-C5_vm_1</v>
      </c>
    </row>
    <row r="993" spans="1:28" ht="14">
      <c r="A993" s="3">
        <v>992</v>
      </c>
      <c r="B993" s="23"/>
      <c r="C993" s="23"/>
      <c r="D993" s="23"/>
      <c r="E993" s="23"/>
      <c r="F993" s="23"/>
      <c r="G993" s="23"/>
      <c r="H993" s="23"/>
      <c r="I993" s="22">
        <v>2</v>
      </c>
      <c r="J993" s="23"/>
      <c r="K993" s="23"/>
      <c r="L993" s="23"/>
      <c r="M993" s="23" t="s">
        <v>38</v>
      </c>
      <c r="N993" s="22">
        <v>4.2</v>
      </c>
      <c r="O993" s="22">
        <v>2</v>
      </c>
      <c r="P993" s="22">
        <v>3</v>
      </c>
      <c r="Q993" s="23"/>
      <c r="R993" s="22">
        <v>2</v>
      </c>
      <c r="S993" s="23"/>
      <c r="Y993" s="23"/>
      <c r="Z993" s="23"/>
      <c r="AA993" s="3" t="str">
        <f t="shared" si="7"/>
        <v>___</v>
      </c>
      <c r="AB993" s="3" t="str">
        <f t="shared" si="6"/>
        <v>____2</v>
      </c>
    </row>
    <row r="994" spans="1:28" ht="14">
      <c r="A994" s="3">
        <v>993</v>
      </c>
      <c r="B994" s="23"/>
      <c r="C994" s="23"/>
      <c r="D994" s="23"/>
      <c r="E994" s="23"/>
      <c r="F994" s="23"/>
      <c r="G994" s="23"/>
      <c r="H994" s="23"/>
      <c r="I994" s="22">
        <v>3</v>
      </c>
      <c r="J994" s="23"/>
      <c r="K994" s="23"/>
      <c r="L994" s="23"/>
      <c r="M994" s="23" t="s">
        <v>39</v>
      </c>
      <c r="N994" s="22">
        <v>5.3</v>
      </c>
      <c r="O994" s="22">
        <v>2</v>
      </c>
      <c r="P994" s="22">
        <v>3</v>
      </c>
      <c r="Q994" s="23"/>
      <c r="R994" s="22">
        <v>2</v>
      </c>
      <c r="S994" s="23"/>
      <c r="Y994" s="23"/>
      <c r="Z994" s="23"/>
      <c r="AA994" s="3" t="str">
        <f t="shared" si="7"/>
        <v>___</v>
      </c>
      <c r="AB994" s="3" t="str">
        <f t="shared" si="6"/>
        <v>____3</v>
      </c>
    </row>
    <row r="995" spans="1:28" ht="14">
      <c r="A995" s="3">
        <v>994</v>
      </c>
      <c r="B995" s="22" t="s">
        <v>142</v>
      </c>
      <c r="C995" s="23" t="s">
        <v>143</v>
      </c>
      <c r="D995" s="22">
        <v>46</v>
      </c>
      <c r="E995" s="23" t="s">
        <v>134</v>
      </c>
      <c r="F995" s="23" t="s">
        <v>34</v>
      </c>
      <c r="G995" s="23" t="s">
        <v>144</v>
      </c>
      <c r="H995" s="23" t="s">
        <v>40</v>
      </c>
      <c r="I995" s="22">
        <v>1</v>
      </c>
      <c r="J995" s="22">
        <v>18.5</v>
      </c>
      <c r="K995" s="22">
        <v>21.6</v>
      </c>
      <c r="L995" s="22">
        <v>6</v>
      </c>
      <c r="M995" s="23" t="s">
        <v>36</v>
      </c>
      <c r="N995" s="22">
        <v>2.5</v>
      </c>
      <c r="O995" s="22">
        <v>4</v>
      </c>
      <c r="P995" s="22">
        <v>0</v>
      </c>
      <c r="Q995" s="23"/>
      <c r="R995" s="23"/>
      <c r="S995" s="23"/>
      <c r="Y995" s="23"/>
      <c r="Z995" s="22">
        <v>119</v>
      </c>
      <c r="AA995" s="3" t="str">
        <f t="shared" si="7"/>
        <v>ANO_0212_46_V1-C5_vm</v>
      </c>
      <c r="AB995" s="3" t="str">
        <f t="shared" si="6"/>
        <v>ANO_0212_46_V1-C5_vm_1</v>
      </c>
    </row>
    <row r="996" spans="1:28" ht="14">
      <c r="A996" s="3">
        <v>995</v>
      </c>
      <c r="B996" s="23"/>
      <c r="C996" s="23"/>
      <c r="D996" s="23"/>
      <c r="E996" s="23"/>
      <c r="F996" s="23"/>
      <c r="G996" s="23"/>
      <c r="H996" s="23"/>
      <c r="I996" s="22">
        <v>2</v>
      </c>
      <c r="J996" s="23"/>
      <c r="K996" s="23"/>
      <c r="L996" s="23"/>
      <c r="M996" s="23" t="s">
        <v>38</v>
      </c>
      <c r="N996" s="22">
        <v>2.6</v>
      </c>
      <c r="O996" s="22">
        <v>1</v>
      </c>
      <c r="P996" s="22">
        <v>3</v>
      </c>
      <c r="Q996" s="23"/>
      <c r="R996" s="23"/>
      <c r="S996" s="23"/>
      <c r="Y996" s="23"/>
      <c r="Z996" s="23"/>
      <c r="AA996" s="3" t="str">
        <f t="shared" si="7"/>
        <v>___</v>
      </c>
      <c r="AB996" s="3" t="str">
        <f t="shared" si="6"/>
        <v>____2</v>
      </c>
    </row>
    <row r="997" spans="1:28" ht="14">
      <c r="A997" s="3">
        <v>996</v>
      </c>
      <c r="B997" s="23"/>
      <c r="C997" s="23"/>
      <c r="D997" s="23"/>
      <c r="E997" s="23"/>
      <c r="F997" s="23"/>
      <c r="G997" s="23"/>
      <c r="H997" s="23"/>
      <c r="I997" s="22">
        <v>3</v>
      </c>
      <c r="J997" s="23"/>
      <c r="K997" s="23"/>
      <c r="L997" s="23"/>
      <c r="M997" s="23" t="s">
        <v>39</v>
      </c>
      <c r="N997" s="22">
        <v>5.8</v>
      </c>
      <c r="O997" s="22">
        <v>2</v>
      </c>
      <c r="P997" s="22">
        <v>3</v>
      </c>
      <c r="Q997" s="23"/>
      <c r="R997" s="22">
        <v>2</v>
      </c>
      <c r="S997" s="23"/>
      <c r="Y997" s="23"/>
      <c r="Z997" s="23"/>
      <c r="AA997" s="3" t="str">
        <f t="shared" si="7"/>
        <v>___</v>
      </c>
      <c r="AB997" s="3" t="str">
        <f t="shared" si="6"/>
        <v>____3</v>
      </c>
    </row>
    <row r="998" spans="1:28" ht="14">
      <c r="A998" s="3">
        <v>997</v>
      </c>
      <c r="B998" s="22" t="s">
        <v>142</v>
      </c>
      <c r="C998" s="23" t="s">
        <v>143</v>
      </c>
      <c r="D998" s="22">
        <v>46</v>
      </c>
      <c r="E998" s="23" t="s">
        <v>134</v>
      </c>
      <c r="F998" s="23" t="s">
        <v>34</v>
      </c>
      <c r="G998" s="23" t="s">
        <v>144</v>
      </c>
      <c r="H998" s="23" t="s">
        <v>40</v>
      </c>
      <c r="I998" s="22">
        <v>1</v>
      </c>
      <c r="J998" s="22">
        <v>24</v>
      </c>
      <c r="K998" s="22">
        <v>27.8</v>
      </c>
      <c r="L998" s="22">
        <v>8</v>
      </c>
      <c r="M998" s="23" t="s">
        <v>36</v>
      </c>
      <c r="N998" s="22">
        <v>2</v>
      </c>
      <c r="O998" s="22">
        <v>5</v>
      </c>
      <c r="P998" s="22">
        <v>0</v>
      </c>
      <c r="Q998" s="23"/>
      <c r="R998" s="23"/>
      <c r="S998" s="23"/>
      <c r="Y998" s="23"/>
      <c r="Z998" s="22">
        <v>120</v>
      </c>
      <c r="AA998" s="3" t="str">
        <f t="shared" si="7"/>
        <v>ANO_0212_46_V1-C5_vm</v>
      </c>
      <c r="AB998" s="3" t="str">
        <f t="shared" si="6"/>
        <v>ANO_0212_46_V1-C5_vm_1</v>
      </c>
    </row>
    <row r="999" spans="1:28" ht="14">
      <c r="A999" s="3">
        <v>998</v>
      </c>
      <c r="B999" s="23"/>
      <c r="C999" s="23"/>
      <c r="D999" s="23"/>
      <c r="E999" s="23"/>
      <c r="F999" s="23"/>
      <c r="G999" s="23"/>
      <c r="H999" s="23"/>
      <c r="I999" s="22">
        <v>2</v>
      </c>
      <c r="J999" s="23"/>
      <c r="K999" s="23"/>
      <c r="L999" s="23"/>
      <c r="M999" s="23" t="s">
        <v>38</v>
      </c>
      <c r="N999" s="22">
        <v>3.1</v>
      </c>
      <c r="O999" s="22">
        <v>2</v>
      </c>
      <c r="P999" s="22">
        <v>4</v>
      </c>
      <c r="Q999" s="23"/>
      <c r="R999" s="22">
        <v>2</v>
      </c>
      <c r="S999" s="23"/>
      <c r="Y999" s="23"/>
      <c r="Z999" s="23"/>
      <c r="AA999" s="3" t="str">
        <f t="shared" si="7"/>
        <v>___</v>
      </c>
      <c r="AB999" s="3" t="str">
        <f t="shared" si="6"/>
        <v>____2</v>
      </c>
    </row>
    <row r="1000" spans="1:28" ht="14">
      <c r="A1000" s="3">
        <v>999</v>
      </c>
      <c r="B1000" s="23"/>
      <c r="C1000" s="23"/>
      <c r="D1000" s="23"/>
      <c r="E1000" s="23"/>
      <c r="F1000" s="23"/>
      <c r="G1000" s="23"/>
      <c r="H1000" s="23"/>
      <c r="I1000" s="22">
        <v>3</v>
      </c>
      <c r="J1000" s="23"/>
      <c r="K1000" s="23"/>
      <c r="L1000" s="23"/>
      <c r="M1000" s="23" t="s">
        <v>39</v>
      </c>
      <c r="N1000" s="22">
        <v>4.9000000000000004</v>
      </c>
      <c r="O1000" s="22">
        <v>1</v>
      </c>
      <c r="P1000" s="22">
        <v>6</v>
      </c>
      <c r="Q1000" s="23"/>
      <c r="R1000" s="22">
        <v>1</v>
      </c>
      <c r="S1000" s="23"/>
      <c r="Y1000" s="23"/>
      <c r="Z1000" s="23"/>
      <c r="AA1000" s="3" t="str">
        <f t="shared" si="7"/>
        <v>___</v>
      </c>
      <c r="AB1000" s="3" t="str">
        <f t="shared" si="6"/>
        <v>____3</v>
      </c>
    </row>
    <row r="1001" spans="1:28" ht="14">
      <c r="A1001" s="3">
        <v>1000</v>
      </c>
      <c r="B1001" s="22" t="s">
        <v>142</v>
      </c>
      <c r="C1001" s="23" t="s">
        <v>143</v>
      </c>
      <c r="D1001" s="22">
        <v>46</v>
      </c>
      <c r="E1001" s="23" t="s">
        <v>134</v>
      </c>
      <c r="F1001" s="23" t="s">
        <v>34</v>
      </c>
      <c r="G1001" s="23" t="s">
        <v>144</v>
      </c>
      <c r="H1001" s="23" t="s">
        <v>35</v>
      </c>
      <c r="I1001" s="22">
        <v>1</v>
      </c>
      <c r="J1001" s="22">
        <v>12.5</v>
      </c>
      <c r="K1001" s="22">
        <v>15.6</v>
      </c>
      <c r="L1001" s="22">
        <v>6</v>
      </c>
      <c r="M1001" s="23" t="s">
        <v>36</v>
      </c>
      <c r="N1001" s="22">
        <v>2.4</v>
      </c>
      <c r="O1001" s="22">
        <v>8</v>
      </c>
      <c r="P1001" s="22">
        <v>2</v>
      </c>
      <c r="Q1001" s="23"/>
      <c r="R1001" s="23"/>
      <c r="S1001" s="23"/>
      <c r="Y1001" s="23"/>
      <c r="Z1001" s="22">
        <v>121</v>
      </c>
      <c r="AA1001" s="3" t="str">
        <f t="shared" si="7"/>
        <v>ANO_0212_46_V1-C5_vv</v>
      </c>
      <c r="AB1001" s="3" t="str">
        <f t="shared" si="6"/>
        <v>ANO_0212_46_V1-C5_vv_1</v>
      </c>
    </row>
    <row r="1002" spans="1:28" ht="14">
      <c r="A1002" s="3">
        <v>1001</v>
      </c>
      <c r="B1002" s="23"/>
      <c r="C1002" s="23"/>
      <c r="D1002" s="23"/>
      <c r="E1002" s="23"/>
      <c r="F1002" s="23"/>
      <c r="G1002" s="23"/>
      <c r="H1002" s="23"/>
      <c r="I1002" s="22">
        <v>2</v>
      </c>
      <c r="J1002" s="23"/>
      <c r="K1002" s="23"/>
      <c r="L1002" s="23"/>
      <c r="M1002" s="23" t="s">
        <v>38</v>
      </c>
      <c r="N1002" s="22">
        <v>3.9</v>
      </c>
      <c r="O1002" s="22">
        <v>9</v>
      </c>
      <c r="P1002" s="22">
        <v>1</v>
      </c>
      <c r="Q1002" s="23"/>
      <c r="R1002" s="23"/>
      <c r="S1002" s="23"/>
      <c r="Y1002" s="23"/>
      <c r="Z1002" s="23"/>
      <c r="AA1002" s="3" t="str">
        <f t="shared" si="7"/>
        <v>___</v>
      </c>
      <c r="AB1002" s="3" t="str">
        <f t="shared" si="6"/>
        <v>____2</v>
      </c>
    </row>
    <row r="1003" spans="1:28" ht="14">
      <c r="A1003" s="3">
        <v>1002</v>
      </c>
      <c r="B1003" s="23"/>
      <c r="C1003" s="23"/>
      <c r="D1003" s="23"/>
      <c r="E1003" s="23"/>
      <c r="F1003" s="23"/>
      <c r="G1003" s="23"/>
      <c r="H1003" s="23"/>
      <c r="I1003" s="22">
        <v>3</v>
      </c>
      <c r="J1003" s="23"/>
      <c r="K1003" s="23"/>
      <c r="L1003" s="23"/>
      <c r="M1003" s="23" t="s">
        <v>39</v>
      </c>
      <c r="N1003" s="22">
        <v>1.9</v>
      </c>
      <c r="O1003" s="22">
        <v>0</v>
      </c>
      <c r="P1003" s="22">
        <v>2</v>
      </c>
      <c r="Q1003" s="23"/>
      <c r="R1003" s="23"/>
      <c r="S1003" s="23"/>
      <c r="Y1003" s="23"/>
      <c r="Z1003" s="23"/>
      <c r="AA1003" s="3" t="str">
        <f t="shared" si="7"/>
        <v>___</v>
      </c>
      <c r="AB1003" s="3" t="str">
        <f t="shared" si="6"/>
        <v>____3</v>
      </c>
    </row>
    <row r="1004" spans="1:28" ht="14">
      <c r="A1004" s="3">
        <v>1003</v>
      </c>
      <c r="B1004" s="22" t="s">
        <v>142</v>
      </c>
      <c r="C1004" s="23" t="s">
        <v>143</v>
      </c>
      <c r="D1004" s="22">
        <v>46</v>
      </c>
      <c r="E1004" s="23" t="s">
        <v>134</v>
      </c>
      <c r="F1004" s="23" t="s">
        <v>34</v>
      </c>
      <c r="G1004" s="23" t="s">
        <v>144</v>
      </c>
      <c r="H1004" s="23" t="s">
        <v>35</v>
      </c>
      <c r="I1004" s="22">
        <v>1</v>
      </c>
      <c r="J1004" s="22">
        <v>14.5</v>
      </c>
      <c r="K1004" s="22">
        <v>21</v>
      </c>
      <c r="L1004" s="22">
        <v>4</v>
      </c>
      <c r="M1004" s="23" t="s">
        <v>36</v>
      </c>
      <c r="N1004" s="22">
        <v>5.4</v>
      </c>
      <c r="O1004" s="22">
        <v>11</v>
      </c>
      <c r="P1004" s="22">
        <v>2</v>
      </c>
      <c r="Q1004" s="23"/>
      <c r="R1004" s="23"/>
      <c r="S1004" s="23"/>
      <c r="Y1004" s="23"/>
      <c r="Z1004" s="22">
        <v>122</v>
      </c>
      <c r="AA1004" s="3" t="str">
        <f t="shared" si="7"/>
        <v>ANO_0212_46_V1-C5_vv</v>
      </c>
      <c r="AB1004" s="3" t="str">
        <f t="shared" si="6"/>
        <v>ANO_0212_46_V1-C5_vv_1</v>
      </c>
    </row>
    <row r="1005" spans="1:28" ht="14">
      <c r="A1005" s="3">
        <v>1004</v>
      </c>
      <c r="B1005" s="23"/>
      <c r="C1005" s="23"/>
      <c r="D1005" s="23"/>
      <c r="E1005" s="23"/>
      <c r="F1005" s="23"/>
      <c r="G1005" s="23"/>
      <c r="H1005" s="23"/>
      <c r="I1005" s="22">
        <v>2</v>
      </c>
      <c r="J1005" s="23"/>
      <c r="K1005" s="23"/>
      <c r="L1005" s="23"/>
      <c r="M1005" s="23" t="s">
        <v>38</v>
      </c>
      <c r="N1005" s="22">
        <v>2.7</v>
      </c>
      <c r="O1005" s="22">
        <v>6</v>
      </c>
      <c r="P1005" s="22">
        <v>5</v>
      </c>
      <c r="Q1005" s="23"/>
      <c r="R1005" s="23"/>
      <c r="S1005" s="23"/>
      <c r="Y1005" s="23"/>
      <c r="Z1005" s="23"/>
      <c r="AA1005" s="3" t="str">
        <f t="shared" si="7"/>
        <v>___</v>
      </c>
      <c r="AB1005" s="3" t="str">
        <f t="shared" si="6"/>
        <v>____2</v>
      </c>
    </row>
    <row r="1006" spans="1:28" ht="14">
      <c r="A1006" s="3">
        <v>1005</v>
      </c>
      <c r="B1006" s="23"/>
      <c r="C1006" s="23"/>
      <c r="D1006" s="23"/>
      <c r="E1006" s="23"/>
      <c r="F1006" s="23"/>
      <c r="G1006" s="23"/>
      <c r="H1006" s="23"/>
      <c r="I1006" s="22">
        <v>3</v>
      </c>
      <c r="J1006" s="23"/>
      <c r="K1006" s="23"/>
      <c r="L1006" s="23"/>
      <c r="M1006" s="23" t="s">
        <v>39</v>
      </c>
      <c r="N1006" s="22">
        <v>6.5</v>
      </c>
      <c r="O1006" s="22">
        <v>0</v>
      </c>
      <c r="P1006" s="22">
        <v>8</v>
      </c>
      <c r="Q1006" s="23"/>
      <c r="R1006" s="23"/>
      <c r="S1006" s="23"/>
      <c r="Y1006" s="23"/>
      <c r="Z1006" s="23"/>
      <c r="AA1006" s="3" t="str">
        <f t="shared" si="7"/>
        <v>___</v>
      </c>
      <c r="AB1006" s="3" t="str">
        <f t="shared" si="6"/>
        <v>____3</v>
      </c>
    </row>
    <row r="1007" spans="1:28" ht="14">
      <c r="A1007" s="3">
        <v>1006</v>
      </c>
      <c r="B1007" s="22" t="s">
        <v>142</v>
      </c>
      <c r="C1007" s="23" t="s">
        <v>143</v>
      </c>
      <c r="D1007" s="22">
        <v>46</v>
      </c>
      <c r="E1007" s="23" t="s">
        <v>134</v>
      </c>
      <c r="F1007" s="23" t="s">
        <v>34</v>
      </c>
      <c r="G1007" s="23" t="s">
        <v>144</v>
      </c>
      <c r="H1007" s="23" t="s">
        <v>35</v>
      </c>
      <c r="I1007" s="22">
        <v>1</v>
      </c>
      <c r="J1007" s="22">
        <v>14</v>
      </c>
      <c r="K1007" s="22">
        <v>15.2</v>
      </c>
      <c r="L1007" s="22">
        <v>5</v>
      </c>
      <c r="M1007" s="23" t="s">
        <v>36</v>
      </c>
      <c r="N1007" s="22">
        <v>2.8</v>
      </c>
      <c r="O1007" s="22">
        <v>11</v>
      </c>
      <c r="P1007" s="22">
        <v>0</v>
      </c>
      <c r="Q1007" s="23"/>
      <c r="R1007" s="23"/>
      <c r="S1007" s="23"/>
      <c r="Y1007" s="23"/>
      <c r="Z1007" s="22">
        <v>123</v>
      </c>
      <c r="AA1007" s="3" t="str">
        <f t="shared" si="7"/>
        <v>ANO_0212_46_V1-C5_vv</v>
      </c>
      <c r="AB1007" s="3" t="str">
        <f t="shared" si="6"/>
        <v>ANO_0212_46_V1-C5_vv_1</v>
      </c>
    </row>
    <row r="1008" spans="1:28" ht="14">
      <c r="A1008" s="3">
        <v>1007</v>
      </c>
      <c r="B1008" s="23"/>
      <c r="C1008" s="23"/>
      <c r="D1008" s="23"/>
      <c r="E1008" s="23"/>
      <c r="F1008" s="23"/>
      <c r="G1008" s="23"/>
      <c r="H1008" s="23"/>
      <c r="I1008" s="22">
        <v>2</v>
      </c>
      <c r="J1008" s="23"/>
      <c r="K1008" s="23"/>
      <c r="L1008" s="23"/>
      <c r="M1008" s="23" t="s">
        <v>38</v>
      </c>
      <c r="N1008" s="22">
        <v>6.2</v>
      </c>
      <c r="O1008" s="22">
        <v>6</v>
      </c>
      <c r="P1008" s="22">
        <v>9</v>
      </c>
      <c r="Q1008" s="23"/>
      <c r="R1008" s="23"/>
      <c r="S1008" s="23"/>
      <c r="Y1008" s="23"/>
      <c r="Z1008" s="23"/>
      <c r="AA1008" s="3" t="str">
        <f t="shared" si="7"/>
        <v>___</v>
      </c>
      <c r="AB1008" s="3" t="str">
        <f t="shared" si="6"/>
        <v>____2</v>
      </c>
    </row>
    <row r="1009" spans="1:28" ht="14">
      <c r="A1009" s="3">
        <v>1008</v>
      </c>
      <c r="B1009" s="23"/>
      <c r="C1009" s="23"/>
      <c r="D1009" s="23"/>
      <c r="E1009" s="23"/>
      <c r="F1009" s="23"/>
      <c r="G1009" s="23"/>
      <c r="H1009" s="23"/>
      <c r="I1009" s="22">
        <v>3</v>
      </c>
      <c r="J1009" s="23"/>
      <c r="K1009" s="23"/>
      <c r="L1009" s="23"/>
      <c r="M1009" s="23" t="s">
        <v>39</v>
      </c>
      <c r="N1009" s="22">
        <v>4.7</v>
      </c>
      <c r="O1009" s="22">
        <v>0</v>
      </c>
      <c r="P1009" s="22">
        <v>9</v>
      </c>
      <c r="Q1009" s="23"/>
      <c r="R1009" s="23"/>
      <c r="S1009" s="23"/>
      <c r="Y1009" s="23"/>
      <c r="Z1009" s="23"/>
      <c r="AA1009" s="3" t="str">
        <f t="shared" si="7"/>
        <v>___</v>
      </c>
      <c r="AB1009" s="3" t="str">
        <f t="shared" si="6"/>
        <v>____3</v>
      </c>
    </row>
    <row r="1010" spans="1:28" ht="14">
      <c r="A1010" s="3">
        <v>1009</v>
      </c>
      <c r="B1010" s="22" t="s">
        <v>142</v>
      </c>
      <c r="C1010" s="23" t="s">
        <v>143</v>
      </c>
      <c r="D1010" s="22">
        <v>62</v>
      </c>
      <c r="E1010" s="23" t="s">
        <v>134</v>
      </c>
      <c r="F1010" s="23" t="s">
        <v>135</v>
      </c>
      <c r="G1010" s="23" t="s">
        <v>145</v>
      </c>
      <c r="H1010" s="23" t="s">
        <v>40</v>
      </c>
      <c r="I1010" s="22">
        <v>1</v>
      </c>
      <c r="J1010" s="22">
        <v>14</v>
      </c>
      <c r="K1010" s="22">
        <v>15.2</v>
      </c>
      <c r="L1010" s="22">
        <v>5</v>
      </c>
      <c r="M1010" s="23" t="s">
        <v>36</v>
      </c>
      <c r="N1010" s="22">
        <v>3.4</v>
      </c>
      <c r="O1010" s="22">
        <v>5</v>
      </c>
      <c r="P1010" s="22">
        <v>0</v>
      </c>
      <c r="Q1010" s="23"/>
      <c r="R1010" s="23"/>
      <c r="S1010" s="23"/>
      <c r="Y1010" s="23"/>
      <c r="Z1010" s="22">
        <v>124</v>
      </c>
      <c r="AA1010" s="3" t="str">
        <f t="shared" si="7"/>
        <v>ANO_0212_62_T4-C9_vm</v>
      </c>
      <c r="AB1010" s="3" t="str">
        <f t="shared" si="6"/>
        <v>ANO_0212_62_T4-C9_vm_1</v>
      </c>
    </row>
    <row r="1011" spans="1:28" ht="14">
      <c r="A1011" s="3">
        <v>1010</v>
      </c>
      <c r="B1011" s="23"/>
      <c r="C1011" s="23"/>
      <c r="D1011" s="23"/>
      <c r="E1011" s="23"/>
      <c r="F1011" s="23"/>
      <c r="G1011" s="23"/>
      <c r="H1011" s="23"/>
      <c r="I1011" s="22">
        <v>2</v>
      </c>
      <c r="J1011" s="23"/>
      <c r="K1011" s="23"/>
      <c r="L1011" s="23"/>
      <c r="M1011" s="23" t="s">
        <v>38</v>
      </c>
      <c r="N1011" s="22">
        <v>4</v>
      </c>
      <c r="O1011" s="22">
        <v>0</v>
      </c>
      <c r="P1011" s="22">
        <v>2</v>
      </c>
      <c r="Q1011" s="23"/>
      <c r="R1011" s="22">
        <v>3</v>
      </c>
      <c r="S1011" s="23"/>
      <c r="Y1011" s="23"/>
      <c r="Z1011" s="23"/>
      <c r="AA1011" s="3" t="str">
        <f t="shared" si="7"/>
        <v>___</v>
      </c>
      <c r="AB1011" s="3" t="str">
        <f t="shared" si="6"/>
        <v>____2</v>
      </c>
    </row>
    <row r="1012" spans="1:28" ht="14">
      <c r="A1012" s="3">
        <v>1011</v>
      </c>
      <c r="B1012" s="23"/>
      <c r="C1012" s="23"/>
      <c r="D1012" s="23"/>
      <c r="E1012" s="23"/>
      <c r="F1012" s="23"/>
      <c r="G1012" s="23"/>
      <c r="H1012" s="23"/>
      <c r="I1012" s="22">
        <v>3</v>
      </c>
      <c r="J1012" s="23"/>
      <c r="K1012" s="23"/>
      <c r="L1012" s="23"/>
      <c r="M1012" s="23" t="s">
        <v>39</v>
      </c>
      <c r="N1012" s="22">
        <v>2.2000000000000002</v>
      </c>
      <c r="O1012" s="22">
        <v>0</v>
      </c>
      <c r="P1012" s="22">
        <v>2</v>
      </c>
      <c r="Q1012" s="23"/>
      <c r="R1012" s="22">
        <v>1</v>
      </c>
      <c r="S1012" s="23"/>
      <c r="Y1012" s="23"/>
      <c r="Z1012" s="23"/>
      <c r="AA1012" s="3" t="str">
        <f t="shared" si="7"/>
        <v>___</v>
      </c>
      <c r="AB1012" s="3" t="str">
        <f t="shared" si="6"/>
        <v>____3</v>
      </c>
    </row>
    <row r="1013" spans="1:28" ht="14">
      <c r="A1013" s="3">
        <v>1012</v>
      </c>
      <c r="B1013" s="22" t="s">
        <v>142</v>
      </c>
      <c r="C1013" s="23" t="s">
        <v>143</v>
      </c>
      <c r="D1013" s="22">
        <v>62</v>
      </c>
      <c r="E1013" s="23" t="s">
        <v>134</v>
      </c>
      <c r="F1013" s="23" t="s">
        <v>135</v>
      </c>
      <c r="G1013" s="23" t="s">
        <v>145</v>
      </c>
      <c r="H1013" s="23" t="s">
        <v>40</v>
      </c>
      <c r="I1013" s="22">
        <v>1</v>
      </c>
      <c r="J1013" s="22">
        <v>26</v>
      </c>
      <c r="K1013" s="22">
        <v>26.7</v>
      </c>
      <c r="L1013" s="22">
        <v>5</v>
      </c>
      <c r="M1013" s="23" t="s">
        <v>36</v>
      </c>
      <c r="N1013" s="22">
        <v>4.8</v>
      </c>
      <c r="O1013" s="22">
        <v>4</v>
      </c>
      <c r="P1013" s="22">
        <v>2</v>
      </c>
      <c r="Q1013" s="23"/>
      <c r="R1013" s="23"/>
      <c r="S1013" s="23"/>
      <c r="Y1013" s="23"/>
      <c r="Z1013" s="22">
        <v>125</v>
      </c>
      <c r="AA1013" s="3" t="str">
        <f t="shared" si="7"/>
        <v>ANO_0212_62_T4-C9_vm</v>
      </c>
      <c r="AB1013" s="3" t="str">
        <f t="shared" si="6"/>
        <v>ANO_0212_62_T4-C9_vm_1</v>
      </c>
    </row>
    <row r="1014" spans="1:28" ht="14">
      <c r="A1014" s="3">
        <v>1013</v>
      </c>
      <c r="B1014" s="23"/>
      <c r="C1014" s="23"/>
      <c r="D1014" s="23"/>
      <c r="E1014" s="23"/>
      <c r="F1014" s="23"/>
      <c r="G1014" s="23"/>
      <c r="H1014" s="23"/>
      <c r="I1014" s="22">
        <v>2</v>
      </c>
      <c r="J1014" s="23"/>
      <c r="K1014" s="23"/>
      <c r="L1014" s="23"/>
      <c r="M1014" s="23" t="s">
        <v>38</v>
      </c>
      <c r="N1014" s="22">
        <v>7</v>
      </c>
      <c r="O1014" s="22">
        <v>3</v>
      </c>
      <c r="P1014" s="22">
        <v>6</v>
      </c>
      <c r="Q1014" s="23"/>
      <c r="R1014" s="22">
        <v>3</v>
      </c>
      <c r="S1014" s="23"/>
      <c r="Y1014" s="23"/>
      <c r="Z1014" s="23"/>
      <c r="AA1014" s="3" t="str">
        <f t="shared" si="7"/>
        <v>___</v>
      </c>
      <c r="AB1014" s="3" t="str">
        <f t="shared" si="6"/>
        <v>____2</v>
      </c>
    </row>
    <row r="1015" spans="1:28" ht="14">
      <c r="A1015" s="3">
        <v>1014</v>
      </c>
      <c r="B1015" s="23"/>
      <c r="C1015" s="23"/>
      <c r="D1015" s="23"/>
      <c r="E1015" s="23"/>
      <c r="F1015" s="23"/>
      <c r="G1015" s="23"/>
      <c r="H1015" s="23"/>
      <c r="I1015" s="22">
        <v>3</v>
      </c>
      <c r="J1015" s="23"/>
      <c r="K1015" s="23"/>
      <c r="L1015" s="23"/>
      <c r="M1015" s="23" t="s">
        <v>39</v>
      </c>
      <c r="N1015" s="22">
        <v>8.4</v>
      </c>
      <c r="O1015" s="22">
        <v>0</v>
      </c>
      <c r="P1015" s="22">
        <v>7</v>
      </c>
      <c r="Q1015" s="23"/>
      <c r="R1015" s="22">
        <v>4</v>
      </c>
      <c r="S1015" s="23"/>
      <c r="Y1015" s="23"/>
      <c r="Z1015" s="23"/>
      <c r="AA1015" s="3" t="str">
        <f t="shared" si="7"/>
        <v>___</v>
      </c>
      <c r="AB1015" s="3" t="str">
        <f t="shared" si="6"/>
        <v>____3</v>
      </c>
    </row>
    <row r="1016" spans="1:28" ht="14">
      <c r="A1016" s="3">
        <v>1015</v>
      </c>
      <c r="B1016" s="22" t="s">
        <v>142</v>
      </c>
      <c r="C1016" s="23" t="s">
        <v>143</v>
      </c>
      <c r="D1016" s="22">
        <v>62</v>
      </c>
      <c r="E1016" s="23" t="s">
        <v>134</v>
      </c>
      <c r="F1016" s="23" t="s">
        <v>135</v>
      </c>
      <c r="G1016" s="23" t="s">
        <v>145</v>
      </c>
      <c r="H1016" s="23" t="s">
        <v>40</v>
      </c>
      <c r="I1016" s="22">
        <v>1</v>
      </c>
      <c r="J1016" s="22">
        <v>18</v>
      </c>
      <c r="K1016" s="22">
        <v>18.399999999999999</v>
      </c>
      <c r="L1016" s="22">
        <v>4</v>
      </c>
      <c r="M1016" s="23" t="s">
        <v>36</v>
      </c>
      <c r="N1016" s="22">
        <v>4.8</v>
      </c>
      <c r="O1016" s="22">
        <v>4</v>
      </c>
      <c r="P1016" s="22">
        <v>2</v>
      </c>
      <c r="Q1016" s="23"/>
      <c r="R1016" s="23"/>
      <c r="S1016" s="23"/>
      <c r="Y1016" s="23"/>
      <c r="Z1016" s="22">
        <v>126</v>
      </c>
      <c r="AA1016" s="3" t="str">
        <f t="shared" si="7"/>
        <v>ANO_0212_62_T4-C9_vm</v>
      </c>
      <c r="AB1016" s="3" t="str">
        <f t="shared" si="6"/>
        <v>ANO_0212_62_T4-C9_vm_1</v>
      </c>
    </row>
    <row r="1017" spans="1:28" ht="14">
      <c r="A1017" s="3">
        <v>1016</v>
      </c>
      <c r="B1017" s="23"/>
      <c r="C1017" s="23"/>
      <c r="D1017" s="23"/>
      <c r="E1017" s="23"/>
      <c r="F1017" s="23"/>
      <c r="G1017" s="23"/>
      <c r="H1017" s="23"/>
      <c r="I1017" s="22">
        <v>2</v>
      </c>
      <c r="J1017" s="23"/>
      <c r="K1017" s="23"/>
      <c r="L1017" s="23"/>
      <c r="M1017" s="23" t="s">
        <v>38</v>
      </c>
      <c r="N1017" s="22">
        <v>6.2</v>
      </c>
      <c r="O1017" s="22">
        <v>0</v>
      </c>
      <c r="P1017" s="22">
        <v>6</v>
      </c>
      <c r="Q1017" s="23"/>
      <c r="R1017" s="22">
        <v>3</v>
      </c>
      <c r="S1017" s="23"/>
      <c r="Y1017" s="23"/>
      <c r="Z1017" s="23"/>
      <c r="AA1017" s="3" t="str">
        <f t="shared" si="7"/>
        <v>___</v>
      </c>
      <c r="AB1017" s="3" t="str">
        <f t="shared" si="6"/>
        <v>____2</v>
      </c>
    </row>
    <row r="1018" spans="1:28" ht="14">
      <c r="A1018" s="3">
        <v>1017</v>
      </c>
      <c r="B1018" s="23"/>
      <c r="C1018" s="23"/>
      <c r="D1018" s="23"/>
      <c r="E1018" s="23"/>
      <c r="F1018" s="23"/>
      <c r="G1018" s="23"/>
      <c r="H1018" s="23"/>
      <c r="I1018" s="22">
        <v>3</v>
      </c>
      <c r="J1018" s="23"/>
      <c r="K1018" s="23"/>
      <c r="L1018" s="23"/>
      <c r="M1018" s="23" t="s">
        <v>39</v>
      </c>
      <c r="N1018" s="22">
        <v>4</v>
      </c>
      <c r="O1018" s="22">
        <v>0</v>
      </c>
      <c r="P1018" s="22">
        <v>4</v>
      </c>
      <c r="Q1018" s="23"/>
      <c r="R1018" s="22">
        <v>1</v>
      </c>
      <c r="S1018" s="23"/>
      <c r="Y1018" s="23"/>
      <c r="Z1018" s="23"/>
      <c r="AA1018" s="3" t="str">
        <f t="shared" si="7"/>
        <v>___</v>
      </c>
      <c r="AB1018" s="3" t="str">
        <f t="shared" si="6"/>
        <v>____3</v>
      </c>
    </row>
    <row r="1019" spans="1:28" ht="14">
      <c r="A1019" s="3">
        <v>1018</v>
      </c>
      <c r="B1019" s="22" t="s">
        <v>142</v>
      </c>
      <c r="C1019" s="23" t="s">
        <v>143</v>
      </c>
      <c r="D1019" s="22">
        <v>62</v>
      </c>
      <c r="E1019" s="23" t="s">
        <v>134</v>
      </c>
      <c r="F1019" s="23" t="s">
        <v>135</v>
      </c>
      <c r="G1019" s="23" t="s">
        <v>145</v>
      </c>
      <c r="H1019" s="23" t="s">
        <v>35</v>
      </c>
      <c r="I1019" s="22">
        <v>1</v>
      </c>
      <c r="J1019" s="22">
        <v>10</v>
      </c>
      <c r="K1019" s="22">
        <v>12.5</v>
      </c>
      <c r="L1019" s="22">
        <v>4</v>
      </c>
      <c r="M1019" s="23" t="s">
        <v>36</v>
      </c>
      <c r="N1019" s="22">
        <v>2.8</v>
      </c>
      <c r="O1019" s="22">
        <v>14</v>
      </c>
      <c r="P1019" s="22">
        <v>0</v>
      </c>
      <c r="Q1019" s="23"/>
      <c r="R1019" s="23"/>
      <c r="S1019" s="23"/>
      <c r="Y1019" s="23"/>
      <c r="Z1019" s="22">
        <v>127</v>
      </c>
      <c r="AA1019" s="3" t="str">
        <f t="shared" si="7"/>
        <v>ANO_0212_62_T4-C9_vv</v>
      </c>
      <c r="AB1019" s="3" t="str">
        <f t="shared" si="6"/>
        <v>ANO_0212_62_T4-C9_vv_1</v>
      </c>
    </row>
    <row r="1020" spans="1:28" ht="14">
      <c r="A1020" s="3">
        <v>1019</v>
      </c>
      <c r="B1020" s="23"/>
      <c r="C1020" s="23"/>
      <c r="D1020" s="23"/>
      <c r="E1020" s="23"/>
      <c r="F1020" s="23"/>
      <c r="G1020" s="23"/>
      <c r="H1020" s="23"/>
      <c r="I1020" s="22">
        <v>2</v>
      </c>
      <c r="J1020" s="23"/>
      <c r="K1020" s="23"/>
      <c r="L1020" s="23"/>
      <c r="M1020" s="23" t="s">
        <v>38</v>
      </c>
      <c r="N1020" s="22">
        <v>3.3</v>
      </c>
      <c r="O1020" s="22">
        <v>0</v>
      </c>
      <c r="P1020" s="22">
        <v>0</v>
      </c>
      <c r="Q1020" s="23"/>
      <c r="R1020" s="23"/>
      <c r="S1020" s="23"/>
      <c r="Y1020" s="23"/>
      <c r="Z1020" s="23"/>
      <c r="AA1020" s="3" t="str">
        <f t="shared" si="7"/>
        <v>___</v>
      </c>
      <c r="AB1020" s="3" t="str">
        <f t="shared" si="6"/>
        <v>____2</v>
      </c>
    </row>
    <row r="1021" spans="1:28" ht="14">
      <c r="A1021" s="3">
        <v>1020</v>
      </c>
      <c r="B1021" s="23"/>
      <c r="C1021" s="23"/>
      <c r="D1021" s="23"/>
      <c r="E1021" s="23"/>
      <c r="F1021" s="23"/>
      <c r="G1021" s="23"/>
      <c r="H1021" s="23"/>
      <c r="I1021" s="22">
        <v>3</v>
      </c>
      <c r="J1021" s="23"/>
      <c r="K1021" s="23"/>
      <c r="L1021" s="23"/>
      <c r="M1021" s="23" t="s">
        <v>39</v>
      </c>
      <c r="N1021" s="22">
        <v>3.1</v>
      </c>
      <c r="O1021" s="22">
        <v>7</v>
      </c>
      <c r="P1021" s="22">
        <v>2</v>
      </c>
      <c r="Q1021" s="23"/>
      <c r="R1021" s="23"/>
      <c r="S1021" s="23"/>
      <c r="Y1021" s="23"/>
      <c r="Z1021" s="23"/>
      <c r="AA1021" s="3" t="str">
        <f t="shared" si="7"/>
        <v>___</v>
      </c>
      <c r="AB1021" s="3" t="str">
        <f t="shared" si="6"/>
        <v>____3</v>
      </c>
    </row>
    <row r="1022" spans="1:28" ht="14">
      <c r="A1022" s="3">
        <v>1021</v>
      </c>
      <c r="B1022" s="22" t="s">
        <v>142</v>
      </c>
      <c r="C1022" s="23" t="s">
        <v>143</v>
      </c>
      <c r="D1022" s="22">
        <v>62</v>
      </c>
      <c r="E1022" s="23" t="s">
        <v>134</v>
      </c>
      <c r="F1022" s="23" t="s">
        <v>135</v>
      </c>
      <c r="G1022" s="23" t="s">
        <v>145</v>
      </c>
      <c r="H1022" s="23" t="s">
        <v>35</v>
      </c>
      <c r="I1022" s="22">
        <v>1</v>
      </c>
      <c r="J1022" s="22">
        <v>9</v>
      </c>
      <c r="K1022" s="22">
        <v>12.5</v>
      </c>
      <c r="L1022" s="22">
        <v>4</v>
      </c>
      <c r="M1022" s="23" t="s">
        <v>36</v>
      </c>
      <c r="N1022" s="22">
        <v>1.9</v>
      </c>
      <c r="O1022" s="22">
        <v>13</v>
      </c>
      <c r="P1022" s="22">
        <v>0</v>
      </c>
      <c r="Q1022" s="23"/>
      <c r="R1022" s="23"/>
      <c r="S1022" s="23"/>
      <c r="Y1022" s="23"/>
      <c r="Z1022" s="22">
        <v>128</v>
      </c>
      <c r="AA1022" s="3" t="str">
        <f t="shared" si="7"/>
        <v>ANO_0212_62_T4-C9_vv</v>
      </c>
      <c r="AB1022" s="3" t="str">
        <f t="shared" ref="AB1022:AB1276" si="8">CONCATENATE(C1022,"_",D1022,"_",G1022,"_",H1022,"_",I1022)</f>
        <v>ANO_0212_62_T4-C9_vv_1</v>
      </c>
    </row>
    <row r="1023" spans="1:28" ht="14">
      <c r="A1023" s="3">
        <v>1022</v>
      </c>
      <c r="B1023" s="23"/>
      <c r="C1023" s="23"/>
      <c r="D1023" s="23"/>
      <c r="E1023" s="23"/>
      <c r="F1023" s="23"/>
      <c r="G1023" s="23"/>
      <c r="H1023" s="23"/>
      <c r="I1023" s="22">
        <v>2</v>
      </c>
      <c r="J1023" s="23"/>
      <c r="K1023" s="23"/>
      <c r="L1023" s="23"/>
      <c r="M1023" s="23" t="s">
        <v>38</v>
      </c>
      <c r="N1023" s="22">
        <v>5.5</v>
      </c>
      <c r="O1023" s="22">
        <v>10</v>
      </c>
      <c r="P1023" s="22">
        <v>4</v>
      </c>
      <c r="Q1023" s="23"/>
      <c r="R1023" s="23"/>
      <c r="S1023" s="23"/>
      <c r="Y1023" s="23"/>
      <c r="Z1023" s="23"/>
      <c r="AA1023" s="3" t="str">
        <f t="shared" ref="AA1023:AA1277" si="9">CONCATENATE(C1023, "_",D1023,"_",G1023,"_",H1023)</f>
        <v>___</v>
      </c>
      <c r="AB1023" s="3" t="str">
        <f t="shared" si="8"/>
        <v>____2</v>
      </c>
    </row>
    <row r="1024" spans="1:28" ht="14">
      <c r="A1024" s="3">
        <v>1023</v>
      </c>
      <c r="B1024" s="23"/>
      <c r="C1024" s="23"/>
      <c r="D1024" s="23"/>
      <c r="E1024" s="23"/>
      <c r="F1024" s="23"/>
      <c r="G1024" s="23"/>
      <c r="H1024" s="23"/>
      <c r="I1024" s="22">
        <v>3</v>
      </c>
      <c r="J1024" s="23"/>
      <c r="K1024" s="23"/>
      <c r="L1024" s="23"/>
      <c r="M1024" s="23" t="s">
        <v>39</v>
      </c>
      <c r="N1024" s="22">
        <v>2.2000000000000002</v>
      </c>
      <c r="O1024" s="22">
        <v>0</v>
      </c>
      <c r="P1024" s="22">
        <v>4</v>
      </c>
      <c r="Q1024" s="23"/>
      <c r="R1024" s="23"/>
      <c r="S1024" s="23"/>
      <c r="Y1024" s="23"/>
      <c r="Z1024" s="23"/>
      <c r="AA1024" s="3" t="str">
        <f t="shared" si="9"/>
        <v>___</v>
      </c>
      <c r="AB1024" s="3" t="str">
        <f t="shared" si="8"/>
        <v>____3</v>
      </c>
    </row>
    <row r="1025" spans="1:28" ht="14">
      <c r="A1025" s="3">
        <v>1024</v>
      </c>
      <c r="B1025" s="22" t="s">
        <v>142</v>
      </c>
      <c r="C1025" s="23" t="s">
        <v>143</v>
      </c>
      <c r="D1025" s="22">
        <v>62</v>
      </c>
      <c r="E1025" s="23" t="s">
        <v>134</v>
      </c>
      <c r="F1025" s="23" t="s">
        <v>135</v>
      </c>
      <c r="G1025" s="23" t="s">
        <v>145</v>
      </c>
      <c r="H1025" s="23" t="s">
        <v>35</v>
      </c>
      <c r="I1025" s="22">
        <v>1</v>
      </c>
      <c r="J1025" s="22">
        <v>11</v>
      </c>
      <c r="K1025" s="22">
        <v>12.9</v>
      </c>
      <c r="L1025" s="22">
        <v>4</v>
      </c>
      <c r="M1025" s="23" t="s">
        <v>36</v>
      </c>
      <c r="N1025" s="22">
        <v>1.4</v>
      </c>
      <c r="O1025" s="22">
        <v>9</v>
      </c>
      <c r="P1025" s="22">
        <v>0</v>
      </c>
      <c r="Q1025" s="23"/>
      <c r="R1025" s="23"/>
      <c r="S1025" s="23"/>
      <c r="Y1025" s="23"/>
      <c r="Z1025" s="22">
        <v>129</v>
      </c>
      <c r="AA1025" s="3" t="str">
        <f t="shared" si="9"/>
        <v>ANO_0212_62_T4-C9_vv</v>
      </c>
      <c r="AB1025" s="3" t="str">
        <f t="shared" si="8"/>
        <v>ANO_0212_62_T4-C9_vv_1</v>
      </c>
    </row>
    <row r="1026" spans="1:28" ht="14">
      <c r="A1026" s="3">
        <v>1025</v>
      </c>
      <c r="B1026" s="23"/>
      <c r="C1026" s="23"/>
      <c r="D1026" s="23"/>
      <c r="E1026" s="23"/>
      <c r="F1026" s="23"/>
      <c r="G1026" s="23"/>
      <c r="H1026" s="23"/>
      <c r="I1026" s="22">
        <v>2</v>
      </c>
      <c r="J1026" s="23"/>
      <c r="K1026" s="23"/>
      <c r="L1026" s="23"/>
      <c r="M1026" s="23" t="s">
        <v>38</v>
      </c>
      <c r="N1026" s="22">
        <v>2.7</v>
      </c>
      <c r="O1026" s="22">
        <v>12</v>
      </c>
      <c r="P1026" s="22">
        <v>0</v>
      </c>
      <c r="Q1026" s="23"/>
      <c r="R1026" s="23"/>
      <c r="S1026" s="23"/>
      <c r="Y1026" s="23"/>
      <c r="Z1026" s="23"/>
      <c r="AA1026" s="3" t="str">
        <f t="shared" si="9"/>
        <v>___</v>
      </c>
      <c r="AB1026" s="3" t="str">
        <f t="shared" si="8"/>
        <v>____2</v>
      </c>
    </row>
    <row r="1027" spans="1:28" ht="14">
      <c r="A1027" s="3">
        <v>1026</v>
      </c>
      <c r="B1027" s="23"/>
      <c r="C1027" s="23"/>
      <c r="D1027" s="23"/>
      <c r="E1027" s="23"/>
      <c r="F1027" s="23"/>
      <c r="G1027" s="23"/>
      <c r="H1027" s="23"/>
      <c r="I1027" s="22">
        <v>3</v>
      </c>
      <c r="J1027" s="23"/>
      <c r="K1027" s="23"/>
      <c r="L1027" s="23"/>
      <c r="M1027" s="23" t="s">
        <v>39</v>
      </c>
      <c r="N1027" s="22">
        <v>3.5</v>
      </c>
      <c r="O1027" s="22">
        <v>8</v>
      </c>
      <c r="P1027" s="22">
        <v>3</v>
      </c>
      <c r="Q1027" s="23"/>
      <c r="R1027" s="23"/>
      <c r="S1027" s="23"/>
      <c r="Y1027" s="23"/>
      <c r="Z1027" s="23"/>
      <c r="AA1027" s="3" t="str">
        <f t="shared" si="9"/>
        <v>___</v>
      </c>
      <c r="AB1027" s="3" t="str">
        <f t="shared" si="8"/>
        <v>____3</v>
      </c>
    </row>
    <row r="1028" spans="1:28" ht="14">
      <c r="A1028" s="3">
        <v>1027</v>
      </c>
      <c r="B1028" s="22" t="s">
        <v>142</v>
      </c>
      <c r="C1028" s="23" t="s">
        <v>143</v>
      </c>
      <c r="D1028" s="22">
        <v>53</v>
      </c>
      <c r="E1028" s="23" t="s">
        <v>134</v>
      </c>
      <c r="F1028" s="23" t="s">
        <v>34</v>
      </c>
      <c r="G1028" s="23" t="s">
        <v>146</v>
      </c>
      <c r="H1028" s="23" t="s">
        <v>40</v>
      </c>
      <c r="I1028" s="22">
        <v>1</v>
      </c>
      <c r="J1028" s="22">
        <v>12</v>
      </c>
      <c r="K1028" s="22">
        <v>13.1</v>
      </c>
      <c r="L1028" s="22">
        <v>5</v>
      </c>
      <c r="M1028" s="23" t="s">
        <v>36</v>
      </c>
      <c r="N1028" s="22">
        <v>2.9</v>
      </c>
      <c r="O1028" s="22">
        <v>5</v>
      </c>
      <c r="P1028" s="22">
        <v>1</v>
      </c>
      <c r="Q1028" s="23"/>
      <c r="R1028" s="23"/>
      <c r="S1028" s="23"/>
      <c r="Y1028" s="23"/>
      <c r="Z1028" s="22">
        <v>130</v>
      </c>
      <c r="AA1028" s="3" t="str">
        <f t="shared" si="9"/>
        <v>ANO_0212_53_V2-C1_vm</v>
      </c>
      <c r="AB1028" s="3" t="str">
        <f t="shared" si="8"/>
        <v>ANO_0212_53_V2-C1_vm_1</v>
      </c>
    </row>
    <row r="1029" spans="1:28" ht="14">
      <c r="A1029" s="3">
        <v>1028</v>
      </c>
      <c r="B1029" s="23"/>
      <c r="C1029" s="23"/>
      <c r="D1029" s="23"/>
      <c r="E1029" s="23"/>
      <c r="F1029" s="23"/>
      <c r="G1029" s="23"/>
      <c r="H1029" s="23"/>
      <c r="I1029" s="22">
        <v>2</v>
      </c>
      <c r="J1029" s="23"/>
      <c r="K1029" s="23"/>
      <c r="L1029" s="23"/>
      <c r="M1029" s="23" t="s">
        <v>38</v>
      </c>
      <c r="N1029" s="22">
        <v>1.8</v>
      </c>
      <c r="O1029" s="22">
        <v>0</v>
      </c>
      <c r="P1029" s="22">
        <v>3</v>
      </c>
      <c r="Q1029" s="23"/>
      <c r="R1029" s="22">
        <v>1</v>
      </c>
      <c r="S1029" s="23"/>
      <c r="Y1029" s="23"/>
      <c r="Z1029" s="23"/>
      <c r="AA1029" s="3" t="str">
        <f t="shared" si="9"/>
        <v>___</v>
      </c>
      <c r="AB1029" s="3" t="str">
        <f t="shared" si="8"/>
        <v>____2</v>
      </c>
    </row>
    <row r="1030" spans="1:28" ht="14">
      <c r="A1030" s="3">
        <v>1029</v>
      </c>
      <c r="B1030" s="23"/>
      <c r="C1030" s="23"/>
      <c r="D1030" s="23"/>
      <c r="E1030" s="23"/>
      <c r="F1030" s="23"/>
      <c r="G1030" s="23"/>
      <c r="H1030" s="23"/>
      <c r="I1030" s="22">
        <v>3</v>
      </c>
      <c r="J1030" s="23"/>
      <c r="K1030" s="23"/>
      <c r="L1030" s="23"/>
      <c r="M1030" s="23" t="s">
        <v>39</v>
      </c>
      <c r="N1030" s="22">
        <v>3.5</v>
      </c>
      <c r="O1030" s="22">
        <v>0</v>
      </c>
      <c r="P1030" s="22">
        <v>6</v>
      </c>
      <c r="Q1030" s="23"/>
      <c r="R1030" s="23"/>
      <c r="S1030" s="23"/>
      <c r="Y1030" s="23"/>
      <c r="Z1030" s="23"/>
      <c r="AA1030" s="3" t="str">
        <f t="shared" si="9"/>
        <v>___</v>
      </c>
      <c r="AB1030" s="3" t="str">
        <f t="shared" si="8"/>
        <v>____3</v>
      </c>
    </row>
    <row r="1031" spans="1:28" ht="14">
      <c r="A1031" s="3">
        <v>1030</v>
      </c>
      <c r="B1031" s="22" t="s">
        <v>142</v>
      </c>
      <c r="C1031" s="23" t="s">
        <v>143</v>
      </c>
      <c r="D1031" s="22">
        <v>53</v>
      </c>
      <c r="E1031" s="23" t="s">
        <v>134</v>
      </c>
      <c r="F1031" s="23" t="s">
        <v>34</v>
      </c>
      <c r="G1031" s="23" t="s">
        <v>146</v>
      </c>
      <c r="H1031" s="23" t="s">
        <v>40</v>
      </c>
      <c r="I1031" s="22">
        <v>1</v>
      </c>
      <c r="J1031" s="22">
        <v>17.5</v>
      </c>
      <c r="K1031" s="22">
        <v>17.8</v>
      </c>
      <c r="L1031" s="22">
        <v>6</v>
      </c>
      <c r="M1031" s="23" t="s">
        <v>36</v>
      </c>
      <c r="N1031" s="22">
        <v>1.5</v>
      </c>
      <c r="O1031" s="22">
        <v>3</v>
      </c>
      <c r="P1031" s="22">
        <v>1</v>
      </c>
      <c r="Q1031" s="23"/>
      <c r="R1031" s="23"/>
      <c r="S1031" s="23"/>
      <c r="Y1031" s="23"/>
      <c r="Z1031" s="22">
        <v>131</v>
      </c>
      <c r="AA1031" s="3" t="str">
        <f t="shared" si="9"/>
        <v>ANO_0212_53_V2-C1_vm</v>
      </c>
      <c r="AB1031" s="3" t="str">
        <f t="shared" si="8"/>
        <v>ANO_0212_53_V2-C1_vm_1</v>
      </c>
    </row>
    <row r="1032" spans="1:28" ht="14">
      <c r="A1032" s="3">
        <v>1031</v>
      </c>
      <c r="B1032" s="23"/>
      <c r="C1032" s="23"/>
      <c r="D1032" s="23"/>
      <c r="E1032" s="23"/>
      <c r="F1032" s="23"/>
      <c r="G1032" s="23"/>
      <c r="H1032" s="23"/>
      <c r="I1032" s="22">
        <v>2</v>
      </c>
      <c r="J1032" s="23"/>
      <c r="K1032" s="23"/>
      <c r="L1032" s="23"/>
      <c r="M1032" s="23" t="s">
        <v>38</v>
      </c>
      <c r="N1032" s="22">
        <v>1.6</v>
      </c>
      <c r="O1032" s="22">
        <v>0</v>
      </c>
      <c r="P1032" s="22">
        <v>2</v>
      </c>
      <c r="Q1032" s="23"/>
      <c r="R1032" s="22">
        <v>1</v>
      </c>
      <c r="S1032" s="23"/>
      <c r="Y1032" s="23"/>
      <c r="Z1032" s="23"/>
      <c r="AA1032" s="3" t="str">
        <f t="shared" si="9"/>
        <v>___</v>
      </c>
      <c r="AB1032" s="3" t="str">
        <f t="shared" si="8"/>
        <v>____2</v>
      </c>
    </row>
    <row r="1033" spans="1:28" ht="14">
      <c r="A1033" s="3">
        <v>1032</v>
      </c>
      <c r="B1033" s="23"/>
      <c r="C1033" s="23"/>
      <c r="D1033" s="23"/>
      <c r="E1033" s="23"/>
      <c r="F1033" s="23"/>
      <c r="G1033" s="23"/>
      <c r="H1033" s="23"/>
      <c r="I1033" s="22">
        <v>3</v>
      </c>
      <c r="J1033" s="23"/>
      <c r="K1033" s="23"/>
      <c r="L1033" s="23"/>
      <c r="M1033" s="23" t="s">
        <v>39</v>
      </c>
      <c r="N1033" s="22">
        <v>1.8</v>
      </c>
      <c r="O1033" s="22">
        <v>0</v>
      </c>
      <c r="P1033" s="22">
        <v>2</v>
      </c>
      <c r="Q1033" s="23"/>
      <c r="R1033" s="23"/>
      <c r="S1033" s="23"/>
      <c r="Y1033" s="23"/>
      <c r="Z1033" s="23"/>
      <c r="AA1033" s="3" t="str">
        <f t="shared" si="9"/>
        <v>___</v>
      </c>
      <c r="AB1033" s="3" t="str">
        <f t="shared" si="8"/>
        <v>____3</v>
      </c>
    </row>
    <row r="1034" spans="1:28" ht="14">
      <c r="A1034" s="3">
        <v>1033</v>
      </c>
      <c r="B1034" s="22" t="s">
        <v>142</v>
      </c>
      <c r="C1034" s="23" t="s">
        <v>143</v>
      </c>
      <c r="D1034" s="22">
        <v>53</v>
      </c>
      <c r="E1034" s="23" t="s">
        <v>134</v>
      </c>
      <c r="F1034" s="23" t="s">
        <v>34</v>
      </c>
      <c r="G1034" s="23" t="s">
        <v>146</v>
      </c>
      <c r="H1034" s="23" t="s">
        <v>40</v>
      </c>
      <c r="I1034" s="22">
        <v>1</v>
      </c>
      <c r="J1034" s="22">
        <v>15</v>
      </c>
      <c r="K1034" s="22">
        <v>17</v>
      </c>
      <c r="L1034" s="22">
        <v>5</v>
      </c>
      <c r="M1034" s="23" t="s">
        <v>36</v>
      </c>
      <c r="N1034" s="22">
        <v>4.5999999999999996</v>
      </c>
      <c r="O1034" s="22">
        <v>2</v>
      </c>
      <c r="P1034" s="22">
        <v>3</v>
      </c>
      <c r="Q1034" s="23"/>
      <c r="R1034" s="23"/>
      <c r="S1034" s="23"/>
      <c r="Y1034" s="23"/>
      <c r="Z1034" s="22">
        <v>132</v>
      </c>
      <c r="AA1034" s="3" t="str">
        <f t="shared" si="9"/>
        <v>ANO_0212_53_V2-C1_vm</v>
      </c>
      <c r="AB1034" s="3" t="str">
        <f t="shared" si="8"/>
        <v>ANO_0212_53_V2-C1_vm_1</v>
      </c>
    </row>
    <row r="1035" spans="1:28" ht="14">
      <c r="A1035" s="3">
        <v>1034</v>
      </c>
      <c r="B1035" s="23"/>
      <c r="C1035" s="23"/>
      <c r="D1035" s="23"/>
      <c r="E1035" s="23"/>
      <c r="F1035" s="23"/>
      <c r="G1035" s="23"/>
      <c r="H1035" s="23"/>
      <c r="I1035" s="22">
        <v>2</v>
      </c>
      <c r="J1035" s="23"/>
      <c r="K1035" s="23"/>
      <c r="L1035" s="23"/>
      <c r="M1035" s="23" t="s">
        <v>38</v>
      </c>
      <c r="N1035" s="22">
        <v>3.3</v>
      </c>
      <c r="O1035" s="22">
        <v>0</v>
      </c>
      <c r="P1035" s="22">
        <v>2</v>
      </c>
      <c r="Q1035" s="23"/>
      <c r="R1035" s="22">
        <v>2</v>
      </c>
      <c r="S1035" s="23"/>
      <c r="Y1035" s="23"/>
      <c r="Z1035" s="23"/>
      <c r="AA1035" s="3" t="str">
        <f t="shared" si="9"/>
        <v>___</v>
      </c>
      <c r="AB1035" s="3" t="str">
        <f t="shared" si="8"/>
        <v>____2</v>
      </c>
    </row>
    <row r="1036" spans="1:28" ht="14">
      <c r="A1036" s="3">
        <v>1035</v>
      </c>
      <c r="B1036" s="23"/>
      <c r="C1036" s="23"/>
      <c r="D1036" s="23"/>
      <c r="E1036" s="23"/>
      <c r="F1036" s="23"/>
      <c r="G1036" s="23"/>
      <c r="H1036" s="23"/>
      <c r="I1036" s="22">
        <v>3</v>
      </c>
      <c r="J1036" s="23"/>
      <c r="K1036" s="23"/>
      <c r="L1036" s="23"/>
      <c r="M1036" s="23" t="s">
        <v>39</v>
      </c>
      <c r="N1036" s="22">
        <v>4.0999999999999996</v>
      </c>
      <c r="O1036" s="22">
        <v>0</v>
      </c>
      <c r="P1036" s="22">
        <v>1</v>
      </c>
      <c r="Q1036" s="23"/>
      <c r="R1036" s="22">
        <v>1</v>
      </c>
      <c r="S1036" s="23"/>
      <c r="Y1036" s="23"/>
      <c r="Z1036" s="23"/>
      <c r="AA1036" s="3" t="str">
        <f t="shared" si="9"/>
        <v>___</v>
      </c>
      <c r="AB1036" s="3" t="str">
        <f t="shared" si="8"/>
        <v>____3</v>
      </c>
    </row>
    <row r="1037" spans="1:28" ht="14">
      <c r="A1037" s="3">
        <v>1036</v>
      </c>
      <c r="B1037" s="22" t="s">
        <v>142</v>
      </c>
      <c r="C1037" s="23" t="s">
        <v>143</v>
      </c>
      <c r="D1037" s="22">
        <v>53</v>
      </c>
      <c r="E1037" s="23" t="s">
        <v>134</v>
      </c>
      <c r="F1037" s="23" t="s">
        <v>34</v>
      </c>
      <c r="G1037" s="23" t="s">
        <v>146</v>
      </c>
      <c r="H1037" s="23" t="s">
        <v>35</v>
      </c>
      <c r="I1037" s="22">
        <v>1</v>
      </c>
      <c r="J1037" s="22">
        <v>16</v>
      </c>
      <c r="K1037" s="22">
        <v>20.100000000000001</v>
      </c>
      <c r="L1037" s="22">
        <v>4</v>
      </c>
      <c r="M1037" s="23" t="s">
        <v>36</v>
      </c>
      <c r="N1037" s="22">
        <v>3.9</v>
      </c>
      <c r="O1037" s="22">
        <v>11</v>
      </c>
      <c r="P1037" s="22">
        <v>1</v>
      </c>
      <c r="Q1037" s="23"/>
      <c r="R1037" s="23"/>
      <c r="S1037" s="22">
        <v>1</v>
      </c>
      <c r="Y1037" s="23"/>
      <c r="Z1037" s="22">
        <v>133</v>
      </c>
      <c r="AA1037" s="3" t="str">
        <f t="shared" si="9"/>
        <v>ANO_0212_53_V2-C1_vv</v>
      </c>
      <c r="AB1037" s="3" t="str">
        <f t="shared" si="8"/>
        <v>ANO_0212_53_V2-C1_vv_1</v>
      </c>
    </row>
    <row r="1038" spans="1:28" ht="14">
      <c r="A1038" s="3">
        <v>1037</v>
      </c>
      <c r="B1038" s="23"/>
      <c r="C1038" s="23"/>
      <c r="D1038" s="23"/>
      <c r="E1038" s="23"/>
      <c r="F1038" s="23"/>
      <c r="G1038" s="23"/>
      <c r="H1038" s="23"/>
      <c r="I1038" s="22">
        <v>2</v>
      </c>
      <c r="J1038" s="23"/>
      <c r="K1038" s="23"/>
      <c r="L1038" s="23"/>
      <c r="M1038" s="23" t="s">
        <v>38</v>
      </c>
      <c r="N1038" s="22">
        <v>2.8</v>
      </c>
      <c r="O1038" s="22">
        <v>0</v>
      </c>
      <c r="P1038" s="22">
        <v>4</v>
      </c>
      <c r="Q1038" s="23"/>
      <c r="R1038" s="22">
        <v>2</v>
      </c>
      <c r="S1038" s="23"/>
      <c r="Y1038" s="23"/>
      <c r="Z1038" s="23"/>
      <c r="AA1038" s="3" t="str">
        <f t="shared" si="9"/>
        <v>___</v>
      </c>
      <c r="AB1038" s="3" t="str">
        <f t="shared" si="8"/>
        <v>____2</v>
      </c>
    </row>
    <row r="1039" spans="1:28" ht="14">
      <c r="A1039" s="3">
        <v>1038</v>
      </c>
      <c r="B1039" s="23"/>
      <c r="C1039" s="23"/>
      <c r="D1039" s="23"/>
      <c r="E1039" s="23"/>
      <c r="F1039" s="23"/>
      <c r="G1039" s="23"/>
      <c r="H1039" s="23"/>
      <c r="I1039" s="22">
        <v>3</v>
      </c>
      <c r="J1039" s="23"/>
      <c r="K1039" s="23"/>
      <c r="L1039" s="23"/>
      <c r="M1039" s="23" t="s">
        <v>39</v>
      </c>
      <c r="N1039" s="22">
        <v>5</v>
      </c>
      <c r="O1039" s="22">
        <v>7</v>
      </c>
      <c r="P1039" s="22">
        <v>4</v>
      </c>
      <c r="Q1039" s="23"/>
      <c r="R1039" s="23"/>
      <c r="S1039" s="23"/>
      <c r="Y1039" s="23"/>
      <c r="Z1039" s="23"/>
      <c r="AA1039" s="3" t="str">
        <f t="shared" si="9"/>
        <v>___</v>
      </c>
      <c r="AB1039" s="3" t="str">
        <f t="shared" si="8"/>
        <v>____3</v>
      </c>
    </row>
    <row r="1040" spans="1:28" ht="14">
      <c r="A1040" s="3">
        <v>1039</v>
      </c>
      <c r="B1040" s="22" t="s">
        <v>142</v>
      </c>
      <c r="C1040" s="23" t="s">
        <v>143</v>
      </c>
      <c r="D1040" s="22">
        <v>53</v>
      </c>
      <c r="E1040" s="23" t="s">
        <v>134</v>
      </c>
      <c r="F1040" s="23" t="s">
        <v>34</v>
      </c>
      <c r="G1040" s="23" t="s">
        <v>146</v>
      </c>
      <c r="H1040" s="23" t="s">
        <v>35</v>
      </c>
      <c r="I1040" s="22">
        <v>1</v>
      </c>
      <c r="J1040" s="22">
        <v>12.1</v>
      </c>
      <c r="K1040" s="22">
        <v>12.1</v>
      </c>
      <c r="L1040" s="22">
        <v>3</v>
      </c>
      <c r="M1040" s="23" t="s">
        <v>36</v>
      </c>
      <c r="N1040" s="22">
        <v>2.5</v>
      </c>
      <c r="O1040" s="22">
        <v>9</v>
      </c>
      <c r="P1040" s="22">
        <v>1</v>
      </c>
      <c r="Q1040" s="23"/>
      <c r="R1040" s="23"/>
      <c r="S1040" s="23"/>
      <c r="Y1040" s="23"/>
      <c r="Z1040" s="22">
        <v>134</v>
      </c>
      <c r="AA1040" s="3" t="str">
        <f t="shared" si="9"/>
        <v>ANO_0212_53_V2-C1_vv</v>
      </c>
      <c r="AB1040" s="3" t="str">
        <f t="shared" si="8"/>
        <v>ANO_0212_53_V2-C1_vv_1</v>
      </c>
    </row>
    <row r="1041" spans="1:28" ht="14">
      <c r="A1041" s="3">
        <v>1040</v>
      </c>
      <c r="B1041" s="23"/>
      <c r="C1041" s="23"/>
      <c r="D1041" s="23"/>
      <c r="E1041" s="23"/>
      <c r="F1041" s="23"/>
      <c r="G1041" s="23"/>
      <c r="H1041" s="23"/>
      <c r="I1041" s="22">
        <v>2</v>
      </c>
      <c r="J1041" s="23"/>
      <c r="K1041" s="23"/>
      <c r="L1041" s="23"/>
      <c r="M1041" s="23" t="s">
        <v>38</v>
      </c>
      <c r="N1041" s="22">
        <v>4.9000000000000004</v>
      </c>
      <c r="O1041" s="22">
        <v>10</v>
      </c>
      <c r="P1041" s="22">
        <v>2</v>
      </c>
      <c r="Q1041" s="23"/>
      <c r="R1041" s="22">
        <v>1</v>
      </c>
      <c r="S1041" s="23"/>
      <c r="Y1041" s="23"/>
      <c r="Z1041" s="23"/>
      <c r="AA1041" s="3" t="str">
        <f t="shared" si="9"/>
        <v>___</v>
      </c>
      <c r="AB1041" s="3" t="str">
        <f t="shared" si="8"/>
        <v>____2</v>
      </c>
    </row>
    <row r="1042" spans="1:28" ht="14">
      <c r="A1042" s="3">
        <v>1041</v>
      </c>
      <c r="B1042" s="23"/>
      <c r="C1042" s="23"/>
      <c r="D1042" s="23"/>
      <c r="E1042" s="23"/>
      <c r="F1042" s="23"/>
      <c r="G1042" s="23"/>
      <c r="H1042" s="23"/>
      <c r="I1042" s="22">
        <v>3</v>
      </c>
      <c r="J1042" s="23"/>
      <c r="K1042" s="23"/>
      <c r="L1042" s="23"/>
      <c r="M1042" s="23" t="s">
        <v>39</v>
      </c>
      <c r="N1042" s="22">
        <v>4.3</v>
      </c>
      <c r="O1042" s="22">
        <v>0</v>
      </c>
      <c r="P1042" s="22">
        <v>3</v>
      </c>
      <c r="Q1042" s="23"/>
      <c r="R1042" s="23"/>
      <c r="S1042" s="23"/>
      <c r="Y1042" s="23"/>
      <c r="Z1042" s="23"/>
      <c r="AA1042" s="3" t="str">
        <f t="shared" si="9"/>
        <v>___</v>
      </c>
      <c r="AB1042" s="3" t="str">
        <f t="shared" si="8"/>
        <v>____3</v>
      </c>
    </row>
    <row r="1043" spans="1:28" ht="14">
      <c r="A1043" s="3">
        <v>1042</v>
      </c>
      <c r="B1043" s="22" t="s">
        <v>142</v>
      </c>
      <c r="C1043" s="23" t="s">
        <v>143</v>
      </c>
      <c r="D1043" s="22">
        <v>53</v>
      </c>
      <c r="E1043" s="23" t="s">
        <v>134</v>
      </c>
      <c r="F1043" s="23" t="s">
        <v>34</v>
      </c>
      <c r="G1043" s="23" t="s">
        <v>146</v>
      </c>
      <c r="H1043" s="23" t="s">
        <v>35</v>
      </c>
      <c r="I1043" s="22">
        <v>1</v>
      </c>
      <c r="J1043" s="22">
        <v>17.5</v>
      </c>
      <c r="K1043" s="22">
        <v>17.8</v>
      </c>
      <c r="L1043" s="22">
        <v>5</v>
      </c>
      <c r="M1043" s="23" t="s">
        <v>36</v>
      </c>
      <c r="N1043" s="22">
        <v>1.8</v>
      </c>
      <c r="O1043" s="22">
        <v>9</v>
      </c>
      <c r="P1043" s="22">
        <v>1</v>
      </c>
      <c r="Q1043" s="23"/>
      <c r="R1043" s="23"/>
      <c r="S1043" s="23"/>
      <c r="Y1043" s="23"/>
      <c r="Z1043" s="22">
        <v>135</v>
      </c>
      <c r="AA1043" s="3" t="str">
        <f t="shared" si="9"/>
        <v>ANO_0212_53_V2-C1_vv</v>
      </c>
      <c r="AB1043" s="3" t="str">
        <f t="shared" si="8"/>
        <v>ANO_0212_53_V2-C1_vv_1</v>
      </c>
    </row>
    <row r="1044" spans="1:28" ht="14">
      <c r="A1044" s="3">
        <v>1043</v>
      </c>
      <c r="B1044" s="23"/>
      <c r="C1044" s="23"/>
      <c r="D1044" s="23"/>
      <c r="E1044" s="23"/>
      <c r="F1044" s="23"/>
      <c r="G1044" s="23"/>
      <c r="H1044" s="23"/>
      <c r="I1044" s="22">
        <v>2</v>
      </c>
      <c r="J1044" s="23"/>
      <c r="K1044" s="23"/>
      <c r="L1044" s="23"/>
      <c r="M1044" s="23" t="s">
        <v>38</v>
      </c>
      <c r="N1044" s="22">
        <v>2.4</v>
      </c>
      <c r="O1044" s="22">
        <v>6</v>
      </c>
      <c r="P1044" s="22">
        <v>2</v>
      </c>
      <c r="Q1044" s="23"/>
      <c r="R1044" s="23"/>
      <c r="S1044" s="23"/>
      <c r="Y1044" s="23"/>
      <c r="Z1044" s="23"/>
      <c r="AA1044" s="3" t="str">
        <f t="shared" si="9"/>
        <v>___</v>
      </c>
      <c r="AB1044" s="3" t="str">
        <f t="shared" si="8"/>
        <v>____2</v>
      </c>
    </row>
    <row r="1045" spans="1:28" ht="14">
      <c r="A1045" s="3">
        <v>1044</v>
      </c>
      <c r="B1045" s="23"/>
      <c r="C1045" s="23"/>
      <c r="D1045" s="23"/>
      <c r="E1045" s="23"/>
      <c r="F1045" s="23"/>
      <c r="G1045" s="23"/>
      <c r="H1045" s="23"/>
      <c r="I1045" s="22">
        <v>3</v>
      </c>
      <c r="J1045" s="23"/>
      <c r="K1045" s="23"/>
      <c r="L1045" s="23"/>
      <c r="M1045" s="23" t="s">
        <v>39</v>
      </c>
      <c r="N1045" s="22">
        <v>1.9</v>
      </c>
      <c r="O1045" s="22">
        <v>3</v>
      </c>
      <c r="P1045" s="22">
        <v>3</v>
      </c>
      <c r="Q1045" s="23"/>
      <c r="R1045" s="23"/>
      <c r="S1045" s="23"/>
      <c r="Y1045" s="23"/>
      <c r="Z1045" s="23"/>
      <c r="AA1045" s="3" t="str">
        <f t="shared" si="9"/>
        <v>___</v>
      </c>
      <c r="AB1045" s="3" t="str">
        <f t="shared" si="8"/>
        <v>____3</v>
      </c>
    </row>
    <row r="1046" spans="1:28" ht="14">
      <c r="A1046" s="3">
        <v>1045</v>
      </c>
      <c r="B1046" s="22" t="s">
        <v>142</v>
      </c>
      <c r="C1046" s="23" t="s">
        <v>143</v>
      </c>
      <c r="D1046" s="22">
        <v>55</v>
      </c>
      <c r="E1046" s="23" t="s">
        <v>134</v>
      </c>
      <c r="F1046" s="23" t="s">
        <v>135</v>
      </c>
      <c r="G1046" s="23" t="s">
        <v>136</v>
      </c>
      <c r="H1046" s="23" t="s">
        <v>40</v>
      </c>
      <c r="I1046" s="22">
        <v>1</v>
      </c>
      <c r="J1046" s="22">
        <v>29.5</v>
      </c>
      <c r="K1046" s="22">
        <v>33.799999999999997</v>
      </c>
      <c r="L1046" s="22">
        <v>8</v>
      </c>
      <c r="M1046" s="23" t="s">
        <v>36</v>
      </c>
      <c r="N1046" s="22">
        <v>4.5</v>
      </c>
      <c r="O1046" s="22">
        <v>7</v>
      </c>
      <c r="P1046" s="22">
        <v>0</v>
      </c>
      <c r="Q1046" s="23"/>
      <c r="R1046" s="23"/>
      <c r="S1046" s="23"/>
      <c r="Y1046" s="23"/>
      <c r="Z1046" s="22">
        <v>136</v>
      </c>
      <c r="AA1046" s="3" t="str">
        <f t="shared" si="9"/>
        <v>ANO_0212_55_T4-C1_vm</v>
      </c>
      <c r="AB1046" s="3" t="str">
        <f t="shared" si="8"/>
        <v>ANO_0212_55_T4-C1_vm_1</v>
      </c>
    </row>
    <row r="1047" spans="1:28" ht="14">
      <c r="A1047" s="3">
        <v>1046</v>
      </c>
      <c r="B1047" s="23"/>
      <c r="C1047" s="23"/>
      <c r="D1047" s="23"/>
      <c r="E1047" s="23"/>
      <c r="F1047" s="23"/>
      <c r="G1047" s="23"/>
      <c r="H1047" s="23"/>
      <c r="I1047" s="22">
        <v>2</v>
      </c>
      <c r="J1047" s="23"/>
      <c r="K1047" s="23"/>
      <c r="L1047" s="23"/>
      <c r="M1047" s="23" t="s">
        <v>38</v>
      </c>
      <c r="N1047" s="22">
        <v>7.9</v>
      </c>
      <c r="O1047" s="22">
        <v>0</v>
      </c>
      <c r="P1047" s="22">
        <v>4</v>
      </c>
      <c r="Q1047" s="23"/>
      <c r="R1047" s="22">
        <v>5</v>
      </c>
      <c r="S1047" s="23"/>
      <c r="Y1047" s="23"/>
      <c r="Z1047" s="23"/>
      <c r="AA1047" s="3" t="str">
        <f t="shared" si="9"/>
        <v>___</v>
      </c>
      <c r="AB1047" s="3" t="str">
        <f t="shared" si="8"/>
        <v>____2</v>
      </c>
    </row>
    <row r="1048" spans="1:28" ht="14">
      <c r="A1048" s="3">
        <v>1047</v>
      </c>
      <c r="B1048" s="23"/>
      <c r="C1048" s="23"/>
      <c r="D1048" s="23"/>
      <c r="E1048" s="23"/>
      <c r="F1048" s="23"/>
      <c r="G1048" s="23"/>
      <c r="H1048" s="23"/>
      <c r="I1048" s="22">
        <v>3</v>
      </c>
      <c r="J1048" s="23"/>
      <c r="K1048" s="23"/>
      <c r="L1048" s="23"/>
      <c r="M1048" s="23" t="s">
        <v>39</v>
      </c>
      <c r="N1048" s="22">
        <v>10.5</v>
      </c>
      <c r="O1048" s="22">
        <v>0</v>
      </c>
      <c r="P1048" s="22">
        <v>5</v>
      </c>
      <c r="Q1048" s="23"/>
      <c r="R1048" s="22">
        <v>4</v>
      </c>
      <c r="S1048" s="23"/>
      <c r="Y1048" s="23"/>
      <c r="Z1048" s="23"/>
      <c r="AA1048" s="3" t="str">
        <f t="shared" si="9"/>
        <v>___</v>
      </c>
      <c r="AB1048" s="3" t="str">
        <f t="shared" si="8"/>
        <v>____3</v>
      </c>
    </row>
    <row r="1049" spans="1:28" ht="14">
      <c r="A1049" s="3">
        <v>1048</v>
      </c>
      <c r="B1049" s="22" t="s">
        <v>142</v>
      </c>
      <c r="C1049" s="23" t="s">
        <v>143</v>
      </c>
      <c r="D1049" s="22">
        <v>55</v>
      </c>
      <c r="E1049" s="23" t="s">
        <v>134</v>
      </c>
      <c r="F1049" s="23" t="s">
        <v>135</v>
      </c>
      <c r="G1049" s="23" t="s">
        <v>136</v>
      </c>
      <c r="H1049" s="23" t="s">
        <v>40</v>
      </c>
      <c r="I1049" s="22">
        <v>1</v>
      </c>
      <c r="J1049" s="22">
        <v>25</v>
      </c>
      <c r="K1049" s="22">
        <v>30.6</v>
      </c>
      <c r="L1049" s="22">
        <v>6</v>
      </c>
      <c r="M1049" s="23" t="s">
        <v>36</v>
      </c>
      <c r="N1049" s="22">
        <v>8.5</v>
      </c>
      <c r="O1049" s="22">
        <v>7</v>
      </c>
      <c r="P1049" s="22">
        <v>0</v>
      </c>
      <c r="Q1049" s="23"/>
      <c r="R1049" s="23"/>
      <c r="S1049" s="23"/>
      <c r="Y1049" s="23"/>
      <c r="Z1049" s="22">
        <v>137</v>
      </c>
      <c r="AA1049" s="3" t="str">
        <f t="shared" si="9"/>
        <v>ANO_0212_55_T4-C1_vm</v>
      </c>
      <c r="AB1049" s="3" t="str">
        <f t="shared" si="8"/>
        <v>ANO_0212_55_T4-C1_vm_1</v>
      </c>
    </row>
    <row r="1050" spans="1:28" ht="14">
      <c r="A1050" s="3">
        <v>1049</v>
      </c>
      <c r="B1050" s="23"/>
      <c r="C1050" s="23"/>
      <c r="D1050" s="23"/>
      <c r="E1050" s="23"/>
      <c r="F1050" s="23"/>
      <c r="G1050" s="23"/>
      <c r="H1050" s="23"/>
      <c r="I1050" s="22">
        <v>2</v>
      </c>
      <c r="J1050" s="23"/>
      <c r="K1050" s="23"/>
      <c r="L1050" s="23"/>
      <c r="M1050" s="23" t="s">
        <v>38</v>
      </c>
      <c r="N1050" s="22">
        <v>5.8</v>
      </c>
      <c r="O1050" s="22">
        <v>0</v>
      </c>
      <c r="P1050" s="22">
        <v>6</v>
      </c>
      <c r="Q1050" s="23"/>
      <c r="R1050" s="22">
        <v>2</v>
      </c>
      <c r="S1050" s="23"/>
      <c r="Y1050" s="23"/>
      <c r="Z1050" s="23"/>
      <c r="AA1050" s="3" t="str">
        <f t="shared" si="9"/>
        <v>___</v>
      </c>
      <c r="AB1050" s="3" t="str">
        <f t="shared" si="8"/>
        <v>____2</v>
      </c>
    </row>
    <row r="1051" spans="1:28" ht="14">
      <c r="A1051" s="3">
        <v>1050</v>
      </c>
      <c r="B1051" s="23"/>
      <c r="C1051" s="23"/>
      <c r="D1051" s="23"/>
      <c r="E1051" s="23"/>
      <c r="F1051" s="23"/>
      <c r="G1051" s="23"/>
      <c r="H1051" s="23"/>
      <c r="I1051" s="22">
        <v>3</v>
      </c>
      <c r="J1051" s="23"/>
      <c r="K1051" s="23"/>
      <c r="L1051" s="23"/>
      <c r="M1051" s="23" t="s">
        <v>39</v>
      </c>
      <c r="N1051" s="22">
        <v>4.0999999999999996</v>
      </c>
      <c r="O1051" s="22">
        <v>0</v>
      </c>
      <c r="P1051" s="22">
        <v>4</v>
      </c>
      <c r="Q1051" s="23"/>
      <c r="R1051" s="22">
        <v>3</v>
      </c>
      <c r="S1051" s="23"/>
      <c r="Y1051" s="23"/>
      <c r="Z1051" s="23"/>
      <c r="AA1051" s="3" t="str">
        <f t="shared" si="9"/>
        <v>___</v>
      </c>
      <c r="AB1051" s="3" t="str">
        <f t="shared" si="8"/>
        <v>____3</v>
      </c>
    </row>
    <row r="1052" spans="1:28" ht="14">
      <c r="A1052" s="3">
        <v>1051</v>
      </c>
      <c r="B1052" s="22" t="s">
        <v>142</v>
      </c>
      <c r="C1052" s="23" t="s">
        <v>143</v>
      </c>
      <c r="D1052" s="22">
        <v>55</v>
      </c>
      <c r="E1052" s="23" t="s">
        <v>134</v>
      </c>
      <c r="F1052" s="23" t="s">
        <v>135</v>
      </c>
      <c r="G1052" s="23" t="s">
        <v>136</v>
      </c>
      <c r="H1052" s="23" t="s">
        <v>40</v>
      </c>
      <c r="I1052" s="22">
        <v>1</v>
      </c>
      <c r="J1052" s="22">
        <v>31</v>
      </c>
      <c r="K1052" s="22">
        <v>36.799999999999997</v>
      </c>
      <c r="L1052" s="22">
        <v>6</v>
      </c>
      <c r="M1052" s="23" t="s">
        <v>36</v>
      </c>
      <c r="N1052" s="22">
        <v>8.1</v>
      </c>
      <c r="O1052" s="22">
        <v>8</v>
      </c>
      <c r="P1052" s="22">
        <v>1</v>
      </c>
      <c r="Q1052" s="23"/>
      <c r="R1052" s="23"/>
      <c r="S1052" s="23"/>
      <c r="Y1052" s="23"/>
      <c r="Z1052" s="22">
        <v>138</v>
      </c>
      <c r="AA1052" s="3" t="str">
        <f t="shared" si="9"/>
        <v>ANO_0212_55_T4-C1_vm</v>
      </c>
      <c r="AB1052" s="3" t="str">
        <f t="shared" si="8"/>
        <v>ANO_0212_55_T4-C1_vm_1</v>
      </c>
    </row>
    <row r="1053" spans="1:28" ht="14">
      <c r="A1053" s="3">
        <v>1052</v>
      </c>
      <c r="B1053" s="23"/>
      <c r="C1053" s="23"/>
      <c r="D1053" s="23"/>
      <c r="E1053" s="23"/>
      <c r="F1053" s="23"/>
      <c r="G1053" s="23"/>
      <c r="H1053" s="23"/>
      <c r="I1053" s="22">
        <v>2</v>
      </c>
      <c r="J1053" s="23"/>
      <c r="K1053" s="23"/>
      <c r="L1053" s="23"/>
      <c r="M1053" s="23" t="s">
        <v>38</v>
      </c>
      <c r="N1053" s="22">
        <v>9.6</v>
      </c>
      <c r="O1053" s="22">
        <v>0</v>
      </c>
      <c r="P1053" s="22">
        <v>3</v>
      </c>
      <c r="Q1053" s="23"/>
      <c r="R1053" s="22">
        <v>4</v>
      </c>
      <c r="S1053" s="23"/>
      <c r="Y1053" s="23"/>
      <c r="Z1053" s="23"/>
      <c r="AA1053" s="3" t="str">
        <f t="shared" si="9"/>
        <v>___</v>
      </c>
      <c r="AB1053" s="3" t="str">
        <f t="shared" si="8"/>
        <v>____2</v>
      </c>
    </row>
    <row r="1054" spans="1:28" ht="14">
      <c r="A1054" s="3">
        <v>1053</v>
      </c>
      <c r="B1054" s="23"/>
      <c r="C1054" s="23"/>
      <c r="D1054" s="23"/>
      <c r="E1054" s="23"/>
      <c r="F1054" s="23"/>
      <c r="G1054" s="23"/>
      <c r="H1054" s="23"/>
      <c r="I1054" s="22">
        <v>3</v>
      </c>
      <c r="J1054" s="23"/>
      <c r="K1054" s="23"/>
      <c r="L1054" s="23"/>
      <c r="M1054" s="23" t="s">
        <v>39</v>
      </c>
      <c r="N1054" s="22">
        <v>4.7</v>
      </c>
      <c r="O1054" s="22">
        <v>0</v>
      </c>
      <c r="P1054" s="22">
        <v>4</v>
      </c>
      <c r="Q1054" s="23"/>
      <c r="R1054" s="22">
        <v>1</v>
      </c>
      <c r="S1054" s="23"/>
      <c r="Y1054" s="23"/>
      <c r="Z1054" s="23"/>
      <c r="AA1054" s="3" t="str">
        <f t="shared" si="9"/>
        <v>___</v>
      </c>
      <c r="AB1054" s="3" t="str">
        <f t="shared" si="8"/>
        <v>____3</v>
      </c>
    </row>
    <row r="1055" spans="1:28" ht="14">
      <c r="A1055" s="3">
        <v>1054</v>
      </c>
      <c r="B1055" s="22" t="s">
        <v>142</v>
      </c>
      <c r="C1055" s="23" t="s">
        <v>143</v>
      </c>
      <c r="D1055" s="22">
        <v>55</v>
      </c>
      <c r="E1055" s="23" t="s">
        <v>134</v>
      </c>
      <c r="F1055" s="23" t="s">
        <v>135</v>
      </c>
      <c r="G1055" s="23" t="s">
        <v>136</v>
      </c>
      <c r="H1055" s="23" t="s">
        <v>35</v>
      </c>
      <c r="I1055" s="22">
        <v>1</v>
      </c>
      <c r="J1055" s="22">
        <v>17</v>
      </c>
      <c r="K1055" s="22">
        <v>20.3</v>
      </c>
      <c r="L1055" s="22">
        <v>6</v>
      </c>
      <c r="M1055" s="23" t="s">
        <v>36</v>
      </c>
      <c r="N1055" s="22">
        <v>2.4</v>
      </c>
      <c r="O1055" s="22">
        <v>10</v>
      </c>
      <c r="P1055" s="22">
        <v>0</v>
      </c>
      <c r="Q1055" s="23"/>
      <c r="R1055" s="23"/>
      <c r="S1055" s="23"/>
      <c r="Y1055" s="23"/>
      <c r="Z1055" s="22">
        <v>139</v>
      </c>
      <c r="AA1055" s="3" t="str">
        <f t="shared" si="9"/>
        <v>ANO_0212_55_T4-C1_vv</v>
      </c>
      <c r="AB1055" s="3" t="str">
        <f t="shared" si="8"/>
        <v>ANO_0212_55_T4-C1_vv_1</v>
      </c>
    </row>
    <row r="1056" spans="1:28" ht="14">
      <c r="A1056" s="3">
        <v>1055</v>
      </c>
      <c r="B1056" s="23"/>
      <c r="C1056" s="23"/>
      <c r="D1056" s="23"/>
      <c r="E1056" s="23"/>
      <c r="F1056" s="23"/>
      <c r="G1056" s="23"/>
      <c r="H1056" s="23"/>
      <c r="I1056" s="22">
        <v>2</v>
      </c>
      <c r="J1056" s="23"/>
      <c r="K1056" s="23"/>
      <c r="L1056" s="23"/>
      <c r="M1056" s="23" t="s">
        <v>38</v>
      </c>
      <c r="N1056" s="22">
        <v>6</v>
      </c>
      <c r="O1056" s="22">
        <v>7</v>
      </c>
      <c r="P1056" s="22">
        <v>5</v>
      </c>
      <c r="Q1056" s="23"/>
      <c r="R1056" s="23"/>
      <c r="S1056" s="23"/>
      <c r="Y1056" s="23"/>
      <c r="Z1056" s="23"/>
      <c r="AA1056" s="3" t="str">
        <f t="shared" si="9"/>
        <v>___</v>
      </c>
      <c r="AB1056" s="3" t="str">
        <f t="shared" si="8"/>
        <v>____2</v>
      </c>
    </row>
    <row r="1057" spans="1:28" ht="14">
      <c r="A1057" s="3">
        <v>1056</v>
      </c>
      <c r="B1057" s="23"/>
      <c r="C1057" s="23"/>
      <c r="D1057" s="23"/>
      <c r="E1057" s="23"/>
      <c r="F1057" s="23"/>
      <c r="G1057" s="23"/>
      <c r="H1057" s="23"/>
      <c r="I1057" s="22">
        <v>3</v>
      </c>
      <c r="J1057" s="23"/>
      <c r="K1057" s="23"/>
      <c r="L1057" s="23"/>
      <c r="M1057" s="23" t="s">
        <v>39</v>
      </c>
      <c r="N1057" s="22">
        <v>6.4</v>
      </c>
      <c r="O1057" s="22">
        <v>3</v>
      </c>
      <c r="P1057" s="22">
        <v>8</v>
      </c>
      <c r="Q1057" s="23"/>
      <c r="R1057" s="22">
        <v>1</v>
      </c>
      <c r="S1057" s="23"/>
      <c r="Y1057" s="23"/>
      <c r="Z1057" s="23"/>
      <c r="AA1057" s="3" t="str">
        <f t="shared" si="9"/>
        <v>___</v>
      </c>
      <c r="AB1057" s="3" t="str">
        <f t="shared" si="8"/>
        <v>____3</v>
      </c>
    </row>
    <row r="1058" spans="1:28" ht="14">
      <c r="A1058" s="3">
        <v>1057</v>
      </c>
      <c r="B1058" s="22" t="s">
        <v>142</v>
      </c>
      <c r="C1058" s="23" t="s">
        <v>143</v>
      </c>
      <c r="D1058" s="22">
        <v>55</v>
      </c>
      <c r="E1058" s="23" t="s">
        <v>134</v>
      </c>
      <c r="F1058" s="23" t="s">
        <v>135</v>
      </c>
      <c r="G1058" s="23" t="s">
        <v>136</v>
      </c>
      <c r="H1058" s="23" t="s">
        <v>35</v>
      </c>
      <c r="I1058" s="22">
        <v>1</v>
      </c>
      <c r="J1058" s="22">
        <v>16</v>
      </c>
      <c r="K1058" s="22">
        <v>20.8</v>
      </c>
      <c r="L1058" s="22">
        <v>5</v>
      </c>
      <c r="M1058" s="23" t="s">
        <v>36</v>
      </c>
      <c r="N1058" s="22">
        <v>2.4</v>
      </c>
      <c r="O1058" s="22">
        <v>9</v>
      </c>
      <c r="P1058" s="22">
        <v>1</v>
      </c>
      <c r="Q1058" s="23"/>
      <c r="R1058" s="23"/>
      <c r="S1058" s="23"/>
      <c r="Y1058" s="23"/>
      <c r="Z1058" s="22">
        <v>140</v>
      </c>
      <c r="AA1058" s="3" t="str">
        <f t="shared" si="9"/>
        <v>ANO_0212_55_T4-C1_vv</v>
      </c>
      <c r="AB1058" s="3" t="str">
        <f t="shared" si="8"/>
        <v>ANO_0212_55_T4-C1_vv_1</v>
      </c>
    </row>
    <row r="1059" spans="1:28" ht="14">
      <c r="A1059" s="3">
        <v>1058</v>
      </c>
      <c r="B1059" s="23"/>
      <c r="C1059" s="23"/>
      <c r="D1059" s="23"/>
      <c r="E1059" s="23"/>
      <c r="F1059" s="23"/>
      <c r="G1059" s="23"/>
      <c r="H1059" s="23"/>
      <c r="I1059" s="22">
        <v>2</v>
      </c>
      <c r="J1059" s="23"/>
      <c r="K1059" s="23"/>
      <c r="L1059" s="23"/>
      <c r="M1059" s="23" t="s">
        <v>38</v>
      </c>
      <c r="N1059" s="22">
        <v>4.2</v>
      </c>
      <c r="O1059" s="22">
        <v>5</v>
      </c>
      <c r="P1059" s="22">
        <v>5</v>
      </c>
      <c r="Q1059" s="23"/>
      <c r="R1059" s="23"/>
      <c r="S1059" s="23"/>
      <c r="Y1059" s="23"/>
      <c r="Z1059" s="23"/>
      <c r="AA1059" s="3" t="str">
        <f t="shared" si="9"/>
        <v>___</v>
      </c>
      <c r="AB1059" s="3" t="str">
        <f t="shared" si="8"/>
        <v>____2</v>
      </c>
    </row>
    <row r="1060" spans="1:28" ht="14">
      <c r="A1060" s="3">
        <v>1059</v>
      </c>
      <c r="B1060" s="23"/>
      <c r="C1060" s="23"/>
      <c r="D1060" s="23"/>
      <c r="E1060" s="23"/>
      <c r="F1060" s="23"/>
      <c r="G1060" s="23"/>
      <c r="H1060" s="23"/>
      <c r="I1060" s="22">
        <v>3</v>
      </c>
      <c r="J1060" s="23"/>
      <c r="K1060" s="23"/>
      <c r="L1060" s="23"/>
      <c r="M1060" s="23" t="s">
        <v>39</v>
      </c>
      <c r="N1060" s="22">
        <v>7.5</v>
      </c>
      <c r="O1060" s="22">
        <v>0</v>
      </c>
      <c r="P1060" s="22">
        <v>12</v>
      </c>
      <c r="Q1060" s="23"/>
      <c r="R1060" s="23"/>
      <c r="S1060" s="23"/>
      <c r="Y1060" s="23"/>
      <c r="Z1060" s="23"/>
      <c r="AA1060" s="3" t="str">
        <f t="shared" si="9"/>
        <v>___</v>
      </c>
      <c r="AB1060" s="3" t="str">
        <f t="shared" si="8"/>
        <v>____3</v>
      </c>
    </row>
    <row r="1061" spans="1:28" ht="14">
      <c r="A1061" s="3">
        <v>1060</v>
      </c>
      <c r="B1061" s="22" t="s">
        <v>142</v>
      </c>
      <c r="C1061" s="23" t="s">
        <v>143</v>
      </c>
      <c r="D1061" s="22">
        <v>55</v>
      </c>
      <c r="E1061" s="23" t="s">
        <v>134</v>
      </c>
      <c r="F1061" s="23" t="s">
        <v>135</v>
      </c>
      <c r="G1061" s="23" t="s">
        <v>136</v>
      </c>
      <c r="H1061" s="23" t="s">
        <v>35</v>
      </c>
      <c r="I1061" s="22">
        <v>1</v>
      </c>
      <c r="J1061" s="22">
        <v>20</v>
      </c>
      <c r="K1061" s="22">
        <v>24.8</v>
      </c>
      <c r="L1061" s="22">
        <v>4</v>
      </c>
      <c r="M1061" s="23" t="s">
        <v>36</v>
      </c>
      <c r="N1061" s="22">
        <v>3</v>
      </c>
      <c r="O1061" s="22">
        <v>9</v>
      </c>
      <c r="P1061" s="22">
        <v>1</v>
      </c>
      <c r="Q1061" s="23"/>
      <c r="R1061" s="23"/>
      <c r="S1061" s="23"/>
      <c r="Y1061" s="23"/>
      <c r="Z1061" s="22">
        <v>141</v>
      </c>
      <c r="AA1061" s="3" t="str">
        <f t="shared" si="9"/>
        <v>ANO_0212_55_T4-C1_vv</v>
      </c>
      <c r="AB1061" s="3" t="str">
        <f t="shared" si="8"/>
        <v>ANO_0212_55_T4-C1_vv_1</v>
      </c>
    </row>
    <row r="1062" spans="1:28" ht="14">
      <c r="A1062" s="3">
        <v>1061</v>
      </c>
      <c r="B1062" s="23"/>
      <c r="C1062" s="23"/>
      <c r="D1062" s="23"/>
      <c r="E1062" s="23"/>
      <c r="F1062" s="23"/>
      <c r="G1062" s="23"/>
      <c r="H1062" s="23"/>
      <c r="I1062" s="22">
        <v>2</v>
      </c>
      <c r="J1062" s="23"/>
      <c r="K1062" s="23"/>
      <c r="L1062" s="23"/>
      <c r="M1062" s="23" t="s">
        <v>38</v>
      </c>
      <c r="N1062" s="22">
        <v>3.9</v>
      </c>
      <c r="O1062" s="22">
        <v>6</v>
      </c>
      <c r="P1062" s="22">
        <v>5</v>
      </c>
      <c r="Q1062" s="23"/>
      <c r="R1062" s="23"/>
      <c r="S1062" s="23"/>
      <c r="Y1062" s="23"/>
      <c r="Z1062" s="23"/>
      <c r="AA1062" s="3" t="str">
        <f t="shared" si="9"/>
        <v>___</v>
      </c>
      <c r="AB1062" s="3" t="str">
        <f t="shared" si="8"/>
        <v>____2</v>
      </c>
    </row>
    <row r="1063" spans="1:28" ht="14">
      <c r="A1063" s="3">
        <v>1062</v>
      </c>
      <c r="B1063" s="23"/>
      <c r="C1063" s="23"/>
      <c r="D1063" s="23"/>
      <c r="E1063" s="23"/>
      <c r="F1063" s="23"/>
      <c r="G1063" s="23"/>
      <c r="H1063" s="23"/>
      <c r="I1063" s="22">
        <v>3</v>
      </c>
      <c r="J1063" s="23"/>
      <c r="K1063" s="23"/>
      <c r="L1063" s="23"/>
      <c r="M1063" s="23" t="s">
        <v>39</v>
      </c>
      <c r="N1063" s="22">
        <v>5.9</v>
      </c>
      <c r="O1063" s="22">
        <v>0</v>
      </c>
      <c r="P1063" s="22">
        <v>13</v>
      </c>
      <c r="Q1063" s="23"/>
      <c r="R1063" s="23"/>
      <c r="S1063" s="23"/>
      <c r="Y1063" s="23"/>
      <c r="Z1063" s="23"/>
      <c r="AA1063" s="3" t="str">
        <f t="shared" si="9"/>
        <v>___</v>
      </c>
      <c r="AB1063" s="3" t="str">
        <f t="shared" si="8"/>
        <v>____3</v>
      </c>
    </row>
    <row r="1064" spans="1:28" ht="14">
      <c r="A1064" s="3">
        <v>1063</v>
      </c>
      <c r="B1064" s="22" t="s">
        <v>142</v>
      </c>
      <c r="C1064" s="23" t="s">
        <v>143</v>
      </c>
      <c r="D1064" s="22">
        <v>51</v>
      </c>
      <c r="E1064" s="23" t="s">
        <v>134</v>
      </c>
      <c r="F1064" s="23" t="s">
        <v>135</v>
      </c>
      <c r="G1064" s="23" t="s">
        <v>147</v>
      </c>
      <c r="H1064" s="23" t="s">
        <v>40</v>
      </c>
      <c r="I1064" s="22">
        <v>1</v>
      </c>
      <c r="J1064" s="22">
        <v>26</v>
      </c>
      <c r="K1064" s="22">
        <v>28.3</v>
      </c>
      <c r="L1064" s="22">
        <v>6</v>
      </c>
      <c r="M1064" s="23" t="s">
        <v>36</v>
      </c>
      <c r="N1064" s="22">
        <v>8.1</v>
      </c>
      <c r="O1064" s="22">
        <v>8</v>
      </c>
      <c r="P1064" s="22">
        <v>0</v>
      </c>
      <c r="Q1064" s="23"/>
      <c r="R1064" s="23"/>
      <c r="S1064" s="23"/>
      <c r="Y1064" s="23"/>
      <c r="Z1064" s="22">
        <v>142</v>
      </c>
      <c r="AA1064" s="3" t="str">
        <f t="shared" si="9"/>
        <v>ANO_0212_51_T4-C5_vm</v>
      </c>
      <c r="AB1064" s="3" t="str">
        <f t="shared" si="8"/>
        <v>ANO_0212_51_T4-C5_vm_1</v>
      </c>
    </row>
    <row r="1065" spans="1:28" ht="14">
      <c r="A1065" s="3">
        <v>1064</v>
      </c>
      <c r="B1065" s="23"/>
      <c r="C1065" s="23"/>
      <c r="D1065" s="23"/>
      <c r="E1065" s="23"/>
      <c r="F1065" s="23"/>
      <c r="G1065" s="23"/>
      <c r="H1065" s="23"/>
      <c r="I1065" s="22">
        <v>2</v>
      </c>
      <c r="J1065" s="23"/>
      <c r="K1065" s="23"/>
      <c r="L1065" s="23"/>
      <c r="M1065" s="23" t="s">
        <v>38</v>
      </c>
      <c r="N1065" s="22">
        <v>11.1</v>
      </c>
      <c r="O1065" s="22">
        <v>0</v>
      </c>
      <c r="P1065" s="22">
        <v>7</v>
      </c>
      <c r="Q1065" s="23"/>
      <c r="R1065" s="22">
        <v>3</v>
      </c>
      <c r="S1065" s="23"/>
      <c r="Y1065" s="23"/>
      <c r="Z1065" s="23"/>
      <c r="AA1065" s="3" t="str">
        <f t="shared" si="9"/>
        <v>___</v>
      </c>
      <c r="AB1065" s="3" t="str">
        <f t="shared" si="8"/>
        <v>____2</v>
      </c>
    </row>
    <row r="1066" spans="1:28" ht="14">
      <c r="A1066" s="3">
        <v>1065</v>
      </c>
      <c r="B1066" s="23"/>
      <c r="C1066" s="23"/>
      <c r="D1066" s="23"/>
      <c r="E1066" s="23"/>
      <c r="F1066" s="23"/>
      <c r="G1066" s="23"/>
      <c r="H1066" s="23"/>
      <c r="I1066" s="22">
        <v>3</v>
      </c>
      <c r="J1066" s="23"/>
      <c r="K1066" s="23"/>
      <c r="L1066" s="23"/>
      <c r="M1066" s="23" t="s">
        <v>39</v>
      </c>
      <c r="N1066" s="22">
        <v>7.6</v>
      </c>
      <c r="O1066" s="22">
        <v>0</v>
      </c>
      <c r="P1066" s="22">
        <v>8</v>
      </c>
      <c r="Q1066" s="23"/>
      <c r="R1066" s="23"/>
      <c r="S1066" s="23"/>
      <c r="Y1066" s="23"/>
      <c r="Z1066" s="23"/>
      <c r="AA1066" s="3" t="str">
        <f t="shared" si="9"/>
        <v>___</v>
      </c>
      <c r="AB1066" s="3" t="str">
        <f t="shared" si="8"/>
        <v>____3</v>
      </c>
    </row>
    <row r="1067" spans="1:28" ht="14">
      <c r="A1067" s="3">
        <v>1066</v>
      </c>
      <c r="B1067" s="22" t="s">
        <v>142</v>
      </c>
      <c r="C1067" s="23" t="s">
        <v>143</v>
      </c>
      <c r="D1067" s="22">
        <v>51</v>
      </c>
      <c r="E1067" s="23" t="s">
        <v>134</v>
      </c>
      <c r="F1067" s="23" t="s">
        <v>135</v>
      </c>
      <c r="G1067" s="23" t="s">
        <v>147</v>
      </c>
      <c r="H1067" s="23" t="s">
        <v>40</v>
      </c>
      <c r="I1067" s="22">
        <v>1</v>
      </c>
      <c r="J1067" s="22">
        <v>19.5</v>
      </c>
      <c r="K1067" s="22">
        <v>27</v>
      </c>
      <c r="L1067" s="22">
        <v>4</v>
      </c>
      <c r="M1067" s="23" t="s">
        <v>36</v>
      </c>
      <c r="N1067" s="22">
        <v>8.6999999999999993</v>
      </c>
      <c r="O1067" s="22">
        <v>8</v>
      </c>
      <c r="P1067" s="22">
        <v>0</v>
      </c>
      <c r="Q1067" s="23"/>
      <c r="R1067" s="23"/>
      <c r="S1067" s="23"/>
      <c r="Y1067" s="23"/>
      <c r="Z1067" s="22">
        <v>143</v>
      </c>
      <c r="AA1067" s="3" t="str">
        <f t="shared" si="9"/>
        <v>ANO_0212_51_T4-C5_vm</v>
      </c>
      <c r="AB1067" s="3" t="str">
        <f t="shared" si="8"/>
        <v>ANO_0212_51_T4-C5_vm_1</v>
      </c>
    </row>
    <row r="1068" spans="1:28" ht="14">
      <c r="A1068" s="3">
        <v>1067</v>
      </c>
      <c r="B1068" s="23"/>
      <c r="C1068" s="23"/>
      <c r="D1068" s="23"/>
      <c r="E1068" s="23"/>
      <c r="F1068" s="23"/>
      <c r="G1068" s="23"/>
      <c r="H1068" s="23"/>
      <c r="I1068" s="22">
        <v>2</v>
      </c>
      <c r="J1068" s="23"/>
      <c r="K1068" s="23"/>
      <c r="L1068" s="23"/>
      <c r="M1068" s="23" t="s">
        <v>38</v>
      </c>
      <c r="N1068" s="22">
        <v>10.5</v>
      </c>
      <c r="O1068" s="22">
        <v>5</v>
      </c>
      <c r="P1068" s="22">
        <v>4</v>
      </c>
      <c r="Q1068" s="23"/>
      <c r="R1068" s="22">
        <v>1</v>
      </c>
      <c r="S1068" s="23"/>
      <c r="Y1068" s="23"/>
      <c r="Z1068" s="23"/>
      <c r="AA1068" s="3" t="str">
        <f t="shared" si="9"/>
        <v>___</v>
      </c>
      <c r="AB1068" s="3" t="str">
        <f t="shared" si="8"/>
        <v>____2</v>
      </c>
    </row>
    <row r="1069" spans="1:28" ht="14">
      <c r="A1069" s="3">
        <v>1068</v>
      </c>
      <c r="B1069" s="23"/>
      <c r="C1069" s="23"/>
      <c r="D1069" s="23"/>
      <c r="E1069" s="23"/>
      <c r="F1069" s="23"/>
      <c r="G1069" s="23"/>
      <c r="H1069" s="23"/>
      <c r="I1069" s="22">
        <v>3</v>
      </c>
      <c r="J1069" s="23"/>
      <c r="K1069" s="23"/>
      <c r="L1069" s="23"/>
      <c r="M1069" s="23" t="s">
        <v>39</v>
      </c>
      <c r="N1069" s="22">
        <v>7.3</v>
      </c>
      <c r="O1069" s="22">
        <v>0</v>
      </c>
      <c r="P1069" s="22">
        <v>6</v>
      </c>
      <c r="Q1069" s="23"/>
      <c r="R1069" s="22">
        <v>2</v>
      </c>
      <c r="S1069" s="23"/>
      <c r="Y1069" s="23"/>
      <c r="Z1069" s="23"/>
      <c r="AA1069" s="3" t="str">
        <f t="shared" si="9"/>
        <v>___</v>
      </c>
      <c r="AB1069" s="3" t="str">
        <f t="shared" si="8"/>
        <v>____3</v>
      </c>
    </row>
    <row r="1070" spans="1:28" ht="14">
      <c r="A1070" s="3">
        <v>1069</v>
      </c>
      <c r="B1070" s="22" t="s">
        <v>142</v>
      </c>
      <c r="C1070" s="23" t="s">
        <v>143</v>
      </c>
      <c r="D1070" s="22">
        <v>51</v>
      </c>
      <c r="E1070" s="23" t="s">
        <v>134</v>
      </c>
      <c r="F1070" s="23" t="s">
        <v>135</v>
      </c>
      <c r="G1070" s="23" t="s">
        <v>147</v>
      </c>
      <c r="H1070" s="23" t="s">
        <v>40</v>
      </c>
      <c r="I1070" s="22">
        <v>1</v>
      </c>
      <c r="J1070" s="22">
        <v>31</v>
      </c>
      <c r="K1070" s="22">
        <v>37.200000000000003</v>
      </c>
      <c r="L1070" s="22">
        <v>4</v>
      </c>
      <c r="M1070" s="23" t="s">
        <v>36</v>
      </c>
      <c r="N1070" s="22">
        <v>2.8</v>
      </c>
      <c r="O1070" s="22">
        <v>3</v>
      </c>
      <c r="P1070" s="22">
        <v>1</v>
      </c>
      <c r="Q1070" s="23"/>
      <c r="R1070" s="23"/>
      <c r="S1070" s="23"/>
      <c r="Y1070" s="23"/>
      <c r="Z1070" s="22">
        <v>144</v>
      </c>
      <c r="AA1070" s="3" t="str">
        <f t="shared" si="9"/>
        <v>ANO_0212_51_T4-C5_vm</v>
      </c>
      <c r="AB1070" s="3" t="str">
        <f t="shared" si="8"/>
        <v>ANO_0212_51_T4-C5_vm_1</v>
      </c>
    </row>
    <row r="1071" spans="1:28" ht="14">
      <c r="A1071" s="3">
        <v>1070</v>
      </c>
      <c r="B1071" s="23"/>
      <c r="C1071" s="23"/>
      <c r="D1071" s="23"/>
      <c r="E1071" s="23"/>
      <c r="F1071" s="23"/>
      <c r="G1071" s="23"/>
      <c r="H1071" s="23"/>
      <c r="I1071" s="22">
        <v>2</v>
      </c>
      <c r="J1071" s="23"/>
      <c r="K1071" s="23"/>
      <c r="L1071" s="23"/>
      <c r="M1071" s="23" t="s">
        <v>38</v>
      </c>
      <c r="N1071" s="22">
        <v>7.8</v>
      </c>
      <c r="O1071" s="22">
        <v>4</v>
      </c>
      <c r="P1071" s="22">
        <v>3</v>
      </c>
      <c r="Q1071" s="23"/>
      <c r="R1071" s="22">
        <v>1</v>
      </c>
      <c r="S1071" s="23"/>
      <c r="Y1071" s="23"/>
      <c r="Z1071" s="23"/>
      <c r="AA1071" s="3" t="str">
        <f t="shared" si="9"/>
        <v>___</v>
      </c>
      <c r="AB1071" s="3" t="str">
        <f t="shared" si="8"/>
        <v>____2</v>
      </c>
    </row>
    <row r="1072" spans="1:28" ht="14">
      <c r="A1072" s="3">
        <v>1071</v>
      </c>
      <c r="B1072" s="23"/>
      <c r="C1072" s="23"/>
      <c r="D1072" s="23"/>
      <c r="E1072" s="23"/>
      <c r="F1072" s="23"/>
      <c r="G1072" s="23"/>
      <c r="H1072" s="23"/>
      <c r="I1072" s="22">
        <v>3</v>
      </c>
      <c r="J1072" s="23"/>
      <c r="K1072" s="23"/>
      <c r="L1072" s="23"/>
      <c r="M1072" s="23" t="s">
        <v>39</v>
      </c>
      <c r="N1072" s="22">
        <v>11.5</v>
      </c>
      <c r="O1072" s="22">
        <v>0</v>
      </c>
      <c r="P1072" s="22">
        <v>2</v>
      </c>
      <c r="Q1072" s="23"/>
      <c r="R1072" s="22">
        <v>7</v>
      </c>
      <c r="S1072" s="23"/>
      <c r="Y1072" s="23"/>
      <c r="Z1072" s="23"/>
      <c r="AA1072" s="3" t="str">
        <f t="shared" si="9"/>
        <v>___</v>
      </c>
      <c r="AB1072" s="3" t="str">
        <f t="shared" si="8"/>
        <v>____3</v>
      </c>
    </row>
    <row r="1073" spans="1:28" ht="14">
      <c r="A1073" s="3">
        <v>1072</v>
      </c>
      <c r="B1073" s="22" t="s">
        <v>142</v>
      </c>
      <c r="C1073" s="23" t="s">
        <v>143</v>
      </c>
      <c r="D1073" s="22">
        <v>51</v>
      </c>
      <c r="E1073" s="23" t="s">
        <v>134</v>
      </c>
      <c r="F1073" s="23" t="s">
        <v>135</v>
      </c>
      <c r="G1073" s="23" t="s">
        <v>147</v>
      </c>
      <c r="H1073" s="23" t="s">
        <v>35</v>
      </c>
      <c r="I1073" s="22">
        <v>1</v>
      </c>
      <c r="J1073" s="22">
        <v>12.5</v>
      </c>
      <c r="K1073" s="22">
        <v>14</v>
      </c>
      <c r="L1073" s="22">
        <v>6</v>
      </c>
      <c r="M1073" s="23" t="s">
        <v>36</v>
      </c>
      <c r="N1073" s="22">
        <v>4.3</v>
      </c>
      <c r="O1073" s="22">
        <v>14</v>
      </c>
      <c r="P1073" s="22">
        <v>1</v>
      </c>
      <c r="Q1073" s="23"/>
      <c r="R1073" s="23"/>
      <c r="S1073" s="23"/>
      <c r="Y1073" s="23"/>
      <c r="Z1073" s="22">
        <v>145</v>
      </c>
      <c r="AA1073" s="3" t="str">
        <f t="shared" si="9"/>
        <v>ANO_0212_51_T4-C5_vv</v>
      </c>
      <c r="AB1073" s="3" t="str">
        <f t="shared" si="8"/>
        <v>ANO_0212_51_T4-C5_vv_1</v>
      </c>
    </row>
    <row r="1074" spans="1:28" ht="14">
      <c r="A1074" s="3">
        <v>1073</v>
      </c>
      <c r="B1074" s="23"/>
      <c r="C1074" s="23"/>
      <c r="D1074" s="23"/>
      <c r="E1074" s="23"/>
      <c r="F1074" s="23"/>
      <c r="G1074" s="23"/>
      <c r="H1074" s="23"/>
      <c r="I1074" s="22">
        <v>2</v>
      </c>
      <c r="J1074" s="23"/>
      <c r="K1074" s="23"/>
      <c r="L1074" s="23"/>
      <c r="M1074" s="23" t="s">
        <v>38</v>
      </c>
      <c r="N1074" s="22">
        <v>6</v>
      </c>
      <c r="O1074" s="22">
        <v>10</v>
      </c>
      <c r="P1074" s="22">
        <v>3</v>
      </c>
      <c r="Q1074" s="23"/>
      <c r="R1074" s="23"/>
      <c r="S1074" s="23"/>
      <c r="Y1074" s="23"/>
      <c r="Z1074" s="23"/>
      <c r="AA1074" s="3" t="str">
        <f t="shared" si="9"/>
        <v>___</v>
      </c>
      <c r="AB1074" s="3" t="str">
        <f t="shared" si="8"/>
        <v>____2</v>
      </c>
    </row>
    <row r="1075" spans="1:28" ht="14">
      <c r="A1075" s="3">
        <v>1074</v>
      </c>
      <c r="B1075" s="23"/>
      <c r="C1075" s="23"/>
      <c r="D1075" s="23"/>
      <c r="E1075" s="23"/>
      <c r="F1075" s="23"/>
      <c r="G1075" s="23"/>
      <c r="H1075" s="23"/>
      <c r="I1075" s="22">
        <v>3</v>
      </c>
      <c r="J1075" s="23"/>
      <c r="K1075" s="23"/>
      <c r="L1075" s="23"/>
      <c r="M1075" s="23" t="s">
        <v>39</v>
      </c>
      <c r="N1075" s="22">
        <v>4.7</v>
      </c>
      <c r="O1075" s="22">
        <v>3</v>
      </c>
      <c r="P1075" s="22">
        <v>3</v>
      </c>
      <c r="Q1075" s="23"/>
      <c r="R1075" s="22">
        <v>2</v>
      </c>
      <c r="S1075" s="23"/>
      <c r="Y1075" s="23"/>
      <c r="Z1075" s="23"/>
      <c r="AA1075" s="3" t="str">
        <f t="shared" si="9"/>
        <v>___</v>
      </c>
      <c r="AB1075" s="3" t="str">
        <f t="shared" si="8"/>
        <v>____3</v>
      </c>
    </row>
    <row r="1076" spans="1:28" ht="14">
      <c r="A1076" s="3">
        <v>1075</v>
      </c>
      <c r="B1076" s="22" t="s">
        <v>142</v>
      </c>
      <c r="C1076" s="23" t="s">
        <v>143</v>
      </c>
      <c r="D1076" s="22">
        <v>51</v>
      </c>
      <c r="E1076" s="23" t="s">
        <v>134</v>
      </c>
      <c r="F1076" s="23" t="s">
        <v>135</v>
      </c>
      <c r="G1076" s="23" t="s">
        <v>147</v>
      </c>
      <c r="H1076" s="23" t="s">
        <v>35</v>
      </c>
      <c r="I1076" s="22">
        <v>1</v>
      </c>
      <c r="J1076" s="22">
        <v>15</v>
      </c>
      <c r="K1076" s="22">
        <v>19.5</v>
      </c>
      <c r="L1076" s="22">
        <v>4</v>
      </c>
      <c r="M1076" s="23" t="s">
        <v>36</v>
      </c>
      <c r="N1076" s="22">
        <v>2.4</v>
      </c>
      <c r="O1076" s="22">
        <v>7</v>
      </c>
      <c r="P1076" s="22">
        <v>1</v>
      </c>
      <c r="Q1076" s="23"/>
      <c r="R1076" s="23"/>
      <c r="S1076" s="23"/>
      <c r="Y1076" s="23"/>
      <c r="Z1076" s="22">
        <v>146</v>
      </c>
      <c r="AA1076" s="3" t="str">
        <f t="shared" si="9"/>
        <v>ANO_0212_51_T4-C5_vv</v>
      </c>
      <c r="AB1076" s="3" t="str">
        <f t="shared" si="8"/>
        <v>ANO_0212_51_T4-C5_vv_1</v>
      </c>
    </row>
    <row r="1077" spans="1:28" ht="14">
      <c r="A1077" s="3">
        <v>1076</v>
      </c>
      <c r="B1077" s="23"/>
      <c r="C1077" s="23"/>
      <c r="D1077" s="23"/>
      <c r="E1077" s="23"/>
      <c r="F1077" s="23"/>
      <c r="G1077" s="23"/>
      <c r="H1077" s="23"/>
      <c r="I1077" s="22">
        <v>2</v>
      </c>
      <c r="J1077" s="23"/>
      <c r="K1077" s="23"/>
      <c r="L1077" s="23"/>
      <c r="M1077" s="23" t="s">
        <v>38</v>
      </c>
      <c r="N1077" s="22">
        <v>3.2</v>
      </c>
      <c r="O1077" s="22">
        <v>7</v>
      </c>
      <c r="P1077" s="22">
        <v>3</v>
      </c>
      <c r="Q1077" s="23"/>
      <c r="R1077" s="23"/>
      <c r="S1077" s="23"/>
      <c r="Y1077" s="23"/>
      <c r="Z1077" s="23"/>
      <c r="AA1077" s="3" t="str">
        <f t="shared" si="9"/>
        <v>___</v>
      </c>
      <c r="AB1077" s="3" t="str">
        <f t="shared" si="8"/>
        <v>____2</v>
      </c>
    </row>
    <row r="1078" spans="1:28" ht="14">
      <c r="A1078" s="3">
        <v>1077</v>
      </c>
      <c r="B1078" s="23"/>
      <c r="C1078" s="23"/>
      <c r="D1078" s="23"/>
      <c r="E1078" s="23"/>
      <c r="F1078" s="23"/>
      <c r="G1078" s="23"/>
      <c r="H1078" s="23"/>
      <c r="I1078" s="22">
        <v>3</v>
      </c>
      <c r="J1078" s="23"/>
      <c r="K1078" s="23"/>
      <c r="L1078" s="23"/>
      <c r="M1078" s="23" t="s">
        <v>39</v>
      </c>
      <c r="N1078" s="22">
        <v>4.3</v>
      </c>
      <c r="O1078" s="22">
        <v>8</v>
      </c>
      <c r="P1078" s="22">
        <v>2</v>
      </c>
      <c r="Q1078" s="23"/>
      <c r="R1078" s="23"/>
      <c r="S1078" s="23"/>
      <c r="Y1078" s="23"/>
      <c r="Z1078" s="23"/>
      <c r="AA1078" s="3" t="str">
        <f t="shared" si="9"/>
        <v>___</v>
      </c>
      <c r="AB1078" s="3" t="str">
        <f t="shared" si="8"/>
        <v>____3</v>
      </c>
    </row>
    <row r="1079" spans="1:28" ht="14">
      <c r="A1079" s="3">
        <v>1078</v>
      </c>
      <c r="B1079" s="22" t="s">
        <v>142</v>
      </c>
      <c r="C1079" s="23" t="s">
        <v>143</v>
      </c>
      <c r="D1079" s="22">
        <v>51</v>
      </c>
      <c r="E1079" s="23" t="s">
        <v>134</v>
      </c>
      <c r="F1079" s="23" t="s">
        <v>135</v>
      </c>
      <c r="G1079" s="23" t="s">
        <v>147</v>
      </c>
      <c r="H1079" s="23" t="s">
        <v>35</v>
      </c>
      <c r="I1079" s="22">
        <v>1</v>
      </c>
      <c r="J1079" s="22">
        <v>12</v>
      </c>
      <c r="K1079" s="22">
        <v>13.4</v>
      </c>
      <c r="L1079" s="22">
        <v>5</v>
      </c>
      <c r="M1079" s="23" t="s">
        <v>36</v>
      </c>
      <c r="N1079" s="22">
        <v>3.3</v>
      </c>
      <c r="O1079" s="22">
        <v>15</v>
      </c>
      <c r="P1079" s="22">
        <v>1</v>
      </c>
      <c r="Q1079" s="23"/>
      <c r="R1079" s="23"/>
      <c r="S1079" s="23"/>
      <c r="Y1079" s="23"/>
      <c r="Z1079" s="22">
        <v>147</v>
      </c>
      <c r="AA1079" s="3" t="str">
        <f t="shared" si="9"/>
        <v>ANO_0212_51_T4-C5_vv</v>
      </c>
      <c r="AB1079" s="3" t="str">
        <f t="shared" si="8"/>
        <v>ANO_0212_51_T4-C5_vv_1</v>
      </c>
    </row>
    <row r="1080" spans="1:28" ht="14">
      <c r="A1080" s="3">
        <v>1079</v>
      </c>
      <c r="B1080" s="23"/>
      <c r="C1080" s="23"/>
      <c r="D1080" s="23"/>
      <c r="E1080" s="23"/>
      <c r="F1080" s="23"/>
      <c r="G1080" s="23"/>
      <c r="H1080" s="23"/>
      <c r="I1080" s="22">
        <v>2</v>
      </c>
      <c r="J1080" s="23"/>
      <c r="K1080" s="23"/>
      <c r="L1080" s="23"/>
      <c r="M1080" s="23" t="s">
        <v>38</v>
      </c>
      <c r="N1080" s="22">
        <v>5</v>
      </c>
      <c r="O1080" s="22">
        <v>11</v>
      </c>
      <c r="P1080" s="22">
        <v>2</v>
      </c>
      <c r="Q1080" s="23"/>
      <c r="R1080" s="23"/>
      <c r="S1080" s="23"/>
      <c r="Y1080" s="23"/>
      <c r="Z1080" s="23"/>
      <c r="AA1080" s="3" t="str">
        <f t="shared" si="9"/>
        <v>___</v>
      </c>
      <c r="AB1080" s="3" t="str">
        <f t="shared" si="8"/>
        <v>____2</v>
      </c>
    </row>
    <row r="1081" spans="1:28" ht="14">
      <c r="A1081" s="3">
        <v>1080</v>
      </c>
      <c r="B1081" s="23"/>
      <c r="C1081" s="23"/>
      <c r="D1081" s="23"/>
      <c r="E1081" s="23"/>
      <c r="F1081" s="23"/>
      <c r="G1081" s="23"/>
      <c r="H1081" s="23"/>
      <c r="I1081" s="22">
        <v>3</v>
      </c>
      <c r="J1081" s="23"/>
      <c r="K1081" s="23"/>
      <c r="L1081" s="23"/>
      <c r="M1081" s="23" t="s">
        <v>39</v>
      </c>
      <c r="N1081" s="22">
        <v>4.7</v>
      </c>
      <c r="O1081" s="22">
        <v>0</v>
      </c>
      <c r="P1081" s="22">
        <v>9</v>
      </c>
      <c r="Q1081" s="23"/>
      <c r="R1081" s="23"/>
      <c r="S1081" s="23"/>
      <c r="Y1081" s="23"/>
      <c r="Z1081" s="23"/>
      <c r="AA1081" s="3" t="str">
        <f t="shared" si="9"/>
        <v>___</v>
      </c>
      <c r="AB1081" s="3" t="str">
        <f t="shared" si="8"/>
        <v>____3</v>
      </c>
    </row>
    <row r="1082" spans="1:28" ht="14">
      <c r="A1082" s="3">
        <v>1081</v>
      </c>
      <c r="B1082" s="22" t="s">
        <v>148</v>
      </c>
      <c r="C1082" s="23" t="s">
        <v>149</v>
      </c>
      <c r="D1082" s="22">
        <v>42</v>
      </c>
      <c r="E1082" s="23" t="s">
        <v>134</v>
      </c>
      <c r="F1082" s="23" t="s">
        <v>135</v>
      </c>
      <c r="G1082" s="23" t="s">
        <v>136</v>
      </c>
      <c r="H1082" s="23" t="s">
        <v>40</v>
      </c>
      <c r="I1082" s="22">
        <v>1</v>
      </c>
      <c r="J1082" s="22">
        <v>30</v>
      </c>
      <c r="K1082" s="22">
        <v>40.200000000000003</v>
      </c>
      <c r="L1082" s="22">
        <v>7</v>
      </c>
      <c r="M1082" s="23" t="s">
        <v>36</v>
      </c>
      <c r="N1082" s="22">
        <v>6.6</v>
      </c>
      <c r="O1082" s="22">
        <v>7</v>
      </c>
      <c r="P1082" s="22">
        <v>0</v>
      </c>
      <c r="Q1082" s="23"/>
      <c r="R1082" s="23"/>
      <c r="S1082" s="23"/>
      <c r="Y1082" s="23"/>
      <c r="Z1082" s="22">
        <v>148</v>
      </c>
      <c r="AA1082" s="3" t="str">
        <f t="shared" si="9"/>
        <v>ANO_0282_42_T4-C1_vm</v>
      </c>
      <c r="AB1082" s="3" t="str">
        <f t="shared" si="8"/>
        <v>ANO_0282_42_T4-C1_vm_1</v>
      </c>
    </row>
    <row r="1083" spans="1:28" ht="14">
      <c r="A1083" s="3">
        <v>1082</v>
      </c>
      <c r="B1083" s="23"/>
      <c r="C1083" s="23"/>
      <c r="D1083" s="23"/>
      <c r="E1083" s="23"/>
      <c r="F1083" s="23"/>
      <c r="G1083" s="23"/>
      <c r="H1083" s="23"/>
      <c r="I1083" s="22">
        <v>2</v>
      </c>
      <c r="J1083" s="23"/>
      <c r="K1083" s="23"/>
      <c r="L1083" s="23"/>
      <c r="M1083" s="23" t="s">
        <v>38</v>
      </c>
      <c r="N1083" s="22">
        <v>5.0999999999999996</v>
      </c>
      <c r="O1083" s="22">
        <v>2</v>
      </c>
      <c r="P1083" s="22">
        <v>1</v>
      </c>
      <c r="Q1083" s="23"/>
      <c r="R1083" s="22">
        <v>2</v>
      </c>
      <c r="S1083" s="23"/>
      <c r="Y1083" s="23"/>
      <c r="Z1083" s="23"/>
      <c r="AA1083" s="3" t="str">
        <f t="shared" si="9"/>
        <v>___</v>
      </c>
      <c r="AB1083" s="3" t="str">
        <f t="shared" si="8"/>
        <v>____2</v>
      </c>
    </row>
    <row r="1084" spans="1:28" ht="14">
      <c r="A1084" s="3">
        <v>1083</v>
      </c>
      <c r="B1084" s="23"/>
      <c r="C1084" s="23"/>
      <c r="D1084" s="23"/>
      <c r="E1084" s="23"/>
      <c r="F1084" s="23"/>
      <c r="G1084" s="23"/>
      <c r="H1084" s="23"/>
      <c r="I1084" s="22">
        <v>3</v>
      </c>
      <c r="J1084" s="23"/>
      <c r="K1084" s="23"/>
      <c r="L1084" s="23"/>
      <c r="M1084" s="23" t="s">
        <v>39</v>
      </c>
      <c r="N1084" s="22">
        <v>7.6</v>
      </c>
      <c r="O1084" s="22">
        <v>0</v>
      </c>
      <c r="P1084" s="22">
        <v>2</v>
      </c>
      <c r="Q1084" s="23"/>
      <c r="R1084" s="22">
        <v>3</v>
      </c>
      <c r="S1084" s="23"/>
      <c r="Y1084" s="23"/>
      <c r="Z1084" s="23"/>
      <c r="AA1084" s="3" t="str">
        <f t="shared" si="9"/>
        <v>___</v>
      </c>
      <c r="AB1084" s="3" t="str">
        <f t="shared" si="8"/>
        <v>____3</v>
      </c>
    </row>
    <row r="1085" spans="1:28" ht="14">
      <c r="A1085" s="3">
        <v>1084</v>
      </c>
      <c r="B1085" s="22" t="s">
        <v>148</v>
      </c>
      <c r="C1085" s="23" t="s">
        <v>149</v>
      </c>
      <c r="D1085" s="22">
        <v>42</v>
      </c>
      <c r="E1085" s="23" t="s">
        <v>134</v>
      </c>
      <c r="F1085" s="23" t="s">
        <v>135</v>
      </c>
      <c r="G1085" s="23" t="s">
        <v>136</v>
      </c>
      <c r="H1085" s="23" t="s">
        <v>40</v>
      </c>
      <c r="I1085" s="22">
        <v>1</v>
      </c>
      <c r="J1085" s="22">
        <v>26</v>
      </c>
      <c r="K1085" s="22">
        <v>35.5</v>
      </c>
      <c r="L1085" s="22">
        <v>6</v>
      </c>
      <c r="M1085" s="23" t="s">
        <v>36</v>
      </c>
      <c r="N1085" s="22">
        <v>7.5</v>
      </c>
      <c r="O1085" s="22">
        <v>7</v>
      </c>
      <c r="P1085" s="22">
        <v>0</v>
      </c>
      <c r="Q1085" s="23"/>
      <c r="R1085" s="23"/>
      <c r="S1085" s="23"/>
      <c r="Y1085" s="23"/>
      <c r="Z1085" s="22">
        <v>149</v>
      </c>
      <c r="AA1085" s="3" t="str">
        <f t="shared" si="9"/>
        <v>ANO_0282_42_T4-C1_vm</v>
      </c>
      <c r="AB1085" s="3" t="str">
        <f t="shared" si="8"/>
        <v>ANO_0282_42_T4-C1_vm_1</v>
      </c>
    </row>
    <row r="1086" spans="1:28" ht="14">
      <c r="A1086" s="3">
        <v>1085</v>
      </c>
      <c r="B1086" s="23"/>
      <c r="C1086" s="23"/>
      <c r="D1086" s="23"/>
      <c r="E1086" s="23"/>
      <c r="F1086" s="23"/>
      <c r="G1086" s="23"/>
      <c r="H1086" s="23"/>
      <c r="I1086" s="22">
        <v>2</v>
      </c>
      <c r="J1086" s="23"/>
      <c r="K1086" s="23"/>
      <c r="L1086" s="23"/>
      <c r="M1086" s="23" t="s">
        <v>38</v>
      </c>
      <c r="N1086" s="22">
        <v>7.8</v>
      </c>
      <c r="O1086" s="22">
        <v>2</v>
      </c>
      <c r="P1086" s="22">
        <v>1</v>
      </c>
      <c r="Q1086" s="23"/>
      <c r="R1086" s="22">
        <v>2</v>
      </c>
      <c r="S1086" s="23"/>
      <c r="Y1086" s="23"/>
      <c r="Z1086" s="23"/>
      <c r="AA1086" s="3" t="str">
        <f t="shared" si="9"/>
        <v>___</v>
      </c>
      <c r="AB1086" s="3" t="str">
        <f t="shared" si="8"/>
        <v>____2</v>
      </c>
    </row>
    <row r="1087" spans="1:28" ht="14">
      <c r="A1087" s="3">
        <v>1086</v>
      </c>
      <c r="B1087" s="23"/>
      <c r="C1087" s="23"/>
      <c r="D1087" s="23"/>
      <c r="E1087" s="23"/>
      <c r="F1087" s="23"/>
      <c r="G1087" s="23"/>
      <c r="H1087" s="23"/>
      <c r="I1087" s="22">
        <v>3</v>
      </c>
      <c r="J1087" s="23"/>
      <c r="K1087" s="23"/>
      <c r="L1087" s="23"/>
      <c r="M1087" s="23" t="s">
        <v>39</v>
      </c>
      <c r="N1087" s="22">
        <v>5.7</v>
      </c>
      <c r="O1087" s="22">
        <v>0</v>
      </c>
      <c r="P1087" s="22">
        <v>4</v>
      </c>
      <c r="Q1087" s="23"/>
      <c r="R1087" s="22">
        <v>1</v>
      </c>
      <c r="S1087" s="23"/>
      <c r="Y1087" s="23"/>
      <c r="Z1087" s="23"/>
      <c r="AA1087" s="3" t="str">
        <f t="shared" si="9"/>
        <v>___</v>
      </c>
      <c r="AB1087" s="3" t="str">
        <f t="shared" si="8"/>
        <v>____3</v>
      </c>
    </row>
    <row r="1088" spans="1:28" ht="14">
      <c r="A1088" s="3">
        <v>1087</v>
      </c>
      <c r="B1088" s="22" t="s">
        <v>148</v>
      </c>
      <c r="C1088" s="23" t="s">
        <v>149</v>
      </c>
      <c r="D1088" s="22">
        <v>42</v>
      </c>
      <c r="E1088" s="23" t="s">
        <v>134</v>
      </c>
      <c r="F1088" s="23" t="s">
        <v>135</v>
      </c>
      <c r="G1088" s="23" t="s">
        <v>136</v>
      </c>
      <c r="H1088" s="23" t="s">
        <v>40</v>
      </c>
      <c r="I1088" s="22">
        <v>1</v>
      </c>
      <c r="J1088" s="22">
        <v>19</v>
      </c>
      <c r="K1088" s="22">
        <v>24.1</v>
      </c>
      <c r="L1088" s="22">
        <v>3</v>
      </c>
      <c r="M1088" s="23" t="s">
        <v>36</v>
      </c>
      <c r="N1088" s="22">
        <v>12.6</v>
      </c>
      <c r="O1088" s="22">
        <v>11</v>
      </c>
      <c r="P1088" s="22">
        <v>0</v>
      </c>
      <c r="Q1088" s="23"/>
      <c r="R1088" s="23"/>
      <c r="S1088" s="23"/>
      <c r="Y1088" s="23"/>
      <c r="Z1088" s="22">
        <v>150</v>
      </c>
      <c r="AA1088" s="3" t="str">
        <f t="shared" si="9"/>
        <v>ANO_0282_42_T4-C1_vm</v>
      </c>
      <c r="AB1088" s="3" t="str">
        <f t="shared" si="8"/>
        <v>ANO_0282_42_T4-C1_vm_1</v>
      </c>
    </row>
    <row r="1089" spans="1:28" ht="14">
      <c r="A1089" s="3">
        <v>1088</v>
      </c>
      <c r="B1089" s="23"/>
      <c r="C1089" s="23"/>
      <c r="D1089" s="23"/>
      <c r="E1089" s="23"/>
      <c r="F1089" s="23"/>
      <c r="G1089" s="23"/>
      <c r="H1089" s="23"/>
      <c r="I1089" s="22">
        <v>2</v>
      </c>
      <c r="J1089" s="23"/>
      <c r="K1089" s="23"/>
      <c r="L1089" s="23"/>
      <c r="M1089" s="23" t="s">
        <v>38</v>
      </c>
      <c r="N1089" s="22">
        <v>10.199999999999999</v>
      </c>
      <c r="O1089" s="22">
        <v>2</v>
      </c>
      <c r="P1089" s="22">
        <v>7</v>
      </c>
      <c r="Q1089" s="23"/>
      <c r="R1089" s="22">
        <v>2</v>
      </c>
      <c r="S1089" s="23"/>
      <c r="Y1089" s="23"/>
      <c r="Z1089" s="23"/>
      <c r="AA1089" s="3" t="str">
        <f t="shared" si="9"/>
        <v>___</v>
      </c>
      <c r="AB1089" s="3" t="str">
        <f t="shared" si="8"/>
        <v>____2</v>
      </c>
    </row>
    <row r="1090" spans="1:28" ht="14">
      <c r="A1090" s="3">
        <v>1089</v>
      </c>
      <c r="B1090" s="23"/>
      <c r="C1090" s="23"/>
      <c r="D1090" s="23"/>
      <c r="E1090" s="23"/>
      <c r="F1090" s="23"/>
      <c r="G1090" s="23"/>
      <c r="H1090" s="23"/>
      <c r="I1090" s="22">
        <v>3</v>
      </c>
      <c r="J1090" s="23"/>
      <c r="K1090" s="23"/>
      <c r="L1090" s="23"/>
      <c r="M1090" s="23" t="s">
        <v>39</v>
      </c>
      <c r="N1090" s="22">
        <v>6.8</v>
      </c>
      <c r="O1090" s="22">
        <v>0</v>
      </c>
      <c r="P1090" s="22">
        <v>6</v>
      </c>
      <c r="Q1090" s="23"/>
      <c r="R1090" s="22">
        <v>1</v>
      </c>
      <c r="S1090" s="23"/>
      <c r="Y1090" s="23"/>
      <c r="Z1090" s="23"/>
      <c r="AA1090" s="3" t="str">
        <f t="shared" si="9"/>
        <v>___</v>
      </c>
      <c r="AB1090" s="3" t="str">
        <f t="shared" si="8"/>
        <v>____3</v>
      </c>
    </row>
    <row r="1091" spans="1:28" ht="14">
      <c r="A1091" s="3">
        <v>1090</v>
      </c>
      <c r="B1091" s="22" t="s">
        <v>148</v>
      </c>
      <c r="C1091" s="23" t="s">
        <v>149</v>
      </c>
      <c r="D1091" s="22">
        <v>42</v>
      </c>
      <c r="E1091" s="23" t="s">
        <v>134</v>
      </c>
      <c r="F1091" s="23" t="s">
        <v>135</v>
      </c>
      <c r="G1091" s="23" t="s">
        <v>136</v>
      </c>
      <c r="H1091" s="23" t="s">
        <v>35</v>
      </c>
      <c r="I1091" s="22">
        <v>1</v>
      </c>
      <c r="J1091" s="22">
        <v>21</v>
      </c>
      <c r="K1091" s="22">
        <v>22.7</v>
      </c>
      <c r="L1091" s="22">
        <v>4</v>
      </c>
      <c r="M1091" s="23" t="s">
        <v>36</v>
      </c>
      <c r="N1091" s="22">
        <v>4.3</v>
      </c>
      <c r="O1091" s="22">
        <v>13</v>
      </c>
      <c r="P1091" s="22">
        <v>2</v>
      </c>
      <c r="Q1091" s="23"/>
      <c r="R1091" s="23"/>
      <c r="S1091" s="23"/>
      <c r="Y1091" s="23"/>
      <c r="Z1091" s="22">
        <v>151</v>
      </c>
      <c r="AA1091" s="3" t="str">
        <f t="shared" si="9"/>
        <v>ANO_0282_42_T4-C1_vv</v>
      </c>
      <c r="AB1091" s="3" t="str">
        <f t="shared" si="8"/>
        <v>ANO_0282_42_T4-C1_vv_1</v>
      </c>
    </row>
    <row r="1092" spans="1:28" ht="14">
      <c r="A1092" s="3">
        <v>1091</v>
      </c>
      <c r="B1092" s="23"/>
      <c r="C1092" s="23"/>
      <c r="D1092" s="23"/>
      <c r="E1092" s="23"/>
      <c r="F1092" s="23"/>
      <c r="G1092" s="23"/>
      <c r="H1092" s="23"/>
      <c r="I1092" s="22">
        <v>2</v>
      </c>
      <c r="J1092" s="23"/>
      <c r="K1092" s="23"/>
      <c r="L1092" s="23"/>
      <c r="M1092" s="23" t="s">
        <v>38</v>
      </c>
      <c r="N1092" s="22">
        <v>5.8</v>
      </c>
      <c r="O1092" s="22">
        <v>11</v>
      </c>
      <c r="P1092" s="22">
        <v>1</v>
      </c>
      <c r="Q1092" s="23"/>
      <c r="R1092" s="23"/>
      <c r="S1092" s="23"/>
      <c r="Y1092" s="23"/>
      <c r="Z1092" s="23"/>
      <c r="AA1092" s="3" t="str">
        <f t="shared" si="9"/>
        <v>___</v>
      </c>
      <c r="AB1092" s="3" t="str">
        <f t="shared" si="8"/>
        <v>____2</v>
      </c>
    </row>
    <row r="1093" spans="1:28" ht="14">
      <c r="A1093" s="3">
        <v>1092</v>
      </c>
      <c r="B1093" s="23"/>
      <c r="C1093" s="23"/>
      <c r="D1093" s="23"/>
      <c r="E1093" s="23"/>
      <c r="F1093" s="23"/>
      <c r="G1093" s="23"/>
      <c r="H1093" s="23"/>
      <c r="I1093" s="22">
        <v>3</v>
      </c>
      <c r="J1093" s="23"/>
      <c r="K1093" s="23"/>
      <c r="L1093" s="23"/>
      <c r="M1093" s="23" t="s">
        <v>39</v>
      </c>
      <c r="N1093" s="22">
        <v>6</v>
      </c>
      <c r="O1093" s="22">
        <v>2</v>
      </c>
      <c r="P1093" s="22">
        <v>9</v>
      </c>
      <c r="Q1093" s="23"/>
      <c r="R1093" s="23"/>
      <c r="S1093" s="23"/>
      <c r="Y1093" s="23"/>
      <c r="Z1093" s="23"/>
      <c r="AA1093" s="3" t="str">
        <f t="shared" si="9"/>
        <v>___</v>
      </c>
      <c r="AB1093" s="3" t="str">
        <f t="shared" si="8"/>
        <v>____3</v>
      </c>
    </row>
    <row r="1094" spans="1:28" ht="14">
      <c r="A1094" s="3">
        <v>1093</v>
      </c>
      <c r="B1094" s="22" t="s">
        <v>148</v>
      </c>
      <c r="C1094" s="23" t="s">
        <v>149</v>
      </c>
      <c r="D1094" s="22">
        <v>42</v>
      </c>
      <c r="E1094" s="23" t="s">
        <v>134</v>
      </c>
      <c r="F1094" s="23" t="s">
        <v>135</v>
      </c>
      <c r="G1094" s="23" t="s">
        <v>136</v>
      </c>
      <c r="H1094" s="23" t="s">
        <v>35</v>
      </c>
      <c r="I1094" s="22">
        <v>1</v>
      </c>
      <c r="J1094" s="22">
        <v>16</v>
      </c>
      <c r="K1094" s="22">
        <v>18.2</v>
      </c>
      <c r="L1094" s="22">
        <v>4</v>
      </c>
      <c r="M1094" s="23" t="s">
        <v>36</v>
      </c>
      <c r="N1094" s="22">
        <v>3.5</v>
      </c>
      <c r="O1094" s="22">
        <v>7</v>
      </c>
      <c r="P1094" s="22">
        <v>2</v>
      </c>
      <c r="Q1094" s="23"/>
      <c r="R1094" s="23"/>
      <c r="S1094" s="23"/>
      <c r="Y1094" s="23"/>
      <c r="Z1094" s="22">
        <v>152</v>
      </c>
      <c r="AA1094" s="3" t="str">
        <f t="shared" si="9"/>
        <v>ANO_0282_42_T4-C1_vv</v>
      </c>
      <c r="AB1094" s="3" t="str">
        <f t="shared" si="8"/>
        <v>ANO_0282_42_T4-C1_vv_1</v>
      </c>
    </row>
    <row r="1095" spans="1:28" ht="14">
      <c r="A1095" s="3">
        <v>1094</v>
      </c>
      <c r="B1095" s="23"/>
      <c r="C1095" s="23"/>
      <c r="D1095" s="23"/>
      <c r="E1095" s="23"/>
      <c r="F1095" s="23"/>
      <c r="G1095" s="23"/>
      <c r="H1095" s="23"/>
      <c r="I1095" s="22">
        <v>2</v>
      </c>
      <c r="J1095" s="23"/>
      <c r="K1095" s="23"/>
      <c r="L1095" s="23"/>
      <c r="M1095" s="23" t="s">
        <v>38</v>
      </c>
      <c r="N1095" s="22">
        <v>4.5</v>
      </c>
      <c r="O1095" s="22">
        <v>5</v>
      </c>
      <c r="P1095" s="22">
        <v>5</v>
      </c>
      <c r="Q1095" s="23"/>
      <c r="R1095" s="23"/>
      <c r="S1095" s="23"/>
      <c r="Y1095" s="23"/>
      <c r="Z1095" s="23"/>
      <c r="AA1095" s="3" t="str">
        <f t="shared" si="9"/>
        <v>___</v>
      </c>
      <c r="AB1095" s="3" t="str">
        <f t="shared" si="8"/>
        <v>____2</v>
      </c>
    </row>
    <row r="1096" spans="1:28" ht="14">
      <c r="A1096" s="3">
        <v>1095</v>
      </c>
      <c r="B1096" s="23"/>
      <c r="C1096" s="23"/>
      <c r="D1096" s="23"/>
      <c r="E1096" s="23"/>
      <c r="F1096" s="23"/>
      <c r="G1096" s="23"/>
      <c r="H1096" s="23"/>
      <c r="I1096" s="22">
        <v>3</v>
      </c>
      <c r="J1096" s="23"/>
      <c r="K1096" s="23"/>
      <c r="L1096" s="23"/>
      <c r="M1096" s="23" t="s">
        <v>39</v>
      </c>
      <c r="N1096" s="22">
        <v>7.2</v>
      </c>
      <c r="O1096" s="22">
        <v>7</v>
      </c>
      <c r="P1096" s="22">
        <v>6</v>
      </c>
      <c r="Q1096" s="23"/>
      <c r="R1096" s="23"/>
      <c r="S1096" s="23"/>
      <c r="Y1096" s="23"/>
      <c r="Z1096" s="23"/>
      <c r="AA1096" s="3" t="str">
        <f t="shared" si="9"/>
        <v>___</v>
      </c>
      <c r="AB1096" s="3" t="str">
        <f t="shared" si="8"/>
        <v>____3</v>
      </c>
    </row>
    <row r="1097" spans="1:28" ht="14">
      <c r="A1097" s="3">
        <v>1096</v>
      </c>
      <c r="B1097" s="22" t="s">
        <v>148</v>
      </c>
      <c r="C1097" s="23" t="s">
        <v>149</v>
      </c>
      <c r="D1097" s="22">
        <v>42</v>
      </c>
      <c r="E1097" s="23" t="s">
        <v>134</v>
      </c>
      <c r="F1097" s="23" t="s">
        <v>135</v>
      </c>
      <c r="G1097" s="23" t="s">
        <v>136</v>
      </c>
      <c r="H1097" s="23" t="s">
        <v>35</v>
      </c>
      <c r="I1097" s="22">
        <v>1</v>
      </c>
      <c r="J1097" s="22">
        <v>15.5</v>
      </c>
      <c r="K1097" s="22">
        <v>16.100000000000001</v>
      </c>
      <c r="L1097" s="22">
        <v>4</v>
      </c>
      <c r="M1097" s="23" t="s">
        <v>36</v>
      </c>
      <c r="N1097" s="22">
        <v>3.5</v>
      </c>
      <c r="O1097" s="22">
        <v>11</v>
      </c>
      <c r="P1097" s="22">
        <v>2</v>
      </c>
      <c r="Q1097" s="23"/>
      <c r="R1097" s="23"/>
      <c r="S1097" s="23"/>
      <c r="Y1097" s="23"/>
      <c r="Z1097" s="22">
        <v>153</v>
      </c>
      <c r="AA1097" s="3" t="str">
        <f t="shared" si="9"/>
        <v>ANO_0282_42_T4-C1_vv</v>
      </c>
      <c r="AB1097" s="3" t="str">
        <f t="shared" si="8"/>
        <v>ANO_0282_42_T4-C1_vv_1</v>
      </c>
    </row>
    <row r="1098" spans="1:28" ht="14">
      <c r="A1098" s="3">
        <v>1097</v>
      </c>
      <c r="B1098" s="23"/>
      <c r="C1098" s="23"/>
      <c r="D1098" s="23"/>
      <c r="E1098" s="23"/>
      <c r="F1098" s="23"/>
      <c r="G1098" s="23"/>
      <c r="H1098" s="23"/>
      <c r="I1098" s="22">
        <v>2</v>
      </c>
      <c r="J1098" s="23"/>
      <c r="K1098" s="23"/>
      <c r="L1098" s="23"/>
      <c r="M1098" s="23" t="s">
        <v>38</v>
      </c>
      <c r="N1098" s="22">
        <v>5.7</v>
      </c>
      <c r="O1098" s="22">
        <v>5</v>
      </c>
      <c r="P1098" s="22">
        <v>7</v>
      </c>
      <c r="Q1098" s="23"/>
      <c r="R1098" s="23"/>
      <c r="S1098" s="23"/>
      <c r="Y1098" s="23"/>
      <c r="Z1098" s="23"/>
      <c r="AA1098" s="3" t="str">
        <f t="shared" si="9"/>
        <v>___</v>
      </c>
      <c r="AB1098" s="3" t="str">
        <f t="shared" si="8"/>
        <v>____2</v>
      </c>
    </row>
    <row r="1099" spans="1:28" ht="14">
      <c r="A1099" s="3">
        <v>1098</v>
      </c>
      <c r="B1099" s="23"/>
      <c r="C1099" s="23"/>
      <c r="D1099" s="23"/>
      <c r="E1099" s="23"/>
      <c r="F1099" s="23"/>
      <c r="G1099" s="23"/>
      <c r="H1099" s="23"/>
      <c r="I1099" s="22">
        <v>3</v>
      </c>
      <c r="J1099" s="23"/>
      <c r="K1099" s="23"/>
      <c r="L1099" s="23"/>
      <c r="M1099" s="23" t="s">
        <v>39</v>
      </c>
      <c r="N1099" s="22">
        <v>4.7</v>
      </c>
      <c r="O1099" s="22">
        <v>6</v>
      </c>
      <c r="P1099" s="22">
        <v>2</v>
      </c>
      <c r="Q1099" s="23"/>
      <c r="R1099" s="22">
        <v>2</v>
      </c>
      <c r="S1099" s="23"/>
      <c r="Y1099" s="23"/>
      <c r="Z1099" s="23"/>
      <c r="AA1099" s="3" t="str">
        <f t="shared" si="9"/>
        <v>___</v>
      </c>
      <c r="AB1099" s="3" t="str">
        <f t="shared" si="8"/>
        <v>____3</v>
      </c>
    </row>
    <row r="1100" spans="1:28" ht="14">
      <c r="A1100" s="3">
        <v>1099</v>
      </c>
      <c r="B1100" s="22" t="s">
        <v>150</v>
      </c>
      <c r="C1100" s="23" t="s">
        <v>151</v>
      </c>
      <c r="D1100" s="22">
        <v>46</v>
      </c>
      <c r="E1100" s="23" t="s">
        <v>134</v>
      </c>
      <c r="F1100" s="23" t="s">
        <v>34</v>
      </c>
      <c r="G1100" s="23" t="s">
        <v>152</v>
      </c>
      <c r="H1100" s="23" t="s">
        <v>40</v>
      </c>
      <c r="I1100" s="22">
        <v>1</v>
      </c>
      <c r="J1100" s="22">
        <v>16.5</v>
      </c>
      <c r="K1100" s="22">
        <v>17.8</v>
      </c>
      <c r="L1100" s="22">
        <v>4</v>
      </c>
      <c r="M1100" s="23" t="s">
        <v>36</v>
      </c>
      <c r="N1100" s="22">
        <v>1</v>
      </c>
      <c r="O1100" s="22">
        <v>3</v>
      </c>
      <c r="P1100" s="22">
        <v>0</v>
      </c>
      <c r="Q1100" s="23"/>
      <c r="R1100" s="23"/>
      <c r="S1100" s="23"/>
      <c r="Y1100" s="23"/>
      <c r="Z1100" s="22">
        <v>154</v>
      </c>
      <c r="AA1100" s="3" t="str">
        <f t="shared" si="9"/>
        <v>ANO_0100_46_T3-C2_vm</v>
      </c>
      <c r="AB1100" s="3" t="str">
        <f t="shared" si="8"/>
        <v>ANO_0100_46_T3-C2_vm_1</v>
      </c>
    </row>
    <row r="1101" spans="1:28" ht="14">
      <c r="A1101" s="3">
        <v>1100</v>
      </c>
      <c r="B1101" s="23"/>
      <c r="C1101" s="23"/>
      <c r="D1101" s="23"/>
      <c r="E1101" s="23"/>
      <c r="F1101" s="23"/>
      <c r="G1101" s="23"/>
      <c r="H1101" s="23"/>
      <c r="I1101" s="22">
        <v>2</v>
      </c>
      <c r="J1101" s="23"/>
      <c r="K1101" s="23"/>
      <c r="L1101" s="23"/>
      <c r="M1101" s="23" t="s">
        <v>38</v>
      </c>
      <c r="N1101" s="22">
        <v>5.0999999999999996</v>
      </c>
      <c r="O1101" s="22">
        <v>0</v>
      </c>
      <c r="P1101" s="22">
        <v>6</v>
      </c>
      <c r="Q1101" s="23"/>
      <c r="R1101" s="22">
        <v>2</v>
      </c>
      <c r="S1101" s="23"/>
      <c r="Y1101" s="23"/>
      <c r="Z1101" s="23"/>
      <c r="AA1101" s="3" t="str">
        <f t="shared" si="9"/>
        <v>___</v>
      </c>
      <c r="AB1101" s="3" t="str">
        <f t="shared" si="8"/>
        <v>____2</v>
      </c>
    </row>
    <row r="1102" spans="1:28" ht="14">
      <c r="A1102" s="3">
        <v>1101</v>
      </c>
      <c r="B1102" s="23"/>
      <c r="C1102" s="23"/>
      <c r="D1102" s="23"/>
      <c r="E1102" s="23"/>
      <c r="F1102" s="23"/>
      <c r="G1102" s="23"/>
      <c r="H1102" s="23"/>
      <c r="I1102" s="22">
        <v>3</v>
      </c>
      <c r="J1102" s="23"/>
      <c r="K1102" s="23"/>
      <c r="L1102" s="23"/>
      <c r="M1102" s="23" t="s">
        <v>39</v>
      </c>
      <c r="N1102" s="22">
        <v>8.1999999999999993</v>
      </c>
      <c r="O1102" s="22">
        <v>0</v>
      </c>
      <c r="P1102" s="22">
        <v>4</v>
      </c>
      <c r="Q1102" s="23"/>
      <c r="R1102" s="22">
        <v>2</v>
      </c>
      <c r="S1102" s="23"/>
      <c r="Y1102" s="23"/>
      <c r="Z1102" s="23"/>
      <c r="AA1102" s="3" t="str">
        <f t="shared" si="9"/>
        <v>___</v>
      </c>
      <c r="AB1102" s="3" t="str">
        <f t="shared" si="8"/>
        <v>____3</v>
      </c>
    </row>
    <row r="1103" spans="1:28" ht="14">
      <c r="A1103" s="3">
        <v>1102</v>
      </c>
      <c r="B1103" s="22" t="s">
        <v>150</v>
      </c>
      <c r="C1103" s="23" t="s">
        <v>151</v>
      </c>
      <c r="D1103" s="22">
        <v>46</v>
      </c>
      <c r="E1103" s="23" t="s">
        <v>134</v>
      </c>
      <c r="F1103" s="23" t="s">
        <v>34</v>
      </c>
      <c r="G1103" s="23" t="s">
        <v>152</v>
      </c>
      <c r="H1103" s="23" t="s">
        <v>40</v>
      </c>
      <c r="I1103" s="22">
        <v>1</v>
      </c>
      <c r="J1103" s="22">
        <v>16</v>
      </c>
      <c r="K1103" s="22">
        <v>23.2</v>
      </c>
      <c r="L1103" s="22">
        <v>4</v>
      </c>
      <c r="M1103" s="23" t="s">
        <v>36</v>
      </c>
      <c r="N1103" s="22">
        <v>3.2</v>
      </c>
      <c r="O1103" s="22">
        <v>5</v>
      </c>
      <c r="P1103" s="22">
        <v>0</v>
      </c>
      <c r="Q1103" s="23"/>
      <c r="R1103" s="23"/>
      <c r="S1103" s="23"/>
      <c r="Y1103" s="23"/>
      <c r="Z1103" s="22">
        <v>155</v>
      </c>
      <c r="AA1103" s="3" t="str">
        <f t="shared" si="9"/>
        <v>ANO_0100_46_T3-C2_vm</v>
      </c>
      <c r="AB1103" s="3" t="str">
        <f t="shared" si="8"/>
        <v>ANO_0100_46_T3-C2_vm_1</v>
      </c>
    </row>
    <row r="1104" spans="1:28" ht="14">
      <c r="A1104" s="3">
        <v>1103</v>
      </c>
      <c r="B1104" s="23"/>
      <c r="C1104" s="23"/>
      <c r="D1104" s="23"/>
      <c r="E1104" s="23"/>
      <c r="F1104" s="23"/>
      <c r="G1104" s="23"/>
      <c r="H1104" s="23"/>
      <c r="I1104" s="22">
        <v>2</v>
      </c>
      <c r="J1104" s="23"/>
      <c r="K1104" s="23"/>
      <c r="L1104" s="23"/>
      <c r="M1104" s="23" t="s">
        <v>38</v>
      </c>
      <c r="N1104" s="22">
        <v>4.4000000000000004</v>
      </c>
      <c r="O1104" s="22">
        <v>0</v>
      </c>
      <c r="P1104" s="22">
        <v>2</v>
      </c>
      <c r="Q1104" s="23"/>
      <c r="R1104" s="22">
        <v>1</v>
      </c>
      <c r="S1104" s="23"/>
      <c r="Y1104" s="23"/>
      <c r="Z1104" s="23"/>
      <c r="AA1104" s="3" t="str">
        <f t="shared" si="9"/>
        <v>___</v>
      </c>
      <c r="AB1104" s="3" t="str">
        <f t="shared" si="8"/>
        <v>____2</v>
      </c>
    </row>
    <row r="1105" spans="1:28" ht="14">
      <c r="A1105" s="3">
        <v>1104</v>
      </c>
      <c r="B1105" s="23"/>
      <c r="C1105" s="23"/>
      <c r="D1105" s="23"/>
      <c r="E1105" s="23"/>
      <c r="F1105" s="23"/>
      <c r="G1105" s="23"/>
      <c r="H1105" s="23"/>
      <c r="I1105" s="22">
        <v>3</v>
      </c>
      <c r="J1105" s="23"/>
      <c r="K1105" s="23"/>
      <c r="L1105" s="23"/>
      <c r="M1105" s="23" t="s">
        <v>39</v>
      </c>
      <c r="N1105" s="22">
        <v>4.3</v>
      </c>
      <c r="O1105" s="22">
        <v>0</v>
      </c>
      <c r="P1105" s="22">
        <v>3</v>
      </c>
      <c r="Q1105" s="23"/>
      <c r="R1105" s="22">
        <v>2</v>
      </c>
      <c r="S1105" s="23"/>
      <c r="Y1105" s="23"/>
      <c r="Z1105" s="23"/>
      <c r="AA1105" s="3" t="str">
        <f t="shared" si="9"/>
        <v>___</v>
      </c>
      <c r="AB1105" s="3" t="str">
        <f t="shared" si="8"/>
        <v>____3</v>
      </c>
    </row>
    <row r="1106" spans="1:28" ht="14">
      <c r="A1106" s="3">
        <v>1105</v>
      </c>
      <c r="B1106" s="22" t="s">
        <v>150</v>
      </c>
      <c r="C1106" s="23" t="s">
        <v>151</v>
      </c>
      <c r="D1106" s="22">
        <v>46</v>
      </c>
      <c r="E1106" s="23" t="s">
        <v>134</v>
      </c>
      <c r="F1106" s="23" t="s">
        <v>34</v>
      </c>
      <c r="G1106" s="23" t="s">
        <v>152</v>
      </c>
      <c r="H1106" s="23" t="s">
        <v>40</v>
      </c>
      <c r="I1106" s="22">
        <v>1</v>
      </c>
      <c r="J1106" s="22">
        <v>13.6</v>
      </c>
      <c r="K1106" s="22">
        <v>13.4</v>
      </c>
      <c r="L1106" s="22">
        <v>5</v>
      </c>
      <c r="M1106" s="23" t="s">
        <v>36</v>
      </c>
      <c r="N1106" s="22">
        <v>2.7</v>
      </c>
      <c r="O1106" s="22">
        <v>5</v>
      </c>
      <c r="P1106" s="22">
        <v>0</v>
      </c>
      <c r="Q1106" s="23"/>
      <c r="R1106" s="23"/>
      <c r="S1106" s="23"/>
      <c r="Y1106" s="23"/>
      <c r="Z1106" s="22">
        <v>156</v>
      </c>
      <c r="AA1106" s="3" t="str">
        <f t="shared" si="9"/>
        <v>ANO_0100_46_T3-C2_vm</v>
      </c>
      <c r="AB1106" s="3" t="str">
        <f t="shared" si="8"/>
        <v>ANO_0100_46_T3-C2_vm_1</v>
      </c>
    </row>
    <row r="1107" spans="1:28" ht="14">
      <c r="A1107" s="3">
        <v>1106</v>
      </c>
      <c r="B1107" s="23"/>
      <c r="C1107" s="23"/>
      <c r="D1107" s="23"/>
      <c r="E1107" s="23"/>
      <c r="F1107" s="23"/>
      <c r="G1107" s="23"/>
      <c r="H1107" s="23"/>
      <c r="I1107" s="22">
        <v>2</v>
      </c>
      <c r="J1107" s="23"/>
      <c r="K1107" s="23"/>
      <c r="L1107" s="23"/>
      <c r="M1107" s="23" t="s">
        <v>38</v>
      </c>
      <c r="N1107" s="22">
        <v>4.4000000000000004</v>
      </c>
      <c r="O1107" s="22">
        <v>0</v>
      </c>
      <c r="P1107" s="22">
        <v>5</v>
      </c>
      <c r="Q1107" s="23"/>
      <c r="R1107" s="22">
        <v>2</v>
      </c>
      <c r="S1107" s="23"/>
      <c r="Y1107" s="23"/>
      <c r="Z1107" s="23"/>
      <c r="AA1107" s="3" t="str">
        <f t="shared" si="9"/>
        <v>___</v>
      </c>
      <c r="AB1107" s="3" t="str">
        <f t="shared" si="8"/>
        <v>____2</v>
      </c>
    </row>
    <row r="1108" spans="1:28" ht="14">
      <c r="A1108" s="3">
        <v>1107</v>
      </c>
      <c r="B1108" s="23"/>
      <c r="C1108" s="23"/>
      <c r="D1108" s="23"/>
      <c r="E1108" s="23"/>
      <c r="F1108" s="23"/>
      <c r="G1108" s="23"/>
      <c r="H1108" s="23"/>
      <c r="I1108" s="22">
        <v>3</v>
      </c>
      <c r="J1108" s="23"/>
      <c r="K1108" s="23"/>
      <c r="L1108" s="23"/>
      <c r="M1108" s="23" t="s">
        <v>39</v>
      </c>
      <c r="N1108" s="22">
        <v>2.2999999999999998</v>
      </c>
      <c r="O1108" s="22">
        <v>0</v>
      </c>
      <c r="P1108" s="22">
        <v>2</v>
      </c>
      <c r="Q1108" s="23"/>
      <c r="R1108" s="22">
        <v>2</v>
      </c>
      <c r="S1108" s="23"/>
      <c r="Y1108" s="23"/>
      <c r="Z1108" s="23"/>
      <c r="AA1108" s="3" t="str">
        <f t="shared" si="9"/>
        <v>___</v>
      </c>
      <c r="AB1108" s="3" t="str">
        <f t="shared" si="8"/>
        <v>____3</v>
      </c>
    </row>
    <row r="1109" spans="1:28" ht="14">
      <c r="A1109" s="3">
        <v>1108</v>
      </c>
      <c r="B1109" s="22" t="s">
        <v>150</v>
      </c>
      <c r="C1109" s="23" t="s">
        <v>151</v>
      </c>
      <c r="D1109" s="22">
        <v>46</v>
      </c>
      <c r="E1109" s="23" t="s">
        <v>134</v>
      </c>
      <c r="F1109" s="23" t="s">
        <v>34</v>
      </c>
      <c r="G1109" s="23" t="s">
        <v>152</v>
      </c>
      <c r="H1109" s="23" t="s">
        <v>35</v>
      </c>
      <c r="I1109" s="22">
        <v>1</v>
      </c>
      <c r="J1109" s="22">
        <v>7.5</v>
      </c>
      <c r="K1109" s="22">
        <v>7.6</v>
      </c>
      <c r="L1109" s="22">
        <v>4</v>
      </c>
      <c r="M1109" s="23" t="s">
        <v>36</v>
      </c>
      <c r="N1109" s="22">
        <v>1.3</v>
      </c>
      <c r="O1109" s="22">
        <v>7</v>
      </c>
      <c r="P1109" s="22">
        <v>0</v>
      </c>
      <c r="Q1109" s="23"/>
      <c r="R1109" s="23"/>
      <c r="S1109" s="23"/>
      <c r="Y1109" s="23"/>
      <c r="Z1109" s="22">
        <v>157</v>
      </c>
      <c r="AA1109" s="3" t="str">
        <f t="shared" si="9"/>
        <v>ANO_0100_46_T3-C2_vv</v>
      </c>
      <c r="AB1109" s="3" t="str">
        <f t="shared" si="8"/>
        <v>ANO_0100_46_T3-C2_vv_1</v>
      </c>
    </row>
    <row r="1110" spans="1:28" ht="14">
      <c r="A1110" s="3">
        <v>1109</v>
      </c>
      <c r="B1110" s="23"/>
      <c r="C1110" s="23"/>
      <c r="D1110" s="23"/>
      <c r="E1110" s="23"/>
      <c r="F1110" s="23"/>
      <c r="G1110" s="23"/>
      <c r="H1110" s="23"/>
      <c r="I1110" s="22">
        <v>2</v>
      </c>
      <c r="J1110" s="23"/>
      <c r="K1110" s="23"/>
      <c r="L1110" s="23"/>
      <c r="M1110" s="23" t="s">
        <v>38</v>
      </c>
      <c r="N1110" s="22">
        <v>1.7</v>
      </c>
      <c r="O1110" s="22">
        <v>3</v>
      </c>
      <c r="P1110" s="22">
        <v>1</v>
      </c>
      <c r="Q1110" s="23"/>
      <c r="R1110" s="23"/>
      <c r="S1110" s="23"/>
      <c r="Y1110" s="23"/>
      <c r="Z1110" s="23"/>
      <c r="AA1110" s="3" t="str">
        <f t="shared" si="9"/>
        <v>___</v>
      </c>
      <c r="AB1110" s="3" t="str">
        <f t="shared" si="8"/>
        <v>____2</v>
      </c>
    </row>
    <row r="1111" spans="1:28" ht="14">
      <c r="A1111" s="3">
        <v>1110</v>
      </c>
      <c r="B1111" s="23"/>
      <c r="C1111" s="23"/>
      <c r="D1111" s="23"/>
      <c r="E1111" s="23"/>
      <c r="F1111" s="23"/>
      <c r="G1111" s="23"/>
      <c r="H1111" s="23"/>
      <c r="I1111" s="22">
        <v>3</v>
      </c>
      <c r="J1111" s="23"/>
      <c r="K1111" s="23"/>
      <c r="L1111" s="23"/>
      <c r="M1111" s="23" t="s">
        <v>39</v>
      </c>
      <c r="N1111" s="22">
        <v>2</v>
      </c>
      <c r="O1111" s="22">
        <v>2</v>
      </c>
      <c r="P1111" s="22">
        <v>3</v>
      </c>
      <c r="Q1111" s="23"/>
      <c r="R1111" s="23"/>
      <c r="S1111" s="23"/>
      <c r="Y1111" s="23"/>
      <c r="Z1111" s="23"/>
      <c r="AA1111" s="3" t="str">
        <f t="shared" si="9"/>
        <v>___</v>
      </c>
      <c r="AB1111" s="3" t="str">
        <f t="shared" si="8"/>
        <v>____3</v>
      </c>
    </row>
    <row r="1112" spans="1:28" ht="14">
      <c r="A1112" s="3">
        <v>1111</v>
      </c>
      <c r="B1112" s="22" t="s">
        <v>150</v>
      </c>
      <c r="C1112" s="23" t="s">
        <v>151</v>
      </c>
      <c r="D1112" s="22">
        <v>46</v>
      </c>
      <c r="E1112" s="23" t="s">
        <v>134</v>
      </c>
      <c r="F1112" s="23" t="s">
        <v>34</v>
      </c>
      <c r="G1112" s="23" t="s">
        <v>152</v>
      </c>
      <c r="H1112" s="23" t="s">
        <v>35</v>
      </c>
      <c r="I1112" s="22">
        <v>1</v>
      </c>
      <c r="J1112" s="22">
        <v>9.3000000000000007</v>
      </c>
      <c r="K1112" s="22">
        <v>9.3000000000000007</v>
      </c>
      <c r="L1112" s="22">
        <v>4</v>
      </c>
      <c r="M1112" s="23" t="s">
        <v>36</v>
      </c>
      <c r="N1112" s="22">
        <v>1.2</v>
      </c>
      <c r="O1112" s="22">
        <v>7</v>
      </c>
      <c r="P1112" s="22">
        <v>0</v>
      </c>
      <c r="Q1112" s="23"/>
      <c r="R1112" s="23"/>
      <c r="S1112" s="23"/>
      <c r="Y1112" s="23"/>
      <c r="Z1112" s="22">
        <v>158</v>
      </c>
      <c r="AA1112" s="3" t="str">
        <f t="shared" si="9"/>
        <v>ANO_0100_46_T3-C2_vv</v>
      </c>
      <c r="AB1112" s="3" t="str">
        <f t="shared" si="8"/>
        <v>ANO_0100_46_T3-C2_vv_1</v>
      </c>
    </row>
    <row r="1113" spans="1:28" ht="14">
      <c r="A1113" s="3">
        <v>1112</v>
      </c>
      <c r="B1113" s="23"/>
      <c r="C1113" s="23"/>
      <c r="D1113" s="23"/>
      <c r="E1113" s="23"/>
      <c r="F1113" s="23"/>
      <c r="G1113" s="23"/>
      <c r="H1113" s="23"/>
      <c r="I1113" s="22">
        <v>2</v>
      </c>
      <c r="J1113" s="23"/>
      <c r="K1113" s="23"/>
      <c r="L1113" s="23"/>
      <c r="M1113" s="23" t="s">
        <v>38</v>
      </c>
      <c r="N1113" s="22">
        <v>3.5</v>
      </c>
      <c r="O1113" s="22">
        <v>6</v>
      </c>
      <c r="P1113" s="22">
        <v>3</v>
      </c>
      <c r="Q1113" s="23"/>
      <c r="R1113" s="23"/>
      <c r="S1113" s="23"/>
      <c r="Y1113" s="23"/>
      <c r="Z1113" s="23"/>
      <c r="AA1113" s="3" t="str">
        <f t="shared" si="9"/>
        <v>___</v>
      </c>
      <c r="AB1113" s="3" t="str">
        <f t="shared" si="8"/>
        <v>____2</v>
      </c>
    </row>
    <row r="1114" spans="1:28" ht="14">
      <c r="A1114" s="3">
        <v>1113</v>
      </c>
      <c r="B1114" s="23"/>
      <c r="C1114" s="23"/>
      <c r="D1114" s="23"/>
      <c r="E1114" s="23"/>
      <c r="F1114" s="23"/>
      <c r="G1114" s="23"/>
      <c r="H1114" s="23"/>
      <c r="I1114" s="22">
        <v>3</v>
      </c>
      <c r="J1114" s="23"/>
      <c r="K1114" s="23"/>
      <c r="L1114" s="23"/>
      <c r="M1114" s="23" t="s">
        <v>39</v>
      </c>
      <c r="N1114" s="22">
        <v>2.7</v>
      </c>
      <c r="O1114" s="22">
        <v>0</v>
      </c>
      <c r="P1114" s="22">
        <v>4</v>
      </c>
      <c r="Q1114" s="23"/>
      <c r="R1114" s="22">
        <v>2</v>
      </c>
      <c r="S1114" s="23"/>
      <c r="Y1114" s="23"/>
      <c r="Z1114" s="23"/>
      <c r="AA1114" s="3" t="str">
        <f t="shared" si="9"/>
        <v>___</v>
      </c>
      <c r="AB1114" s="3" t="str">
        <f t="shared" si="8"/>
        <v>____3</v>
      </c>
    </row>
    <row r="1115" spans="1:28" ht="14">
      <c r="A1115" s="3">
        <v>1114</v>
      </c>
      <c r="B1115" s="22" t="s">
        <v>150</v>
      </c>
      <c r="C1115" s="23" t="s">
        <v>151</v>
      </c>
      <c r="D1115" s="22">
        <v>46</v>
      </c>
      <c r="E1115" s="23" t="s">
        <v>134</v>
      </c>
      <c r="F1115" s="23" t="s">
        <v>34</v>
      </c>
      <c r="G1115" s="23" t="s">
        <v>152</v>
      </c>
      <c r="H1115" s="23" t="s">
        <v>35</v>
      </c>
      <c r="I1115" s="22">
        <v>1</v>
      </c>
      <c r="J1115" s="22">
        <v>9.6</v>
      </c>
      <c r="K1115" s="22">
        <v>9.6</v>
      </c>
      <c r="L1115" s="22">
        <v>4</v>
      </c>
      <c r="M1115" s="23" t="s">
        <v>36</v>
      </c>
      <c r="N1115" s="22">
        <v>1.7</v>
      </c>
      <c r="O1115" s="22">
        <v>8</v>
      </c>
      <c r="P1115" s="22">
        <v>0</v>
      </c>
      <c r="Q1115" s="23"/>
      <c r="R1115" s="23"/>
      <c r="S1115" s="23"/>
      <c r="Y1115" s="23"/>
      <c r="Z1115" s="22">
        <v>159</v>
      </c>
      <c r="AA1115" s="3" t="str">
        <f t="shared" si="9"/>
        <v>ANO_0100_46_T3-C2_vv</v>
      </c>
      <c r="AB1115" s="3" t="str">
        <f t="shared" si="8"/>
        <v>ANO_0100_46_T3-C2_vv_1</v>
      </c>
    </row>
    <row r="1116" spans="1:28" ht="14">
      <c r="A1116" s="3">
        <v>1115</v>
      </c>
      <c r="B1116" s="23"/>
      <c r="C1116" s="23"/>
      <c r="D1116" s="23"/>
      <c r="E1116" s="23"/>
      <c r="F1116" s="23"/>
      <c r="G1116" s="23"/>
      <c r="H1116" s="23"/>
      <c r="I1116" s="22">
        <v>2</v>
      </c>
      <c r="J1116" s="23"/>
      <c r="K1116" s="23"/>
      <c r="L1116" s="23"/>
      <c r="M1116" s="23" t="s">
        <v>38</v>
      </c>
      <c r="N1116" s="22">
        <v>3</v>
      </c>
      <c r="O1116" s="22">
        <v>5</v>
      </c>
      <c r="P1116" s="22">
        <v>3</v>
      </c>
      <c r="Q1116" s="23"/>
      <c r="R1116" s="23"/>
      <c r="S1116" s="23"/>
      <c r="Y1116" s="23"/>
      <c r="Z1116" s="23"/>
      <c r="AA1116" s="3" t="str">
        <f t="shared" si="9"/>
        <v>___</v>
      </c>
      <c r="AB1116" s="3" t="str">
        <f t="shared" si="8"/>
        <v>____2</v>
      </c>
    </row>
    <row r="1117" spans="1:28" ht="14">
      <c r="A1117" s="3">
        <v>1116</v>
      </c>
      <c r="B1117" s="23"/>
      <c r="C1117" s="23"/>
      <c r="D1117" s="23"/>
      <c r="E1117" s="23"/>
      <c r="F1117" s="23"/>
      <c r="G1117" s="23"/>
      <c r="H1117" s="23"/>
      <c r="I1117" s="22">
        <v>3</v>
      </c>
      <c r="J1117" s="23"/>
      <c r="K1117" s="23"/>
      <c r="L1117" s="23"/>
      <c r="M1117" s="23" t="s">
        <v>39</v>
      </c>
      <c r="N1117" s="22">
        <v>2.1</v>
      </c>
      <c r="O1117" s="22">
        <v>0</v>
      </c>
      <c r="P1117" s="22">
        <v>3</v>
      </c>
      <c r="Q1117" s="23"/>
      <c r="R1117" s="22">
        <v>1</v>
      </c>
      <c r="S1117" s="23"/>
      <c r="Y1117" s="23"/>
      <c r="Z1117" s="23"/>
      <c r="AA1117" s="3" t="str">
        <f t="shared" si="9"/>
        <v>___</v>
      </c>
      <c r="AB1117" s="3" t="str">
        <f t="shared" si="8"/>
        <v>____3</v>
      </c>
    </row>
    <row r="1118" spans="1:28" ht="14">
      <c r="A1118" s="3">
        <v>1117</v>
      </c>
      <c r="B1118" s="22" t="s">
        <v>153</v>
      </c>
      <c r="C1118" s="23" t="s">
        <v>154</v>
      </c>
      <c r="D1118" s="22">
        <v>46</v>
      </c>
      <c r="E1118" s="23" t="s">
        <v>134</v>
      </c>
      <c r="F1118" s="23" t="s">
        <v>34</v>
      </c>
      <c r="G1118" s="23" t="s">
        <v>152</v>
      </c>
      <c r="H1118" s="23" t="s">
        <v>40</v>
      </c>
      <c r="I1118" s="22">
        <v>1</v>
      </c>
      <c r="J1118" s="22">
        <v>17.5</v>
      </c>
      <c r="K1118" s="22">
        <v>26.2</v>
      </c>
      <c r="L1118" s="22">
        <v>5</v>
      </c>
      <c r="M1118" s="23" t="s">
        <v>36</v>
      </c>
      <c r="N1118" s="22">
        <v>2.4</v>
      </c>
      <c r="O1118" s="22">
        <v>6</v>
      </c>
      <c r="P1118" s="22">
        <v>2</v>
      </c>
      <c r="Q1118" s="23"/>
      <c r="R1118" s="23"/>
      <c r="S1118" s="23"/>
      <c r="Y1118" s="23" t="s">
        <v>155</v>
      </c>
      <c r="Z1118" s="22">
        <v>160</v>
      </c>
      <c r="AA1118" s="3" t="str">
        <f t="shared" si="9"/>
        <v>ANO_0085_46_T3-C2_vm</v>
      </c>
      <c r="AB1118" s="3" t="str">
        <f t="shared" si="8"/>
        <v>ANO_0085_46_T3-C2_vm_1</v>
      </c>
    </row>
    <row r="1119" spans="1:28" ht="14">
      <c r="A1119" s="3">
        <v>1118</v>
      </c>
      <c r="B1119" s="23"/>
      <c r="C1119" s="23"/>
      <c r="D1119" s="23"/>
      <c r="E1119" s="23"/>
      <c r="F1119" s="23"/>
      <c r="G1119" s="23"/>
      <c r="H1119" s="23"/>
      <c r="I1119" s="22">
        <v>2</v>
      </c>
      <c r="J1119" s="23"/>
      <c r="K1119" s="23"/>
      <c r="L1119" s="23"/>
      <c r="M1119" s="23" t="s">
        <v>38</v>
      </c>
      <c r="N1119" s="22">
        <v>6.5</v>
      </c>
      <c r="O1119" s="22">
        <v>0</v>
      </c>
      <c r="P1119" s="22">
        <v>4</v>
      </c>
      <c r="Q1119" s="23"/>
      <c r="R1119" s="22">
        <v>4</v>
      </c>
      <c r="S1119" s="23"/>
      <c r="Y1119" s="23"/>
      <c r="Z1119" s="23"/>
      <c r="AA1119" s="3" t="str">
        <f t="shared" si="9"/>
        <v>___</v>
      </c>
      <c r="AB1119" s="3" t="str">
        <f t="shared" si="8"/>
        <v>____2</v>
      </c>
    </row>
    <row r="1120" spans="1:28" ht="14">
      <c r="A1120" s="3">
        <v>1119</v>
      </c>
      <c r="B1120" s="23"/>
      <c r="C1120" s="23"/>
      <c r="D1120" s="23"/>
      <c r="E1120" s="23"/>
      <c r="F1120" s="23"/>
      <c r="G1120" s="23"/>
      <c r="H1120" s="23"/>
      <c r="I1120" s="22">
        <v>3</v>
      </c>
      <c r="J1120" s="23"/>
      <c r="K1120" s="23"/>
      <c r="L1120" s="23"/>
      <c r="M1120" s="23" t="s">
        <v>39</v>
      </c>
      <c r="N1120" s="22">
        <v>3.7</v>
      </c>
      <c r="O1120" s="22">
        <v>0</v>
      </c>
      <c r="P1120" s="22">
        <v>5</v>
      </c>
      <c r="Q1120" s="23"/>
      <c r="R1120" s="22">
        <v>1</v>
      </c>
      <c r="S1120" s="23"/>
      <c r="Y1120" s="23"/>
      <c r="Z1120" s="23"/>
      <c r="AA1120" s="3" t="str">
        <f t="shared" si="9"/>
        <v>___</v>
      </c>
      <c r="AB1120" s="3" t="str">
        <f t="shared" si="8"/>
        <v>____3</v>
      </c>
    </row>
    <row r="1121" spans="1:28" ht="14">
      <c r="A1121" s="3">
        <v>1120</v>
      </c>
      <c r="B1121" s="22" t="s">
        <v>153</v>
      </c>
      <c r="C1121" s="23" t="s">
        <v>154</v>
      </c>
      <c r="D1121" s="22">
        <v>46</v>
      </c>
      <c r="E1121" s="23" t="s">
        <v>134</v>
      </c>
      <c r="F1121" s="23" t="s">
        <v>34</v>
      </c>
      <c r="G1121" s="23" t="s">
        <v>152</v>
      </c>
      <c r="H1121" s="23" t="s">
        <v>40</v>
      </c>
      <c r="I1121" s="22">
        <v>1</v>
      </c>
      <c r="J1121" s="22">
        <v>17</v>
      </c>
      <c r="K1121" s="22">
        <v>18.5</v>
      </c>
      <c r="L1121" s="22">
        <v>4</v>
      </c>
      <c r="M1121" s="23" t="s">
        <v>36</v>
      </c>
      <c r="N1121" s="22">
        <v>7.9</v>
      </c>
      <c r="O1121" s="22">
        <v>7</v>
      </c>
      <c r="P1121" s="22">
        <v>0</v>
      </c>
      <c r="Q1121" s="23"/>
      <c r="R1121" s="23"/>
      <c r="S1121" s="23"/>
      <c r="Y1121" s="23" t="s">
        <v>155</v>
      </c>
      <c r="Z1121" s="22">
        <v>161</v>
      </c>
      <c r="AA1121" s="3" t="str">
        <f t="shared" si="9"/>
        <v>ANO_0085_46_T3-C2_vm</v>
      </c>
      <c r="AB1121" s="3" t="str">
        <f t="shared" si="8"/>
        <v>ANO_0085_46_T3-C2_vm_1</v>
      </c>
    </row>
    <row r="1122" spans="1:28" ht="14">
      <c r="A1122" s="3">
        <v>1121</v>
      </c>
      <c r="B1122" s="23"/>
      <c r="C1122" s="23"/>
      <c r="D1122" s="23"/>
      <c r="E1122" s="23"/>
      <c r="F1122" s="23"/>
      <c r="G1122" s="23"/>
      <c r="H1122" s="23"/>
      <c r="I1122" s="22">
        <v>2</v>
      </c>
      <c r="J1122" s="23"/>
      <c r="K1122" s="23"/>
      <c r="L1122" s="23"/>
      <c r="M1122" s="23" t="s">
        <v>38</v>
      </c>
      <c r="N1122" s="22">
        <v>4.9000000000000004</v>
      </c>
      <c r="O1122" s="22">
        <v>0</v>
      </c>
      <c r="P1122" s="22">
        <v>5</v>
      </c>
      <c r="Q1122" s="23"/>
      <c r="R1122" s="23"/>
      <c r="S1122" s="23"/>
      <c r="Y1122" s="23"/>
      <c r="Z1122" s="23"/>
      <c r="AA1122" s="3" t="str">
        <f t="shared" si="9"/>
        <v>___</v>
      </c>
      <c r="AB1122" s="3" t="str">
        <f t="shared" si="8"/>
        <v>____2</v>
      </c>
    </row>
    <row r="1123" spans="1:28" ht="14">
      <c r="A1123" s="3">
        <v>1122</v>
      </c>
      <c r="B1123" s="23"/>
      <c r="C1123" s="23"/>
      <c r="D1123" s="23"/>
      <c r="E1123" s="23"/>
      <c r="F1123" s="23"/>
      <c r="G1123" s="23"/>
      <c r="H1123" s="23"/>
      <c r="I1123" s="22">
        <v>3</v>
      </c>
      <c r="J1123" s="23"/>
      <c r="K1123" s="23"/>
      <c r="L1123" s="23"/>
      <c r="M1123" s="23" t="s">
        <v>39</v>
      </c>
      <c r="N1123" s="22">
        <v>5.8</v>
      </c>
      <c r="O1123" s="22">
        <v>0</v>
      </c>
      <c r="P1123" s="22">
        <v>4</v>
      </c>
      <c r="Q1123" s="23"/>
      <c r="R1123" s="22">
        <v>1</v>
      </c>
      <c r="S1123" s="23"/>
      <c r="Y1123" s="23"/>
      <c r="Z1123" s="23"/>
      <c r="AA1123" s="3" t="str">
        <f t="shared" si="9"/>
        <v>___</v>
      </c>
      <c r="AB1123" s="3" t="str">
        <f t="shared" si="8"/>
        <v>____3</v>
      </c>
    </row>
    <row r="1124" spans="1:28" ht="14">
      <c r="A1124" s="3">
        <v>1123</v>
      </c>
      <c r="B1124" s="22" t="s">
        <v>153</v>
      </c>
      <c r="C1124" s="23" t="s">
        <v>154</v>
      </c>
      <c r="D1124" s="22">
        <v>46</v>
      </c>
      <c r="E1124" s="23" t="s">
        <v>134</v>
      </c>
      <c r="F1124" s="23" t="s">
        <v>34</v>
      </c>
      <c r="G1124" s="23" t="s">
        <v>152</v>
      </c>
      <c r="H1124" s="23" t="s">
        <v>40</v>
      </c>
      <c r="I1124" s="22">
        <v>1</v>
      </c>
      <c r="J1124" s="22">
        <v>25</v>
      </c>
      <c r="K1124" s="22">
        <v>30.2</v>
      </c>
      <c r="L1124" s="22">
        <v>5</v>
      </c>
      <c r="M1124" s="23" t="s">
        <v>36</v>
      </c>
      <c r="N1124" s="22">
        <v>8.5</v>
      </c>
      <c r="O1124" s="22">
        <v>5</v>
      </c>
      <c r="P1124" s="22">
        <v>2</v>
      </c>
      <c r="Q1124" s="23"/>
      <c r="R1124" s="23"/>
      <c r="S1124" s="23"/>
      <c r="Y1124" s="23" t="s">
        <v>155</v>
      </c>
      <c r="Z1124" s="22">
        <v>162</v>
      </c>
      <c r="AA1124" s="3" t="str">
        <f t="shared" si="9"/>
        <v>ANO_0085_46_T3-C2_vm</v>
      </c>
      <c r="AB1124" s="3" t="str">
        <f t="shared" si="8"/>
        <v>ANO_0085_46_T3-C2_vm_1</v>
      </c>
    </row>
    <row r="1125" spans="1:28" ht="14">
      <c r="A1125" s="3">
        <v>1124</v>
      </c>
      <c r="B1125" s="23"/>
      <c r="C1125" s="23"/>
      <c r="D1125" s="23"/>
      <c r="E1125" s="23"/>
      <c r="F1125" s="23"/>
      <c r="G1125" s="23"/>
      <c r="H1125" s="23"/>
      <c r="I1125" s="22">
        <v>2</v>
      </c>
      <c r="J1125" s="23"/>
      <c r="K1125" s="23"/>
      <c r="L1125" s="23"/>
      <c r="M1125" s="23" t="s">
        <v>38</v>
      </c>
      <c r="N1125" s="22">
        <v>6.5</v>
      </c>
      <c r="O1125" s="22">
        <v>0</v>
      </c>
      <c r="P1125" s="22">
        <v>5</v>
      </c>
      <c r="Q1125" s="23"/>
      <c r="R1125" s="22">
        <v>1</v>
      </c>
      <c r="S1125" s="23"/>
      <c r="Y1125" s="23"/>
      <c r="Z1125" s="23"/>
      <c r="AA1125" s="3" t="str">
        <f t="shared" si="9"/>
        <v>___</v>
      </c>
      <c r="AB1125" s="3" t="str">
        <f t="shared" si="8"/>
        <v>____2</v>
      </c>
    </row>
    <row r="1126" spans="1:28" ht="14">
      <c r="A1126" s="3">
        <v>1125</v>
      </c>
      <c r="B1126" s="23"/>
      <c r="C1126" s="23"/>
      <c r="D1126" s="23"/>
      <c r="E1126" s="23"/>
      <c r="F1126" s="23"/>
      <c r="G1126" s="23"/>
      <c r="H1126" s="23"/>
      <c r="I1126" s="22">
        <v>3</v>
      </c>
      <c r="J1126" s="23"/>
      <c r="K1126" s="23"/>
      <c r="L1126" s="23"/>
      <c r="M1126" s="23" t="s">
        <v>39</v>
      </c>
      <c r="N1126" s="22">
        <v>4</v>
      </c>
      <c r="O1126" s="22">
        <v>0</v>
      </c>
      <c r="P1126" s="22">
        <v>2</v>
      </c>
      <c r="Q1126" s="23"/>
      <c r="R1126" s="22">
        <v>1</v>
      </c>
      <c r="S1126" s="23"/>
      <c r="Y1126" s="23"/>
      <c r="Z1126" s="23"/>
      <c r="AA1126" s="3" t="str">
        <f t="shared" si="9"/>
        <v>___</v>
      </c>
      <c r="AB1126" s="3" t="str">
        <f t="shared" si="8"/>
        <v>____3</v>
      </c>
    </row>
    <row r="1127" spans="1:28" ht="14">
      <c r="A1127" s="3">
        <v>1126</v>
      </c>
      <c r="B1127" s="22" t="s">
        <v>153</v>
      </c>
      <c r="C1127" s="23" t="s">
        <v>154</v>
      </c>
      <c r="D1127" s="22">
        <v>46</v>
      </c>
      <c r="E1127" s="23" t="s">
        <v>134</v>
      </c>
      <c r="F1127" s="23" t="s">
        <v>34</v>
      </c>
      <c r="G1127" s="23" t="s">
        <v>152</v>
      </c>
      <c r="H1127" s="23" t="s">
        <v>35</v>
      </c>
      <c r="I1127" s="22">
        <v>1</v>
      </c>
      <c r="J1127" s="22">
        <v>11.5</v>
      </c>
      <c r="K1127" s="22">
        <v>14</v>
      </c>
      <c r="L1127" s="22">
        <v>4</v>
      </c>
      <c r="M1127" s="23" t="s">
        <v>36</v>
      </c>
      <c r="N1127" s="22">
        <v>2.8</v>
      </c>
      <c r="O1127" s="22">
        <v>10</v>
      </c>
      <c r="P1127" s="22">
        <v>0</v>
      </c>
      <c r="Q1127" s="23"/>
      <c r="R1127" s="23"/>
      <c r="S1127" s="23"/>
      <c r="Y1127" s="23" t="s">
        <v>155</v>
      </c>
      <c r="Z1127" s="22">
        <v>163</v>
      </c>
      <c r="AA1127" s="3" t="str">
        <f t="shared" si="9"/>
        <v>ANO_0085_46_T3-C2_vv</v>
      </c>
      <c r="AB1127" s="3" t="str">
        <f t="shared" si="8"/>
        <v>ANO_0085_46_T3-C2_vv_1</v>
      </c>
    </row>
    <row r="1128" spans="1:28" ht="14">
      <c r="A1128" s="3">
        <v>1127</v>
      </c>
      <c r="B1128" s="23"/>
      <c r="C1128" s="23"/>
      <c r="D1128" s="23"/>
      <c r="E1128" s="23"/>
      <c r="F1128" s="23"/>
      <c r="G1128" s="23"/>
      <c r="H1128" s="23"/>
      <c r="I1128" s="22">
        <v>2</v>
      </c>
      <c r="J1128" s="23"/>
      <c r="K1128" s="23"/>
      <c r="L1128" s="23"/>
      <c r="M1128" s="23" t="s">
        <v>38</v>
      </c>
      <c r="N1128" s="22">
        <v>4.8</v>
      </c>
      <c r="O1128" s="22">
        <v>4</v>
      </c>
      <c r="P1128" s="22">
        <v>4</v>
      </c>
      <c r="Q1128" s="23"/>
      <c r="R1128" s="22">
        <v>2</v>
      </c>
      <c r="S1128" s="23"/>
      <c r="Y1128" s="23"/>
      <c r="Z1128" s="23"/>
      <c r="AA1128" s="3" t="str">
        <f t="shared" si="9"/>
        <v>___</v>
      </c>
      <c r="AB1128" s="3" t="str">
        <f t="shared" si="8"/>
        <v>____2</v>
      </c>
    </row>
    <row r="1129" spans="1:28" ht="14">
      <c r="A1129" s="3">
        <v>1128</v>
      </c>
      <c r="B1129" s="23"/>
      <c r="C1129" s="23"/>
      <c r="D1129" s="23"/>
      <c r="E1129" s="23"/>
      <c r="F1129" s="23"/>
      <c r="G1129" s="23"/>
      <c r="H1129" s="23"/>
      <c r="I1129" s="22">
        <v>3</v>
      </c>
      <c r="J1129" s="23"/>
      <c r="K1129" s="23"/>
      <c r="L1129" s="23"/>
      <c r="M1129" s="23" t="s">
        <v>39</v>
      </c>
      <c r="N1129" s="22">
        <v>4.5</v>
      </c>
      <c r="O1129" s="22">
        <v>0</v>
      </c>
      <c r="P1129" s="22">
        <v>6</v>
      </c>
      <c r="Q1129" s="23"/>
      <c r="R1129" s="23"/>
      <c r="S1129" s="23"/>
      <c r="Y1129" s="23"/>
      <c r="Z1129" s="23"/>
      <c r="AA1129" s="3" t="str">
        <f t="shared" si="9"/>
        <v>___</v>
      </c>
      <c r="AB1129" s="3" t="str">
        <f t="shared" si="8"/>
        <v>____3</v>
      </c>
    </row>
    <row r="1130" spans="1:28" ht="14">
      <c r="A1130" s="3">
        <v>1129</v>
      </c>
      <c r="B1130" s="22" t="s">
        <v>153</v>
      </c>
      <c r="C1130" s="23" t="s">
        <v>154</v>
      </c>
      <c r="D1130" s="22">
        <v>46</v>
      </c>
      <c r="E1130" s="23" t="s">
        <v>134</v>
      </c>
      <c r="F1130" s="23" t="s">
        <v>34</v>
      </c>
      <c r="G1130" s="23" t="s">
        <v>152</v>
      </c>
      <c r="H1130" s="23" t="s">
        <v>35</v>
      </c>
      <c r="I1130" s="22">
        <v>1</v>
      </c>
      <c r="J1130" s="22">
        <v>13.5</v>
      </c>
      <c r="K1130" s="22">
        <v>17</v>
      </c>
      <c r="L1130" s="22">
        <v>4</v>
      </c>
      <c r="M1130" s="23" t="s">
        <v>36</v>
      </c>
      <c r="N1130" s="22">
        <v>3.6</v>
      </c>
      <c r="O1130" s="22">
        <v>17</v>
      </c>
      <c r="P1130" s="22">
        <v>0</v>
      </c>
      <c r="Q1130" s="23"/>
      <c r="R1130" s="23"/>
      <c r="S1130" s="23"/>
      <c r="Y1130" s="23" t="s">
        <v>155</v>
      </c>
      <c r="Z1130" s="22">
        <v>164</v>
      </c>
      <c r="AA1130" s="3" t="str">
        <f t="shared" si="9"/>
        <v>ANO_0085_46_T3-C2_vv</v>
      </c>
      <c r="AB1130" s="3" t="str">
        <f t="shared" si="8"/>
        <v>ANO_0085_46_T3-C2_vv_1</v>
      </c>
    </row>
    <row r="1131" spans="1:28" ht="14">
      <c r="A1131" s="3">
        <v>1130</v>
      </c>
      <c r="B1131" s="23"/>
      <c r="C1131" s="23"/>
      <c r="D1131" s="23"/>
      <c r="E1131" s="23"/>
      <c r="F1131" s="23"/>
      <c r="G1131" s="23"/>
      <c r="H1131" s="23"/>
      <c r="I1131" s="22">
        <v>2</v>
      </c>
      <c r="J1131" s="23"/>
      <c r="K1131" s="23"/>
      <c r="L1131" s="23"/>
      <c r="M1131" s="23" t="s">
        <v>38</v>
      </c>
      <c r="N1131" s="22">
        <v>4.3</v>
      </c>
      <c r="O1131" s="22">
        <v>14</v>
      </c>
      <c r="P1131" s="22">
        <v>1</v>
      </c>
      <c r="Q1131" s="23"/>
      <c r="R1131" s="23"/>
      <c r="S1131" s="23"/>
      <c r="Y1131" s="23"/>
      <c r="Z1131" s="23"/>
      <c r="AA1131" s="3" t="str">
        <f t="shared" si="9"/>
        <v>___</v>
      </c>
      <c r="AB1131" s="3" t="str">
        <f t="shared" si="8"/>
        <v>____2</v>
      </c>
    </row>
    <row r="1132" spans="1:28" ht="14">
      <c r="A1132" s="3">
        <v>1131</v>
      </c>
      <c r="B1132" s="23"/>
      <c r="C1132" s="23"/>
      <c r="D1132" s="23"/>
      <c r="E1132" s="23"/>
      <c r="F1132" s="23"/>
      <c r="G1132" s="23"/>
      <c r="H1132" s="23"/>
      <c r="I1132" s="22">
        <v>3</v>
      </c>
      <c r="J1132" s="23"/>
      <c r="K1132" s="23"/>
      <c r="L1132" s="23"/>
      <c r="M1132" s="23" t="s">
        <v>39</v>
      </c>
      <c r="N1132" s="22">
        <v>4.2</v>
      </c>
      <c r="O1132" s="22">
        <v>6</v>
      </c>
      <c r="P1132" s="22">
        <v>5</v>
      </c>
      <c r="Q1132" s="23"/>
      <c r="R1132" s="22">
        <v>1</v>
      </c>
      <c r="S1132" s="23"/>
      <c r="Y1132" s="23"/>
      <c r="Z1132" s="23"/>
      <c r="AA1132" s="3" t="str">
        <f t="shared" si="9"/>
        <v>___</v>
      </c>
      <c r="AB1132" s="3" t="str">
        <f t="shared" si="8"/>
        <v>____3</v>
      </c>
    </row>
    <row r="1133" spans="1:28" ht="14">
      <c r="A1133" s="3">
        <v>1132</v>
      </c>
      <c r="B1133" s="22" t="s">
        <v>153</v>
      </c>
      <c r="C1133" s="23" t="s">
        <v>154</v>
      </c>
      <c r="D1133" s="22">
        <v>46</v>
      </c>
      <c r="E1133" s="23" t="s">
        <v>134</v>
      </c>
      <c r="F1133" s="23" t="s">
        <v>34</v>
      </c>
      <c r="G1133" s="23" t="s">
        <v>152</v>
      </c>
      <c r="H1133" s="23" t="s">
        <v>35</v>
      </c>
      <c r="I1133" s="22">
        <v>1</v>
      </c>
      <c r="J1133" s="22">
        <v>12</v>
      </c>
      <c r="K1133" s="22">
        <v>13.9</v>
      </c>
      <c r="L1133" s="22">
        <v>4</v>
      </c>
      <c r="M1133" s="23" t="s">
        <v>36</v>
      </c>
      <c r="N1133" s="22">
        <v>2.4</v>
      </c>
      <c r="O1133" s="22">
        <v>11</v>
      </c>
      <c r="P1133" s="22">
        <v>0</v>
      </c>
      <c r="Q1133" s="23"/>
      <c r="R1133" s="23"/>
      <c r="S1133" s="23"/>
      <c r="Y1133" s="23" t="s">
        <v>155</v>
      </c>
      <c r="Z1133" s="22">
        <v>165</v>
      </c>
      <c r="AA1133" s="3" t="str">
        <f t="shared" si="9"/>
        <v>ANO_0085_46_T3-C2_vv</v>
      </c>
      <c r="AB1133" s="3" t="str">
        <f t="shared" si="8"/>
        <v>ANO_0085_46_T3-C2_vv_1</v>
      </c>
    </row>
    <row r="1134" spans="1:28" ht="14">
      <c r="A1134" s="3">
        <v>1133</v>
      </c>
      <c r="B1134" s="23"/>
      <c r="C1134" s="23"/>
      <c r="D1134" s="23"/>
      <c r="E1134" s="23"/>
      <c r="F1134" s="23"/>
      <c r="G1134" s="23"/>
      <c r="H1134" s="23"/>
      <c r="I1134" s="22">
        <v>2</v>
      </c>
      <c r="J1134" s="23"/>
      <c r="K1134" s="23"/>
      <c r="L1134" s="23"/>
      <c r="M1134" s="23" t="s">
        <v>38</v>
      </c>
      <c r="N1134" s="22">
        <v>3.9</v>
      </c>
      <c r="O1134" s="22">
        <v>11</v>
      </c>
      <c r="P1134" s="22">
        <v>1</v>
      </c>
      <c r="Q1134" s="23"/>
      <c r="R1134" s="23"/>
      <c r="S1134" s="23"/>
      <c r="Y1134" s="23"/>
      <c r="Z1134" s="23"/>
      <c r="AA1134" s="3" t="str">
        <f t="shared" si="9"/>
        <v>___</v>
      </c>
      <c r="AB1134" s="3" t="str">
        <f t="shared" si="8"/>
        <v>____2</v>
      </c>
    </row>
    <row r="1135" spans="1:28" ht="14">
      <c r="A1135" s="3">
        <v>1134</v>
      </c>
      <c r="B1135" s="23"/>
      <c r="C1135" s="23"/>
      <c r="D1135" s="23"/>
      <c r="E1135" s="23"/>
      <c r="F1135" s="23"/>
      <c r="G1135" s="23"/>
      <c r="H1135" s="23"/>
      <c r="I1135" s="22">
        <v>3</v>
      </c>
      <c r="J1135" s="23"/>
      <c r="K1135" s="23"/>
      <c r="L1135" s="23"/>
      <c r="M1135" s="23" t="s">
        <v>39</v>
      </c>
      <c r="N1135" s="22">
        <v>5.6</v>
      </c>
      <c r="O1135" s="22">
        <v>4</v>
      </c>
      <c r="P1135" s="22">
        <v>5</v>
      </c>
      <c r="Q1135" s="23"/>
      <c r="R1135" s="22">
        <v>2</v>
      </c>
      <c r="S1135" s="23"/>
      <c r="Y1135" s="23"/>
      <c r="Z1135" s="23"/>
      <c r="AA1135" s="3" t="str">
        <f t="shared" si="9"/>
        <v>___</v>
      </c>
      <c r="AB1135" s="3" t="str">
        <f t="shared" si="8"/>
        <v>____3</v>
      </c>
    </row>
    <row r="1136" spans="1:28" ht="14">
      <c r="A1136" s="3">
        <v>1135</v>
      </c>
      <c r="B1136" s="22" t="s">
        <v>153</v>
      </c>
      <c r="C1136" s="23" t="s">
        <v>154</v>
      </c>
      <c r="D1136" s="22">
        <v>51</v>
      </c>
      <c r="E1136" s="23" t="s">
        <v>134</v>
      </c>
      <c r="F1136" s="23" t="s">
        <v>34</v>
      </c>
      <c r="G1136" s="23" t="s">
        <v>156</v>
      </c>
      <c r="H1136" s="23" t="s">
        <v>40</v>
      </c>
      <c r="I1136" s="22">
        <v>1</v>
      </c>
      <c r="J1136" s="22">
        <v>24.5</v>
      </c>
      <c r="K1136" s="22">
        <v>34.200000000000003</v>
      </c>
      <c r="L1136" s="22">
        <v>8</v>
      </c>
      <c r="M1136" s="23" t="s">
        <v>36</v>
      </c>
      <c r="N1136" s="22">
        <v>4.5</v>
      </c>
      <c r="O1136" s="22">
        <v>5</v>
      </c>
      <c r="P1136" s="22">
        <v>0</v>
      </c>
      <c r="Q1136" s="23"/>
      <c r="R1136" s="22">
        <v>1</v>
      </c>
      <c r="S1136" s="23"/>
      <c r="Y1136" s="23"/>
      <c r="Z1136" s="22">
        <v>166</v>
      </c>
      <c r="AA1136" s="3" t="str">
        <f t="shared" si="9"/>
        <v>ANO_0085_51_T3-C5_vm</v>
      </c>
      <c r="AB1136" s="3" t="str">
        <f t="shared" si="8"/>
        <v>ANO_0085_51_T3-C5_vm_1</v>
      </c>
    </row>
    <row r="1137" spans="1:28" ht="14">
      <c r="A1137" s="3">
        <v>1136</v>
      </c>
      <c r="B1137" s="23"/>
      <c r="C1137" s="23"/>
      <c r="D1137" s="23"/>
      <c r="E1137" s="23"/>
      <c r="F1137" s="23"/>
      <c r="G1137" s="23"/>
      <c r="H1137" s="23"/>
      <c r="I1137" s="22">
        <v>2</v>
      </c>
      <c r="J1137" s="23"/>
      <c r="K1137" s="23"/>
      <c r="L1137" s="23"/>
      <c r="M1137" s="23" t="s">
        <v>38</v>
      </c>
      <c r="N1137" s="22">
        <v>5</v>
      </c>
      <c r="O1137" s="22">
        <v>0</v>
      </c>
      <c r="P1137" s="22">
        <v>4</v>
      </c>
      <c r="Q1137" s="23"/>
      <c r="R1137" s="22">
        <v>1</v>
      </c>
      <c r="S1137" s="23"/>
      <c r="Y1137" s="23"/>
      <c r="Z1137" s="23"/>
      <c r="AA1137" s="3" t="str">
        <f t="shared" si="9"/>
        <v>___</v>
      </c>
      <c r="AB1137" s="3" t="str">
        <f t="shared" si="8"/>
        <v>____2</v>
      </c>
    </row>
    <row r="1138" spans="1:28" ht="14">
      <c r="A1138" s="3">
        <v>1137</v>
      </c>
      <c r="B1138" s="23"/>
      <c r="C1138" s="23"/>
      <c r="D1138" s="23"/>
      <c r="E1138" s="23"/>
      <c r="F1138" s="23"/>
      <c r="G1138" s="23"/>
      <c r="H1138" s="23"/>
      <c r="I1138" s="22">
        <v>3</v>
      </c>
      <c r="J1138" s="23"/>
      <c r="K1138" s="23"/>
      <c r="L1138" s="23"/>
      <c r="M1138" s="23" t="s">
        <v>39</v>
      </c>
      <c r="N1138" s="22">
        <v>4.7</v>
      </c>
      <c r="O1138" s="22">
        <v>0</v>
      </c>
      <c r="P1138" s="22">
        <v>5</v>
      </c>
      <c r="Q1138" s="23"/>
      <c r="R1138" s="23"/>
      <c r="S1138" s="23"/>
      <c r="Y1138" s="23"/>
      <c r="Z1138" s="23"/>
      <c r="AA1138" s="3" t="str">
        <f t="shared" si="9"/>
        <v>___</v>
      </c>
      <c r="AB1138" s="3" t="str">
        <f t="shared" si="8"/>
        <v>____3</v>
      </c>
    </row>
    <row r="1139" spans="1:28" ht="14">
      <c r="A1139" s="3">
        <v>1138</v>
      </c>
      <c r="B1139" s="22" t="s">
        <v>153</v>
      </c>
      <c r="C1139" s="23" t="s">
        <v>154</v>
      </c>
      <c r="D1139" s="22">
        <v>51</v>
      </c>
      <c r="E1139" s="23" t="s">
        <v>134</v>
      </c>
      <c r="F1139" s="23" t="s">
        <v>34</v>
      </c>
      <c r="G1139" s="23" t="s">
        <v>156</v>
      </c>
      <c r="H1139" s="23" t="s">
        <v>40</v>
      </c>
      <c r="I1139" s="22">
        <v>1</v>
      </c>
      <c r="J1139" s="22">
        <v>18.5</v>
      </c>
      <c r="K1139" s="22">
        <v>22.2</v>
      </c>
      <c r="L1139" s="22">
        <v>5</v>
      </c>
      <c r="M1139" s="23" t="s">
        <v>36</v>
      </c>
      <c r="N1139" s="22">
        <v>3.2</v>
      </c>
      <c r="O1139" s="22">
        <v>5</v>
      </c>
      <c r="P1139" s="22">
        <v>0</v>
      </c>
      <c r="Q1139" s="23"/>
      <c r="R1139" s="23"/>
      <c r="S1139" s="23"/>
      <c r="Y1139" s="23"/>
      <c r="Z1139" s="22">
        <v>167</v>
      </c>
      <c r="AA1139" s="3" t="str">
        <f t="shared" si="9"/>
        <v>ANO_0085_51_T3-C5_vm</v>
      </c>
      <c r="AB1139" s="3" t="str">
        <f t="shared" si="8"/>
        <v>ANO_0085_51_T3-C5_vm_1</v>
      </c>
    </row>
    <row r="1140" spans="1:28" ht="14">
      <c r="A1140" s="3">
        <v>1139</v>
      </c>
      <c r="B1140" s="23"/>
      <c r="C1140" s="23"/>
      <c r="D1140" s="23"/>
      <c r="E1140" s="23"/>
      <c r="F1140" s="23"/>
      <c r="G1140" s="23"/>
      <c r="H1140" s="23"/>
      <c r="I1140" s="22">
        <v>2</v>
      </c>
      <c r="J1140" s="23"/>
      <c r="K1140" s="23"/>
      <c r="L1140" s="23"/>
      <c r="M1140" s="23" t="s">
        <v>38</v>
      </c>
      <c r="N1140" s="22">
        <v>6.2</v>
      </c>
      <c r="O1140" s="22">
        <v>0</v>
      </c>
      <c r="P1140" s="22">
        <v>4</v>
      </c>
      <c r="Q1140" s="23"/>
      <c r="R1140" s="22">
        <v>2</v>
      </c>
      <c r="S1140" s="23"/>
      <c r="Y1140" s="23"/>
      <c r="Z1140" s="23"/>
      <c r="AA1140" s="3" t="str">
        <f t="shared" si="9"/>
        <v>___</v>
      </c>
      <c r="AB1140" s="3" t="str">
        <f t="shared" si="8"/>
        <v>____2</v>
      </c>
    </row>
    <row r="1141" spans="1:28" ht="14">
      <c r="A1141" s="3">
        <v>1140</v>
      </c>
      <c r="B1141" s="23"/>
      <c r="C1141" s="23"/>
      <c r="D1141" s="23"/>
      <c r="E1141" s="23"/>
      <c r="F1141" s="23"/>
      <c r="G1141" s="23"/>
      <c r="H1141" s="23"/>
      <c r="I1141" s="22">
        <v>3</v>
      </c>
      <c r="J1141" s="23"/>
      <c r="K1141" s="23"/>
      <c r="L1141" s="23"/>
      <c r="M1141" s="23" t="s">
        <v>39</v>
      </c>
      <c r="N1141" s="22">
        <v>7.6</v>
      </c>
      <c r="O1141" s="22">
        <v>0</v>
      </c>
      <c r="P1141" s="22">
        <v>3</v>
      </c>
      <c r="Q1141" s="23"/>
      <c r="R1141" s="22">
        <v>3</v>
      </c>
      <c r="S1141" s="23"/>
      <c r="Y1141" s="23"/>
      <c r="Z1141" s="23"/>
      <c r="AA1141" s="3" t="str">
        <f t="shared" si="9"/>
        <v>___</v>
      </c>
      <c r="AB1141" s="3" t="str">
        <f t="shared" si="8"/>
        <v>____3</v>
      </c>
    </row>
    <row r="1142" spans="1:28" ht="14">
      <c r="A1142" s="3">
        <v>1141</v>
      </c>
      <c r="B1142" s="22" t="s">
        <v>153</v>
      </c>
      <c r="C1142" s="23" t="s">
        <v>154</v>
      </c>
      <c r="D1142" s="22">
        <v>51</v>
      </c>
      <c r="E1142" s="23" t="s">
        <v>134</v>
      </c>
      <c r="F1142" s="23" t="s">
        <v>34</v>
      </c>
      <c r="G1142" s="23" t="s">
        <v>156</v>
      </c>
      <c r="H1142" s="23" t="s">
        <v>40</v>
      </c>
      <c r="I1142" s="22">
        <v>1</v>
      </c>
      <c r="J1142" s="22">
        <v>16</v>
      </c>
      <c r="K1142" s="22">
        <v>20.5</v>
      </c>
      <c r="L1142" s="22">
        <v>4</v>
      </c>
      <c r="M1142" s="23" t="s">
        <v>36</v>
      </c>
      <c r="N1142" s="22">
        <v>3.2</v>
      </c>
      <c r="O1142" s="22">
        <v>5</v>
      </c>
      <c r="P1142" s="22">
        <v>1</v>
      </c>
      <c r="Q1142" s="23"/>
      <c r="R1142" s="23"/>
      <c r="S1142" s="23"/>
      <c r="Y1142" s="23"/>
      <c r="Z1142" s="22">
        <v>168</v>
      </c>
      <c r="AA1142" s="3" t="str">
        <f t="shared" si="9"/>
        <v>ANO_0085_51_T3-C5_vm</v>
      </c>
      <c r="AB1142" s="3" t="str">
        <f t="shared" si="8"/>
        <v>ANO_0085_51_T3-C5_vm_1</v>
      </c>
    </row>
    <row r="1143" spans="1:28" ht="14">
      <c r="A1143" s="3">
        <v>1142</v>
      </c>
      <c r="B1143" s="23"/>
      <c r="C1143" s="23"/>
      <c r="D1143" s="23"/>
      <c r="E1143" s="23"/>
      <c r="F1143" s="23"/>
      <c r="G1143" s="23"/>
      <c r="H1143" s="23"/>
      <c r="I1143" s="22">
        <v>2</v>
      </c>
      <c r="J1143" s="23"/>
      <c r="K1143" s="23"/>
      <c r="L1143" s="23"/>
      <c r="M1143" s="23" t="s">
        <v>38</v>
      </c>
      <c r="N1143" s="22">
        <v>6.5</v>
      </c>
      <c r="O1143" s="22">
        <v>2</v>
      </c>
      <c r="P1143" s="22">
        <v>5</v>
      </c>
      <c r="Q1143" s="23"/>
      <c r="R1143" s="22">
        <v>2</v>
      </c>
      <c r="S1143" s="23"/>
      <c r="Y1143" s="23"/>
      <c r="Z1143" s="23"/>
      <c r="AA1143" s="3" t="str">
        <f t="shared" si="9"/>
        <v>___</v>
      </c>
      <c r="AB1143" s="3" t="str">
        <f t="shared" si="8"/>
        <v>____2</v>
      </c>
    </row>
    <row r="1144" spans="1:28" ht="14">
      <c r="A1144" s="3">
        <v>1143</v>
      </c>
      <c r="B1144" s="23"/>
      <c r="C1144" s="23"/>
      <c r="D1144" s="23"/>
      <c r="E1144" s="23"/>
      <c r="F1144" s="23"/>
      <c r="G1144" s="23"/>
      <c r="H1144" s="23"/>
      <c r="I1144" s="22">
        <v>3</v>
      </c>
      <c r="J1144" s="23"/>
      <c r="K1144" s="23"/>
      <c r="L1144" s="23"/>
      <c r="M1144" s="23" t="s">
        <v>39</v>
      </c>
      <c r="N1144" s="22">
        <v>5.0999999999999996</v>
      </c>
      <c r="O1144" s="22">
        <v>0</v>
      </c>
      <c r="P1144" s="22">
        <v>4</v>
      </c>
      <c r="Q1144" s="23"/>
      <c r="R1144" s="22">
        <v>1</v>
      </c>
      <c r="S1144" s="23"/>
      <c r="Y1144" s="23"/>
      <c r="Z1144" s="23"/>
      <c r="AA1144" s="3" t="str">
        <f t="shared" si="9"/>
        <v>___</v>
      </c>
      <c r="AB1144" s="3" t="str">
        <f t="shared" si="8"/>
        <v>____3</v>
      </c>
    </row>
    <row r="1145" spans="1:28" ht="14">
      <c r="A1145" s="3">
        <v>1144</v>
      </c>
      <c r="B1145" s="22" t="s">
        <v>153</v>
      </c>
      <c r="C1145" s="23" t="s">
        <v>154</v>
      </c>
      <c r="D1145" s="22">
        <v>51</v>
      </c>
      <c r="E1145" s="23" t="s">
        <v>134</v>
      </c>
      <c r="F1145" s="23" t="s">
        <v>34</v>
      </c>
      <c r="G1145" s="23" t="s">
        <v>156</v>
      </c>
      <c r="H1145" s="23" t="s">
        <v>35</v>
      </c>
      <c r="I1145" s="22">
        <v>1</v>
      </c>
      <c r="J1145" s="22">
        <v>11.5</v>
      </c>
      <c r="K1145" s="22">
        <v>17.2</v>
      </c>
      <c r="L1145" s="22">
        <v>5</v>
      </c>
      <c r="M1145" s="23" t="s">
        <v>36</v>
      </c>
      <c r="N1145" s="22">
        <v>3.9</v>
      </c>
      <c r="O1145" s="22">
        <v>9</v>
      </c>
      <c r="P1145" s="22">
        <v>1</v>
      </c>
      <c r="Q1145" s="23"/>
      <c r="R1145" s="23"/>
      <c r="S1145" s="23"/>
      <c r="Y1145" s="23"/>
      <c r="Z1145" s="22">
        <v>169</v>
      </c>
      <c r="AA1145" s="3" t="str">
        <f t="shared" si="9"/>
        <v>ANO_0085_51_T3-C5_vv</v>
      </c>
      <c r="AB1145" s="3" t="str">
        <f t="shared" si="8"/>
        <v>ANO_0085_51_T3-C5_vv_1</v>
      </c>
    </row>
    <row r="1146" spans="1:28" ht="14">
      <c r="A1146" s="3">
        <v>1145</v>
      </c>
      <c r="B1146" s="23"/>
      <c r="C1146" s="23"/>
      <c r="D1146" s="23"/>
      <c r="E1146" s="23"/>
      <c r="F1146" s="23"/>
      <c r="G1146" s="23"/>
      <c r="H1146" s="23"/>
      <c r="I1146" s="22">
        <v>2</v>
      </c>
      <c r="J1146" s="23"/>
      <c r="K1146" s="23"/>
      <c r="L1146" s="23"/>
      <c r="M1146" s="23" t="s">
        <v>38</v>
      </c>
      <c r="N1146" s="22">
        <v>2.7</v>
      </c>
      <c r="O1146" s="22">
        <v>6</v>
      </c>
      <c r="P1146" s="22">
        <v>2</v>
      </c>
      <c r="Q1146" s="23"/>
      <c r="R1146" s="22">
        <v>1</v>
      </c>
      <c r="S1146" s="23"/>
      <c r="Y1146" s="23"/>
      <c r="Z1146" s="23"/>
      <c r="AA1146" s="3" t="str">
        <f t="shared" si="9"/>
        <v>___</v>
      </c>
      <c r="AB1146" s="3" t="str">
        <f t="shared" si="8"/>
        <v>____2</v>
      </c>
    </row>
    <row r="1147" spans="1:28" ht="14">
      <c r="A1147" s="3">
        <v>1146</v>
      </c>
      <c r="B1147" s="23"/>
      <c r="C1147" s="23"/>
      <c r="D1147" s="23"/>
      <c r="E1147" s="23"/>
      <c r="F1147" s="23"/>
      <c r="G1147" s="23"/>
      <c r="H1147" s="23"/>
      <c r="I1147" s="22">
        <v>3</v>
      </c>
      <c r="J1147" s="23"/>
      <c r="K1147" s="23"/>
      <c r="L1147" s="23"/>
      <c r="M1147" s="23" t="s">
        <v>39</v>
      </c>
      <c r="N1147" s="22">
        <v>2.6</v>
      </c>
      <c r="O1147" s="22">
        <v>0</v>
      </c>
      <c r="P1147" s="22">
        <v>6</v>
      </c>
      <c r="Q1147" s="23"/>
      <c r="R1147" s="23"/>
      <c r="S1147" s="23"/>
      <c r="Y1147" s="23"/>
      <c r="Z1147" s="23"/>
      <c r="AA1147" s="3" t="str">
        <f t="shared" si="9"/>
        <v>___</v>
      </c>
      <c r="AB1147" s="3" t="str">
        <f t="shared" si="8"/>
        <v>____3</v>
      </c>
    </row>
    <row r="1148" spans="1:28" ht="14">
      <c r="A1148" s="3">
        <v>1147</v>
      </c>
      <c r="B1148" s="22" t="s">
        <v>153</v>
      </c>
      <c r="C1148" s="23" t="s">
        <v>154</v>
      </c>
      <c r="D1148" s="22">
        <v>51</v>
      </c>
      <c r="E1148" s="23" t="s">
        <v>134</v>
      </c>
      <c r="F1148" s="23" t="s">
        <v>34</v>
      </c>
      <c r="G1148" s="23" t="s">
        <v>156</v>
      </c>
      <c r="H1148" s="23" t="s">
        <v>35</v>
      </c>
      <c r="I1148" s="22">
        <v>1</v>
      </c>
      <c r="J1148" s="22">
        <v>8.5</v>
      </c>
      <c r="K1148" s="22">
        <v>13.1</v>
      </c>
      <c r="L1148" s="22">
        <v>4</v>
      </c>
      <c r="M1148" s="23" t="s">
        <v>36</v>
      </c>
      <c r="N1148" s="22">
        <v>2.2000000000000002</v>
      </c>
      <c r="O1148" s="22">
        <v>10</v>
      </c>
      <c r="P1148" s="22">
        <v>0</v>
      </c>
      <c r="Q1148" s="23"/>
      <c r="R1148" s="23"/>
      <c r="S1148" s="23"/>
      <c r="Y1148" s="23"/>
      <c r="Z1148" s="22">
        <v>170</v>
      </c>
      <c r="AA1148" s="3" t="str">
        <f t="shared" si="9"/>
        <v>ANO_0085_51_T3-C5_vv</v>
      </c>
      <c r="AB1148" s="3" t="str">
        <f t="shared" si="8"/>
        <v>ANO_0085_51_T3-C5_vv_1</v>
      </c>
    </row>
    <row r="1149" spans="1:28" ht="14">
      <c r="A1149" s="3">
        <v>1148</v>
      </c>
      <c r="B1149" s="23"/>
      <c r="C1149" s="23"/>
      <c r="D1149" s="23"/>
      <c r="E1149" s="23"/>
      <c r="F1149" s="23"/>
      <c r="G1149" s="23"/>
      <c r="H1149" s="23"/>
      <c r="I1149" s="22">
        <v>2</v>
      </c>
      <c r="J1149" s="23"/>
      <c r="K1149" s="23"/>
      <c r="L1149" s="23"/>
      <c r="M1149" s="23" t="s">
        <v>38</v>
      </c>
      <c r="N1149" s="22">
        <v>3.4</v>
      </c>
      <c r="O1149" s="22">
        <v>7</v>
      </c>
      <c r="P1149" s="22">
        <v>1</v>
      </c>
      <c r="Q1149" s="23"/>
      <c r="R1149" s="23"/>
      <c r="S1149" s="23"/>
      <c r="Y1149" s="23"/>
      <c r="Z1149" s="23"/>
      <c r="AA1149" s="3" t="str">
        <f t="shared" si="9"/>
        <v>___</v>
      </c>
      <c r="AB1149" s="3" t="str">
        <f t="shared" si="8"/>
        <v>____2</v>
      </c>
    </row>
    <row r="1150" spans="1:28" ht="14">
      <c r="A1150" s="3">
        <v>1149</v>
      </c>
      <c r="B1150" s="23"/>
      <c r="C1150" s="23"/>
      <c r="D1150" s="23"/>
      <c r="E1150" s="23"/>
      <c r="F1150" s="23"/>
      <c r="G1150" s="23"/>
      <c r="H1150" s="23"/>
      <c r="I1150" s="22">
        <v>3</v>
      </c>
      <c r="J1150" s="23"/>
      <c r="K1150" s="23"/>
      <c r="L1150" s="23"/>
      <c r="M1150" s="23" t="s">
        <v>39</v>
      </c>
      <c r="N1150" s="22">
        <v>5</v>
      </c>
      <c r="O1150" s="22">
        <v>0</v>
      </c>
      <c r="P1150" s="22">
        <v>5</v>
      </c>
      <c r="Q1150" s="23"/>
      <c r="R1150" s="22">
        <v>1</v>
      </c>
      <c r="S1150" s="22">
        <v>1</v>
      </c>
      <c r="Y1150" s="23"/>
      <c r="Z1150" s="23"/>
      <c r="AA1150" s="3" t="str">
        <f t="shared" si="9"/>
        <v>___</v>
      </c>
      <c r="AB1150" s="3" t="str">
        <f t="shared" si="8"/>
        <v>____3</v>
      </c>
    </row>
    <row r="1151" spans="1:28" ht="14">
      <c r="A1151" s="3">
        <v>1150</v>
      </c>
      <c r="B1151" s="22" t="s">
        <v>153</v>
      </c>
      <c r="C1151" s="23" t="s">
        <v>154</v>
      </c>
      <c r="D1151" s="22">
        <v>51</v>
      </c>
      <c r="E1151" s="23" t="s">
        <v>134</v>
      </c>
      <c r="F1151" s="23" t="s">
        <v>34</v>
      </c>
      <c r="G1151" s="23" t="s">
        <v>156</v>
      </c>
      <c r="H1151" s="23" t="s">
        <v>35</v>
      </c>
      <c r="I1151" s="22">
        <v>1</v>
      </c>
      <c r="J1151" s="22">
        <v>9</v>
      </c>
      <c r="K1151" s="22">
        <v>12</v>
      </c>
      <c r="L1151" s="22">
        <v>3</v>
      </c>
      <c r="M1151" s="23" t="s">
        <v>36</v>
      </c>
      <c r="N1151" s="22">
        <v>3.5</v>
      </c>
      <c r="O1151" s="22">
        <v>8</v>
      </c>
      <c r="P1151" s="22">
        <v>1</v>
      </c>
      <c r="Q1151" s="23"/>
      <c r="R1151" s="23"/>
      <c r="S1151" s="23"/>
      <c r="Y1151" s="23"/>
      <c r="Z1151" s="22">
        <v>171</v>
      </c>
      <c r="AA1151" s="3" t="str">
        <f t="shared" si="9"/>
        <v>ANO_0085_51_T3-C5_vv</v>
      </c>
      <c r="AB1151" s="3" t="str">
        <f t="shared" si="8"/>
        <v>ANO_0085_51_T3-C5_vv_1</v>
      </c>
    </row>
    <row r="1152" spans="1:28" ht="14">
      <c r="A1152" s="3">
        <v>1151</v>
      </c>
      <c r="B1152" s="23"/>
      <c r="C1152" s="23"/>
      <c r="D1152" s="23"/>
      <c r="E1152" s="23"/>
      <c r="F1152" s="23"/>
      <c r="G1152" s="23"/>
      <c r="H1152" s="23"/>
      <c r="I1152" s="22">
        <v>2</v>
      </c>
      <c r="J1152" s="23"/>
      <c r="K1152" s="23"/>
      <c r="L1152" s="23"/>
      <c r="M1152" s="23" t="s">
        <v>38</v>
      </c>
      <c r="N1152" s="22">
        <v>4.0999999999999996</v>
      </c>
      <c r="O1152" s="22">
        <v>4</v>
      </c>
      <c r="P1152" s="22">
        <v>5</v>
      </c>
      <c r="Q1152" s="23"/>
      <c r="R1152" s="23"/>
      <c r="S1152" s="23"/>
      <c r="Y1152" s="23"/>
      <c r="Z1152" s="23"/>
      <c r="AA1152" s="3" t="str">
        <f t="shared" si="9"/>
        <v>___</v>
      </c>
      <c r="AB1152" s="3" t="str">
        <f t="shared" si="8"/>
        <v>____2</v>
      </c>
    </row>
    <row r="1153" spans="1:28" ht="14">
      <c r="A1153" s="3">
        <v>1152</v>
      </c>
      <c r="B1153" s="23"/>
      <c r="C1153" s="23"/>
      <c r="D1153" s="23"/>
      <c r="E1153" s="23"/>
      <c r="F1153" s="23"/>
      <c r="G1153" s="23"/>
      <c r="H1153" s="23"/>
      <c r="I1153" s="22">
        <v>3</v>
      </c>
      <c r="J1153" s="23"/>
      <c r="K1153" s="23"/>
      <c r="L1153" s="23"/>
      <c r="M1153" s="23" t="s">
        <v>39</v>
      </c>
      <c r="N1153" s="22">
        <v>4.5999999999999996</v>
      </c>
      <c r="O1153" s="22">
        <v>0</v>
      </c>
      <c r="P1153" s="22">
        <v>7</v>
      </c>
      <c r="Q1153" s="23"/>
      <c r="R1153" s="23"/>
      <c r="S1153" s="23"/>
      <c r="Y1153" s="23"/>
      <c r="Z1153" s="23"/>
      <c r="AA1153" s="3" t="str">
        <f t="shared" si="9"/>
        <v>___</v>
      </c>
      <c r="AB1153" s="3" t="str">
        <f t="shared" si="8"/>
        <v>____3</v>
      </c>
    </row>
    <row r="1154" spans="1:28" ht="14">
      <c r="A1154" s="3">
        <v>1153</v>
      </c>
      <c r="B1154" s="22" t="s">
        <v>157</v>
      </c>
      <c r="C1154" s="23" t="s">
        <v>158</v>
      </c>
      <c r="D1154" s="22">
        <v>44</v>
      </c>
      <c r="E1154" s="23" t="s">
        <v>134</v>
      </c>
      <c r="F1154" s="23" t="s">
        <v>34</v>
      </c>
      <c r="G1154" s="23" t="s">
        <v>159</v>
      </c>
      <c r="H1154" s="23" t="s">
        <v>40</v>
      </c>
      <c r="I1154" s="22">
        <v>1</v>
      </c>
      <c r="J1154" s="22">
        <v>14.5</v>
      </c>
      <c r="K1154" s="22">
        <v>16.899999999999999</v>
      </c>
      <c r="L1154" s="22">
        <v>4</v>
      </c>
      <c r="M1154" s="23" t="s">
        <v>36</v>
      </c>
      <c r="N1154" s="22">
        <v>3.3</v>
      </c>
      <c r="O1154" s="22">
        <v>5</v>
      </c>
      <c r="P1154" s="22">
        <v>0</v>
      </c>
      <c r="Q1154" s="23"/>
      <c r="R1154" s="23"/>
      <c r="S1154" s="23"/>
      <c r="Y1154" s="23"/>
      <c r="Z1154" s="22">
        <v>172</v>
      </c>
      <c r="AA1154" s="3" t="str">
        <f t="shared" si="9"/>
        <v>ANO_0010_44_T3-C4_vm</v>
      </c>
      <c r="AB1154" s="3" t="str">
        <f t="shared" si="8"/>
        <v>ANO_0010_44_T3-C4_vm_1</v>
      </c>
    </row>
    <row r="1155" spans="1:28" ht="14">
      <c r="A1155" s="3">
        <v>1154</v>
      </c>
      <c r="B1155" s="23"/>
      <c r="C1155" s="23"/>
      <c r="D1155" s="23"/>
      <c r="E1155" s="23"/>
      <c r="F1155" s="23"/>
      <c r="G1155" s="23"/>
      <c r="H1155" s="23"/>
      <c r="I1155" s="22">
        <v>2</v>
      </c>
      <c r="J1155" s="23"/>
      <c r="K1155" s="23"/>
      <c r="L1155" s="23"/>
      <c r="M1155" s="23" t="s">
        <v>38</v>
      </c>
      <c r="N1155" s="22">
        <v>5.3</v>
      </c>
      <c r="O1155" s="22">
        <v>2</v>
      </c>
      <c r="P1155" s="22">
        <v>2</v>
      </c>
      <c r="Q1155" s="23"/>
      <c r="R1155" s="22">
        <v>2</v>
      </c>
      <c r="S1155" s="23"/>
      <c r="Y1155" s="23"/>
      <c r="Z1155" s="23"/>
      <c r="AA1155" s="3" t="str">
        <f t="shared" si="9"/>
        <v>___</v>
      </c>
      <c r="AB1155" s="3" t="str">
        <f t="shared" si="8"/>
        <v>____2</v>
      </c>
    </row>
    <row r="1156" spans="1:28" ht="14">
      <c r="A1156" s="3">
        <v>1155</v>
      </c>
      <c r="B1156" s="23"/>
      <c r="C1156" s="23"/>
      <c r="D1156" s="23"/>
      <c r="E1156" s="23"/>
      <c r="F1156" s="23"/>
      <c r="G1156" s="23"/>
      <c r="H1156" s="23"/>
      <c r="I1156" s="22">
        <v>3</v>
      </c>
      <c r="J1156" s="23"/>
      <c r="K1156" s="23"/>
      <c r="L1156" s="23"/>
      <c r="M1156" s="23" t="s">
        <v>39</v>
      </c>
      <c r="N1156" s="22">
        <v>3.6</v>
      </c>
      <c r="O1156" s="22">
        <v>0</v>
      </c>
      <c r="P1156" s="22">
        <v>1</v>
      </c>
      <c r="Q1156" s="23"/>
      <c r="R1156" s="22">
        <v>1</v>
      </c>
      <c r="S1156" s="23"/>
      <c r="Y1156" s="23"/>
      <c r="Z1156" s="23"/>
      <c r="AA1156" s="3" t="str">
        <f t="shared" si="9"/>
        <v>___</v>
      </c>
      <c r="AB1156" s="3" t="str">
        <f t="shared" si="8"/>
        <v>____3</v>
      </c>
    </row>
    <row r="1157" spans="1:28" ht="14">
      <c r="A1157" s="3">
        <v>1156</v>
      </c>
      <c r="B1157" s="22" t="s">
        <v>157</v>
      </c>
      <c r="C1157" s="23" t="s">
        <v>158</v>
      </c>
      <c r="D1157" s="22">
        <v>44</v>
      </c>
      <c r="E1157" s="23" t="s">
        <v>134</v>
      </c>
      <c r="F1157" s="23" t="s">
        <v>34</v>
      </c>
      <c r="G1157" s="23" t="s">
        <v>159</v>
      </c>
      <c r="H1157" s="23" t="s">
        <v>40</v>
      </c>
      <c r="I1157" s="22">
        <v>1</v>
      </c>
      <c r="J1157" s="22">
        <v>14</v>
      </c>
      <c r="K1157" s="22">
        <v>21.4</v>
      </c>
      <c r="L1157" s="22">
        <v>6</v>
      </c>
      <c r="M1157" s="23" t="s">
        <v>36</v>
      </c>
      <c r="N1157" s="22">
        <v>2.1</v>
      </c>
      <c r="O1157" s="22">
        <v>4</v>
      </c>
      <c r="P1157" s="22">
        <v>0</v>
      </c>
      <c r="Q1157" s="23"/>
      <c r="R1157" s="23"/>
      <c r="S1157" s="23"/>
      <c r="Y1157" s="23"/>
      <c r="Z1157" s="22">
        <v>173</v>
      </c>
      <c r="AA1157" s="3" t="str">
        <f t="shared" si="9"/>
        <v>ANO_0010_44_T3-C4_vm</v>
      </c>
      <c r="AB1157" s="3" t="str">
        <f t="shared" si="8"/>
        <v>ANO_0010_44_T3-C4_vm_1</v>
      </c>
    </row>
    <row r="1158" spans="1:28" ht="14">
      <c r="A1158" s="3">
        <v>1157</v>
      </c>
      <c r="B1158" s="23"/>
      <c r="C1158" s="23"/>
      <c r="D1158" s="23"/>
      <c r="E1158" s="23"/>
      <c r="F1158" s="23"/>
      <c r="G1158" s="23"/>
      <c r="H1158" s="23"/>
      <c r="I1158" s="22">
        <v>2</v>
      </c>
      <c r="J1158" s="23"/>
      <c r="K1158" s="23"/>
      <c r="L1158" s="23"/>
      <c r="M1158" s="23" t="s">
        <v>38</v>
      </c>
      <c r="N1158" s="22">
        <v>4.9000000000000004</v>
      </c>
      <c r="O1158" s="22">
        <v>0</v>
      </c>
      <c r="P1158" s="22">
        <v>2</v>
      </c>
      <c r="Q1158" s="23"/>
      <c r="R1158" s="22">
        <v>2</v>
      </c>
      <c r="S1158" s="23"/>
      <c r="Y1158" s="23"/>
      <c r="Z1158" s="23"/>
      <c r="AA1158" s="3" t="str">
        <f t="shared" si="9"/>
        <v>___</v>
      </c>
      <c r="AB1158" s="3" t="str">
        <f t="shared" si="8"/>
        <v>____2</v>
      </c>
    </row>
    <row r="1159" spans="1:28" ht="14">
      <c r="A1159" s="3">
        <v>1158</v>
      </c>
      <c r="B1159" s="23"/>
      <c r="C1159" s="23"/>
      <c r="D1159" s="23"/>
      <c r="E1159" s="23"/>
      <c r="F1159" s="23"/>
      <c r="G1159" s="23"/>
      <c r="H1159" s="23"/>
      <c r="I1159" s="22">
        <v>3</v>
      </c>
      <c r="J1159" s="23"/>
      <c r="K1159" s="23"/>
      <c r="L1159" s="23"/>
      <c r="M1159" s="23" t="s">
        <v>39</v>
      </c>
      <c r="N1159" s="22">
        <v>5.2</v>
      </c>
      <c r="O1159" s="22">
        <v>0</v>
      </c>
      <c r="P1159" s="22">
        <v>2</v>
      </c>
      <c r="Q1159" s="23"/>
      <c r="R1159" s="22">
        <v>2</v>
      </c>
      <c r="S1159" s="23"/>
      <c r="Y1159" s="23"/>
      <c r="Z1159" s="23"/>
      <c r="AA1159" s="3" t="str">
        <f t="shared" si="9"/>
        <v>___</v>
      </c>
      <c r="AB1159" s="3" t="str">
        <f t="shared" si="8"/>
        <v>____3</v>
      </c>
    </row>
    <row r="1160" spans="1:28" ht="14">
      <c r="A1160" s="3">
        <v>1159</v>
      </c>
      <c r="B1160" s="22" t="s">
        <v>157</v>
      </c>
      <c r="C1160" s="23" t="s">
        <v>158</v>
      </c>
      <c r="D1160" s="22">
        <v>44</v>
      </c>
      <c r="E1160" s="23" t="s">
        <v>134</v>
      </c>
      <c r="F1160" s="23" t="s">
        <v>34</v>
      </c>
      <c r="G1160" s="23" t="s">
        <v>159</v>
      </c>
      <c r="H1160" s="23" t="s">
        <v>40</v>
      </c>
      <c r="I1160" s="22">
        <v>1</v>
      </c>
      <c r="J1160" s="22">
        <v>18.5</v>
      </c>
      <c r="K1160" s="22">
        <v>31.5</v>
      </c>
      <c r="L1160" s="22">
        <v>5</v>
      </c>
      <c r="M1160" s="23" t="s">
        <v>36</v>
      </c>
      <c r="N1160" s="22">
        <v>2.1</v>
      </c>
      <c r="O1160" s="22">
        <v>4</v>
      </c>
      <c r="P1160" s="22">
        <v>0</v>
      </c>
      <c r="Q1160" s="23"/>
      <c r="R1160" s="23"/>
      <c r="S1160" s="23"/>
      <c r="Y1160" s="23"/>
      <c r="Z1160" s="22">
        <v>174</v>
      </c>
      <c r="AA1160" s="3" t="str">
        <f t="shared" si="9"/>
        <v>ANO_0010_44_T3-C4_vm</v>
      </c>
      <c r="AB1160" s="3" t="str">
        <f t="shared" si="8"/>
        <v>ANO_0010_44_T3-C4_vm_1</v>
      </c>
    </row>
    <row r="1161" spans="1:28" ht="14">
      <c r="A1161" s="3">
        <v>1160</v>
      </c>
      <c r="B1161" s="23"/>
      <c r="C1161" s="23"/>
      <c r="D1161" s="23"/>
      <c r="E1161" s="23"/>
      <c r="F1161" s="23"/>
      <c r="G1161" s="23"/>
      <c r="H1161" s="23"/>
      <c r="I1161" s="22">
        <v>2</v>
      </c>
      <c r="J1161" s="23"/>
      <c r="K1161" s="23"/>
      <c r="L1161" s="23"/>
      <c r="M1161" s="23" t="s">
        <v>38</v>
      </c>
      <c r="N1161" s="22">
        <v>7.6</v>
      </c>
      <c r="O1161" s="22">
        <v>0</v>
      </c>
      <c r="P1161" s="22">
        <v>2</v>
      </c>
      <c r="Q1161" s="23"/>
      <c r="R1161" s="22">
        <v>4</v>
      </c>
      <c r="S1161" s="23"/>
      <c r="Y1161" s="23"/>
      <c r="Z1161" s="23"/>
      <c r="AA1161" s="3" t="str">
        <f t="shared" si="9"/>
        <v>___</v>
      </c>
      <c r="AB1161" s="3" t="str">
        <f t="shared" si="8"/>
        <v>____2</v>
      </c>
    </row>
    <row r="1162" spans="1:28" ht="14">
      <c r="A1162" s="3">
        <v>1161</v>
      </c>
      <c r="B1162" s="23"/>
      <c r="C1162" s="23"/>
      <c r="D1162" s="23"/>
      <c r="E1162" s="23"/>
      <c r="F1162" s="23"/>
      <c r="G1162" s="23"/>
      <c r="H1162" s="23"/>
      <c r="I1162" s="22">
        <v>3</v>
      </c>
      <c r="J1162" s="23"/>
      <c r="K1162" s="23"/>
      <c r="L1162" s="23"/>
      <c r="M1162" s="23" t="s">
        <v>39</v>
      </c>
      <c r="N1162" s="22">
        <v>10.5</v>
      </c>
      <c r="O1162" s="22">
        <v>0</v>
      </c>
      <c r="P1162" s="22">
        <v>3</v>
      </c>
      <c r="Q1162" s="23"/>
      <c r="R1162" s="22">
        <v>3</v>
      </c>
      <c r="S1162" s="23"/>
      <c r="Y1162" s="23"/>
      <c r="Z1162" s="23"/>
      <c r="AA1162" s="3" t="str">
        <f t="shared" si="9"/>
        <v>___</v>
      </c>
      <c r="AB1162" s="3" t="str">
        <f t="shared" si="8"/>
        <v>____3</v>
      </c>
    </row>
    <row r="1163" spans="1:28" ht="14">
      <c r="A1163" s="3">
        <v>1162</v>
      </c>
      <c r="B1163" s="22" t="s">
        <v>157</v>
      </c>
      <c r="C1163" s="23" t="s">
        <v>158</v>
      </c>
      <c r="D1163" s="22">
        <v>44</v>
      </c>
      <c r="E1163" s="23" t="s">
        <v>134</v>
      </c>
      <c r="F1163" s="23" t="s">
        <v>34</v>
      </c>
      <c r="G1163" s="23" t="s">
        <v>159</v>
      </c>
      <c r="H1163" s="23" t="s">
        <v>35</v>
      </c>
      <c r="I1163" s="22">
        <v>1</v>
      </c>
      <c r="J1163" s="22">
        <v>13</v>
      </c>
      <c r="K1163" s="22">
        <v>14.5</v>
      </c>
      <c r="L1163" s="22">
        <v>4</v>
      </c>
      <c r="M1163" s="23" t="s">
        <v>36</v>
      </c>
      <c r="N1163" s="22">
        <v>2.7</v>
      </c>
      <c r="O1163" s="22">
        <v>12</v>
      </c>
      <c r="P1163" s="22">
        <v>0</v>
      </c>
      <c r="Q1163" s="23"/>
      <c r="R1163" s="23"/>
      <c r="S1163" s="23"/>
      <c r="Y1163" s="23"/>
      <c r="Z1163" s="22">
        <v>175</v>
      </c>
      <c r="AA1163" s="3" t="str">
        <f t="shared" si="9"/>
        <v>ANO_0010_44_T3-C4_vv</v>
      </c>
      <c r="AB1163" s="3" t="str">
        <f t="shared" si="8"/>
        <v>ANO_0010_44_T3-C4_vv_1</v>
      </c>
    </row>
    <row r="1164" spans="1:28" ht="14">
      <c r="A1164" s="3">
        <v>1163</v>
      </c>
      <c r="B1164" s="23"/>
      <c r="C1164" s="23"/>
      <c r="D1164" s="23"/>
      <c r="E1164" s="23"/>
      <c r="F1164" s="23"/>
      <c r="G1164" s="23"/>
      <c r="H1164" s="23"/>
      <c r="I1164" s="22">
        <v>2</v>
      </c>
      <c r="J1164" s="23"/>
      <c r="K1164" s="23"/>
      <c r="L1164" s="23"/>
      <c r="M1164" s="23" t="s">
        <v>38</v>
      </c>
      <c r="N1164" s="22">
        <v>3.7</v>
      </c>
      <c r="O1164" s="22">
        <v>9</v>
      </c>
      <c r="P1164" s="22">
        <v>0</v>
      </c>
      <c r="Q1164" s="23"/>
      <c r="R1164" s="23"/>
      <c r="S1164" s="23"/>
      <c r="Y1164" s="23"/>
      <c r="Z1164" s="23"/>
      <c r="AA1164" s="3" t="str">
        <f t="shared" si="9"/>
        <v>___</v>
      </c>
      <c r="AB1164" s="3" t="str">
        <f t="shared" si="8"/>
        <v>____2</v>
      </c>
    </row>
    <row r="1165" spans="1:28" ht="14">
      <c r="A1165" s="3">
        <v>1164</v>
      </c>
      <c r="B1165" s="23"/>
      <c r="C1165" s="23"/>
      <c r="D1165" s="23"/>
      <c r="E1165" s="23"/>
      <c r="F1165" s="23"/>
      <c r="G1165" s="23"/>
      <c r="H1165" s="23"/>
      <c r="I1165" s="22">
        <v>3</v>
      </c>
      <c r="J1165" s="23"/>
      <c r="K1165" s="23"/>
      <c r="L1165" s="23"/>
      <c r="M1165" s="23" t="s">
        <v>39</v>
      </c>
      <c r="N1165" s="22">
        <v>4.7</v>
      </c>
      <c r="O1165" s="22">
        <v>1</v>
      </c>
      <c r="P1165" s="22">
        <v>10</v>
      </c>
      <c r="Q1165" s="23"/>
      <c r="R1165" s="23"/>
      <c r="S1165" s="23"/>
      <c r="Y1165" s="23"/>
      <c r="Z1165" s="23"/>
      <c r="AA1165" s="3" t="str">
        <f t="shared" si="9"/>
        <v>___</v>
      </c>
      <c r="AB1165" s="3" t="str">
        <f t="shared" si="8"/>
        <v>____3</v>
      </c>
    </row>
    <row r="1166" spans="1:28" ht="14">
      <c r="A1166" s="3">
        <v>1165</v>
      </c>
      <c r="B1166" s="22" t="s">
        <v>157</v>
      </c>
      <c r="C1166" s="23" t="s">
        <v>158</v>
      </c>
      <c r="D1166" s="22">
        <v>44</v>
      </c>
      <c r="E1166" s="23" t="s">
        <v>134</v>
      </c>
      <c r="F1166" s="23" t="s">
        <v>34</v>
      </c>
      <c r="G1166" s="23" t="s">
        <v>159</v>
      </c>
      <c r="H1166" s="23" t="s">
        <v>35</v>
      </c>
      <c r="I1166" s="22">
        <v>1</v>
      </c>
      <c r="J1166" s="22">
        <v>7</v>
      </c>
      <c r="K1166" s="22">
        <v>10.5</v>
      </c>
      <c r="L1166" s="22">
        <v>4</v>
      </c>
      <c r="M1166" s="23" t="s">
        <v>36</v>
      </c>
      <c r="N1166" s="22">
        <v>1.9</v>
      </c>
      <c r="O1166" s="22">
        <v>9</v>
      </c>
      <c r="P1166" s="22">
        <v>0</v>
      </c>
      <c r="Q1166" s="23"/>
      <c r="R1166" s="23"/>
      <c r="S1166" s="23"/>
      <c r="Y1166" s="23"/>
      <c r="Z1166" s="22">
        <v>176</v>
      </c>
      <c r="AA1166" s="3" t="str">
        <f t="shared" si="9"/>
        <v>ANO_0010_44_T3-C4_vv</v>
      </c>
      <c r="AB1166" s="3" t="str">
        <f t="shared" si="8"/>
        <v>ANO_0010_44_T3-C4_vv_1</v>
      </c>
    </row>
    <row r="1167" spans="1:28" ht="14">
      <c r="A1167" s="3">
        <v>1166</v>
      </c>
      <c r="B1167" s="23"/>
      <c r="C1167" s="23"/>
      <c r="D1167" s="23"/>
      <c r="E1167" s="23"/>
      <c r="F1167" s="23"/>
      <c r="G1167" s="23"/>
      <c r="H1167" s="23"/>
      <c r="I1167" s="22">
        <v>2</v>
      </c>
      <c r="J1167" s="23"/>
      <c r="K1167" s="23"/>
      <c r="L1167" s="23"/>
      <c r="M1167" s="23" t="s">
        <v>38</v>
      </c>
      <c r="N1167" s="22">
        <v>3.1</v>
      </c>
      <c r="O1167" s="22">
        <v>9</v>
      </c>
      <c r="P1167" s="22">
        <v>1</v>
      </c>
      <c r="Q1167" s="23"/>
      <c r="R1167" s="23"/>
      <c r="S1167" s="23"/>
      <c r="Y1167" s="23"/>
      <c r="Z1167" s="23"/>
      <c r="AA1167" s="3" t="str">
        <f t="shared" si="9"/>
        <v>___</v>
      </c>
      <c r="AB1167" s="3" t="str">
        <f t="shared" si="8"/>
        <v>____2</v>
      </c>
    </row>
    <row r="1168" spans="1:28" ht="14">
      <c r="A1168" s="3">
        <v>1167</v>
      </c>
      <c r="B1168" s="23"/>
      <c r="C1168" s="23"/>
      <c r="D1168" s="23"/>
      <c r="E1168" s="23"/>
      <c r="F1168" s="23"/>
      <c r="G1168" s="23"/>
      <c r="H1168" s="23"/>
      <c r="I1168" s="22">
        <v>3</v>
      </c>
      <c r="J1168" s="23"/>
      <c r="K1168" s="23"/>
      <c r="L1168" s="23"/>
      <c r="M1168" s="23" t="s">
        <v>39</v>
      </c>
      <c r="N1168" s="22">
        <v>3.8</v>
      </c>
      <c r="O1168" s="22">
        <v>5</v>
      </c>
      <c r="P1168" s="22">
        <v>4</v>
      </c>
      <c r="Q1168" s="23"/>
      <c r="R1168" s="23"/>
      <c r="S1168" s="23"/>
      <c r="Y1168" s="23"/>
      <c r="Z1168" s="23"/>
      <c r="AA1168" s="3" t="str">
        <f t="shared" si="9"/>
        <v>___</v>
      </c>
      <c r="AB1168" s="3" t="str">
        <f t="shared" si="8"/>
        <v>____3</v>
      </c>
    </row>
    <row r="1169" spans="1:28" ht="14">
      <c r="A1169" s="3">
        <v>1168</v>
      </c>
      <c r="B1169" s="22" t="s">
        <v>157</v>
      </c>
      <c r="C1169" s="23" t="s">
        <v>158</v>
      </c>
      <c r="D1169" s="22">
        <v>44</v>
      </c>
      <c r="E1169" s="23" t="s">
        <v>134</v>
      </c>
      <c r="F1169" s="23" t="s">
        <v>34</v>
      </c>
      <c r="G1169" s="23" t="s">
        <v>159</v>
      </c>
      <c r="H1169" s="23" t="s">
        <v>35</v>
      </c>
      <c r="I1169" s="22">
        <v>1</v>
      </c>
      <c r="J1169" s="22">
        <v>7</v>
      </c>
      <c r="K1169" s="22">
        <v>12.6</v>
      </c>
      <c r="L1169" s="22">
        <v>4</v>
      </c>
      <c r="M1169" s="23" t="s">
        <v>36</v>
      </c>
      <c r="N1169" s="22">
        <v>1.4</v>
      </c>
      <c r="O1169" s="22">
        <v>5</v>
      </c>
      <c r="P1169" s="22">
        <v>0</v>
      </c>
      <c r="Q1169" s="23"/>
      <c r="R1169" s="23"/>
      <c r="S1169" s="23"/>
      <c r="Y1169" s="23"/>
      <c r="Z1169" s="22">
        <v>177</v>
      </c>
      <c r="AA1169" s="3" t="str">
        <f t="shared" si="9"/>
        <v>ANO_0010_44_T3-C4_vv</v>
      </c>
      <c r="AB1169" s="3" t="str">
        <f t="shared" si="8"/>
        <v>ANO_0010_44_T3-C4_vv_1</v>
      </c>
    </row>
    <row r="1170" spans="1:28" ht="14">
      <c r="A1170" s="3">
        <v>1169</v>
      </c>
      <c r="B1170" s="23"/>
      <c r="C1170" s="23"/>
      <c r="D1170" s="23"/>
      <c r="E1170" s="23"/>
      <c r="F1170" s="23"/>
      <c r="G1170" s="23"/>
      <c r="H1170" s="23"/>
      <c r="I1170" s="22">
        <v>2</v>
      </c>
      <c r="J1170" s="23"/>
      <c r="K1170" s="23"/>
      <c r="L1170" s="23"/>
      <c r="M1170" s="23" t="s">
        <v>38</v>
      </c>
      <c r="N1170" s="22">
        <v>3.8</v>
      </c>
      <c r="O1170" s="22">
        <v>6</v>
      </c>
      <c r="P1170" s="22">
        <v>3</v>
      </c>
      <c r="Q1170" s="23"/>
      <c r="R1170" s="23"/>
      <c r="S1170" s="23"/>
      <c r="Y1170" s="23"/>
      <c r="Z1170" s="23"/>
      <c r="AA1170" s="3" t="str">
        <f t="shared" si="9"/>
        <v>___</v>
      </c>
      <c r="AB1170" s="3" t="str">
        <f t="shared" si="8"/>
        <v>____2</v>
      </c>
    </row>
    <row r="1171" spans="1:28" ht="14">
      <c r="A1171" s="3">
        <v>1170</v>
      </c>
      <c r="B1171" s="23"/>
      <c r="C1171" s="23"/>
      <c r="D1171" s="23"/>
      <c r="E1171" s="23"/>
      <c r="F1171" s="23"/>
      <c r="G1171" s="23"/>
      <c r="H1171" s="23"/>
      <c r="I1171" s="22">
        <v>3</v>
      </c>
      <c r="J1171" s="23"/>
      <c r="K1171" s="23"/>
      <c r="L1171" s="23"/>
      <c r="M1171" s="23" t="s">
        <v>39</v>
      </c>
      <c r="N1171" s="22">
        <v>3.9</v>
      </c>
      <c r="O1171" s="22">
        <v>1</v>
      </c>
      <c r="P1171" s="22">
        <v>6</v>
      </c>
      <c r="Q1171" s="23"/>
      <c r="R1171" s="23"/>
      <c r="S1171" s="23"/>
      <c r="Y1171" s="23"/>
      <c r="Z1171" s="23"/>
      <c r="AA1171" s="3" t="str">
        <f t="shared" si="9"/>
        <v>___</v>
      </c>
      <c r="AB1171" s="3" t="str">
        <f t="shared" si="8"/>
        <v>____3</v>
      </c>
    </row>
    <row r="1172" spans="1:28" ht="14">
      <c r="A1172" s="3">
        <v>1171</v>
      </c>
      <c r="B1172" s="22" t="s">
        <v>157</v>
      </c>
      <c r="C1172" s="23" t="s">
        <v>158</v>
      </c>
      <c r="D1172" s="22">
        <v>53</v>
      </c>
      <c r="E1172" s="23" t="s">
        <v>134</v>
      </c>
      <c r="F1172" s="23" t="s">
        <v>34</v>
      </c>
      <c r="G1172" s="23" t="s">
        <v>160</v>
      </c>
      <c r="H1172" s="23" t="s">
        <v>40</v>
      </c>
      <c r="I1172" s="22">
        <v>1</v>
      </c>
      <c r="J1172" s="22">
        <v>15</v>
      </c>
      <c r="K1172" s="22">
        <v>17.8</v>
      </c>
      <c r="L1172" s="22">
        <v>4</v>
      </c>
      <c r="M1172" s="23" t="s">
        <v>36</v>
      </c>
      <c r="N1172" s="22">
        <v>4.4000000000000004</v>
      </c>
      <c r="O1172" s="22">
        <v>7</v>
      </c>
      <c r="P1172" s="22">
        <v>0</v>
      </c>
      <c r="Q1172" s="23"/>
      <c r="R1172" s="23"/>
      <c r="S1172" s="23"/>
      <c r="Y1172" s="23"/>
      <c r="Z1172" s="22">
        <v>178</v>
      </c>
      <c r="AA1172" s="3" t="str">
        <f t="shared" si="9"/>
        <v>ANO_0010_53_V1-C6_vm</v>
      </c>
      <c r="AB1172" s="3" t="str">
        <f t="shared" si="8"/>
        <v>ANO_0010_53_V1-C6_vm_1</v>
      </c>
    </row>
    <row r="1173" spans="1:28" ht="14">
      <c r="A1173" s="3">
        <v>1172</v>
      </c>
      <c r="B1173" s="23"/>
      <c r="C1173" s="23"/>
      <c r="D1173" s="23"/>
      <c r="E1173" s="23"/>
      <c r="F1173" s="23"/>
      <c r="G1173" s="23"/>
      <c r="H1173" s="23"/>
      <c r="I1173" s="22">
        <v>2</v>
      </c>
      <c r="J1173" s="23"/>
      <c r="K1173" s="23"/>
      <c r="L1173" s="23"/>
      <c r="M1173" s="23" t="s">
        <v>38</v>
      </c>
      <c r="N1173" s="22">
        <v>5.2</v>
      </c>
      <c r="O1173" s="22">
        <v>0</v>
      </c>
      <c r="P1173" s="22">
        <v>4</v>
      </c>
      <c r="Q1173" s="23"/>
      <c r="R1173" s="22">
        <v>1</v>
      </c>
      <c r="S1173" s="23"/>
      <c r="Y1173" s="23"/>
      <c r="Z1173" s="23"/>
      <c r="AA1173" s="3" t="str">
        <f t="shared" si="9"/>
        <v>___</v>
      </c>
      <c r="AB1173" s="3" t="str">
        <f t="shared" si="8"/>
        <v>____2</v>
      </c>
    </row>
    <row r="1174" spans="1:28" ht="14">
      <c r="A1174" s="3">
        <v>1173</v>
      </c>
      <c r="B1174" s="23"/>
      <c r="C1174" s="23"/>
      <c r="D1174" s="23"/>
      <c r="E1174" s="23"/>
      <c r="F1174" s="23"/>
      <c r="G1174" s="23"/>
      <c r="H1174" s="23"/>
      <c r="I1174" s="22">
        <v>3</v>
      </c>
      <c r="J1174" s="23"/>
      <c r="K1174" s="23"/>
      <c r="L1174" s="23"/>
      <c r="M1174" s="23" t="s">
        <v>39</v>
      </c>
      <c r="N1174" s="22">
        <v>2.2000000000000002</v>
      </c>
      <c r="O1174" s="22">
        <v>0</v>
      </c>
      <c r="P1174" s="22">
        <v>3</v>
      </c>
      <c r="Q1174" s="23"/>
      <c r="R1174" s="22">
        <v>2</v>
      </c>
      <c r="S1174" s="23"/>
      <c r="Y1174" s="23"/>
      <c r="Z1174" s="23"/>
      <c r="AA1174" s="3" t="str">
        <f t="shared" si="9"/>
        <v>___</v>
      </c>
      <c r="AB1174" s="3" t="str">
        <f t="shared" si="8"/>
        <v>____3</v>
      </c>
    </row>
    <row r="1175" spans="1:28" ht="14">
      <c r="A1175" s="3">
        <v>1174</v>
      </c>
      <c r="B1175" s="22" t="s">
        <v>157</v>
      </c>
      <c r="C1175" s="23" t="s">
        <v>158</v>
      </c>
      <c r="D1175" s="22">
        <v>53</v>
      </c>
      <c r="E1175" s="23" t="s">
        <v>134</v>
      </c>
      <c r="F1175" s="23" t="s">
        <v>34</v>
      </c>
      <c r="G1175" s="23" t="s">
        <v>160</v>
      </c>
      <c r="H1175" s="23" t="s">
        <v>40</v>
      </c>
      <c r="I1175" s="22">
        <v>1</v>
      </c>
      <c r="J1175" s="22">
        <v>18</v>
      </c>
      <c r="K1175" s="22">
        <v>20.6</v>
      </c>
      <c r="L1175" s="22">
        <v>5</v>
      </c>
      <c r="M1175" s="23" t="s">
        <v>36</v>
      </c>
      <c r="N1175" s="22">
        <v>2.7</v>
      </c>
      <c r="O1175" s="22">
        <v>2</v>
      </c>
      <c r="P1175" s="22">
        <v>0</v>
      </c>
      <c r="Q1175" s="23"/>
      <c r="R1175" s="23"/>
      <c r="S1175" s="23"/>
      <c r="Y1175" s="23"/>
      <c r="Z1175" s="22">
        <v>179</v>
      </c>
      <c r="AA1175" s="3" t="str">
        <f t="shared" si="9"/>
        <v>ANO_0010_53_V1-C6_vm</v>
      </c>
      <c r="AB1175" s="3" t="str">
        <f t="shared" si="8"/>
        <v>ANO_0010_53_V1-C6_vm_1</v>
      </c>
    </row>
    <row r="1176" spans="1:28" ht="14">
      <c r="A1176" s="3">
        <v>1175</v>
      </c>
      <c r="B1176" s="23"/>
      <c r="C1176" s="23"/>
      <c r="D1176" s="23"/>
      <c r="E1176" s="23"/>
      <c r="F1176" s="23"/>
      <c r="G1176" s="23"/>
      <c r="H1176" s="23"/>
      <c r="I1176" s="22">
        <v>2</v>
      </c>
      <c r="J1176" s="23"/>
      <c r="K1176" s="23"/>
      <c r="L1176" s="23"/>
      <c r="M1176" s="23" t="s">
        <v>38</v>
      </c>
      <c r="N1176" s="22">
        <v>4.9000000000000004</v>
      </c>
      <c r="O1176" s="22">
        <v>0</v>
      </c>
      <c r="P1176" s="22">
        <v>1</v>
      </c>
      <c r="Q1176" s="23"/>
      <c r="R1176" s="22">
        <v>3</v>
      </c>
      <c r="S1176" s="23"/>
      <c r="Y1176" s="23"/>
      <c r="Z1176" s="23"/>
      <c r="AA1176" s="3" t="str">
        <f t="shared" si="9"/>
        <v>___</v>
      </c>
      <c r="AB1176" s="3" t="str">
        <f t="shared" si="8"/>
        <v>____2</v>
      </c>
    </row>
    <row r="1177" spans="1:28" ht="14">
      <c r="A1177" s="3">
        <v>1176</v>
      </c>
      <c r="B1177" s="23"/>
      <c r="C1177" s="23"/>
      <c r="D1177" s="23"/>
      <c r="E1177" s="23"/>
      <c r="F1177" s="23"/>
      <c r="G1177" s="23"/>
      <c r="H1177" s="23"/>
      <c r="I1177" s="22">
        <v>3</v>
      </c>
      <c r="J1177" s="23"/>
      <c r="K1177" s="23"/>
      <c r="L1177" s="23"/>
      <c r="M1177" s="23" t="s">
        <v>39</v>
      </c>
      <c r="N1177" s="22">
        <v>5.5</v>
      </c>
      <c r="O1177" s="22">
        <v>0</v>
      </c>
      <c r="P1177" s="22">
        <v>3</v>
      </c>
      <c r="Q1177" s="23"/>
      <c r="R1177" s="22">
        <v>2</v>
      </c>
      <c r="S1177" s="23"/>
      <c r="Y1177" s="23"/>
      <c r="Z1177" s="23"/>
      <c r="AA1177" s="3" t="str">
        <f t="shared" si="9"/>
        <v>___</v>
      </c>
      <c r="AB1177" s="3" t="str">
        <f t="shared" si="8"/>
        <v>____3</v>
      </c>
    </row>
    <row r="1178" spans="1:28" ht="14">
      <c r="A1178" s="3">
        <v>1177</v>
      </c>
      <c r="B1178" s="22" t="s">
        <v>157</v>
      </c>
      <c r="C1178" s="23" t="s">
        <v>158</v>
      </c>
      <c r="D1178" s="22">
        <v>53</v>
      </c>
      <c r="E1178" s="23" t="s">
        <v>134</v>
      </c>
      <c r="F1178" s="23" t="s">
        <v>34</v>
      </c>
      <c r="G1178" s="23" t="s">
        <v>160</v>
      </c>
      <c r="H1178" s="23" t="s">
        <v>40</v>
      </c>
      <c r="I1178" s="22">
        <v>1</v>
      </c>
      <c r="J1178" s="22">
        <v>14</v>
      </c>
      <c r="K1178" s="22">
        <v>20.399999999999999</v>
      </c>
      <c r="L1178" s="22">
        <v>5</v>
      </c>
      <c r="M1178" s="23" t="s">
        <v>36</v>
      </c>
      <c r="N1178" s="22">
        <v>4.2</v>
      </c>
      <c r="O1178" s="22">
        <v>4</v>
      </c>
      <c r="P1178" s="22">
        <v>0</v>
      </c>
      <c r="Q1178" s="23"/>
      <c r="R1178" s="23"/>
      <c r="S1178" s="23"/>
      <c r="Y1178" s="23"/>
      <c r="Z1178" s="22">
        <v>180</v>
      </c>
      <c r="AA1178" s="3" t="str">
        <f t="shared" si="9"/>
        <v>ANO_0010_53_V1-C6_vm</v>
      </c>
      <c r="AB1178" s="3" t="str">
        <f t="shared" si="8"/>
        <v>ANO_0010_53_V1-C6_vm_1</v>
      </c>
    </row>
    <row r="1179" spans="1:28" ht="14">
      <c r="A1179" s="3">
        <v>1178</v>
      </c>
      <c r="B1179" s="23"/>
      <c r="C1179" s="23"/>
      <c r="D1179" s="23"/>
      <c r="E1179" s="23"/>
      <c r="F1179" s="23"/>
      <c r="G1179" s="23"/>
      <c r="H1179" s="23"/>
      <c r="I1179" s="22">
        <v>2</v>
      </c>
      <c r="J1179" s="23"/>
      <c r="K1179" s="23"/>
      <c r="L1179" s="23"/>
      <c r="M1179" s="23" t="s">
        <v>38</v>
      </c>
      <c r="N1179" s="22">
        <v>2.7</v>
      </c>
      <c r="O1179" s="22">
        <v>2</v>
      </c>
      <c r="P1179" s="22">
        <v>1</v>
      </c>
      <c r="Q1179" s="23"/>
      <c r="R1179" s="23"/>
      <c r="S1179" s="23"/>
      <c r="Y1179" s="23"/>
      <c r="Z1179" s="23"/>
      <c r="AA1179" s="3" t="str">
        <f t="shared" si="9"/>
        <v>___</v>
      </c>
      <c r="AB1179" s="3" t="str">
        <f t="shared" si="8"/>
        <v>____2</v>
      </c>
    </row>
    <row r="1180" spans="1:28" ht="14">
      <c r="A1180" s="3">
        <v>1179</v>
      </c>
      <c r="B1180" s="23"/>
      <c r="C1180" s="23"/>
      <c r="D1180" s="23"/>
      <c r="E1180" s="23"/>
      <c r="F1180" s="23"/>
      <c r="G1180" s="23"/>
      <c r="H1180" s="23"/>
      <c r="I1180" s="22">
        <v>3</v>
      </c>
      <c r="J1180" s="23"/>
      <c r="K1180" s="23"/>
      <c r="L1180" s="23"/>
      <c r="M1180" s="23" t="s">
        <v>39</v>
      </c>
      <c r="N1180" s="22">
        <v>4.9000000000000004</v>
      </c>
      <c r="O1180" s="22">
        <v>0</v>
      </c>
      <c r="P1180" s="22">
        <v>2</v>
      </c>
      <c r="Q1180" s="23"/>
      <c r="R1180" s="22">
        <v>2</v>
      </c>
      <c r="S1180" s="23"/>
      <c r="Y1180" s="23"/>
      <c r="Z1180" s="23"/>
      <c r="AA1180" s="3" t="str">
        <f t="shared" si="9"/>
        <v>___</v>
      </c>
      <c r="AB1180" s="3" t="str">
        <f t="shared" si="8"/>
        <v>____3</v>
      </c>
    </row>
    <row r="1181" spans="1:28" ht="14">
      <c r="A1181" s="3">
        <v>1180</v>
      </c>
      <c r="B1181" s="22" t="s">
        <v>157</v>
      </c>
      <c r="C1181" s="23" t="s">
        <v>158</v>
      </c>
      <c r="D1181" s="22">
        <v>53</v>
      </c>
      <c r="E1181" s="23" t="s">
        <v>134</v>
      </c>
      <c r="F1181" s="23" t="s">
        <v>34</v>
      </c>
      <c r="G1181" s="23" t="s">
        <v>160</v>
      </c>
      <c r="H1181" s="23" t="s">
        <v>35</v>
      </c>
      <c r="I1181" s="22">
        <v>1</v>
      </c>
      <c r="J1181" s="22">
        <v>9</v>
      </c>
      <c r="K1181" s="22">
        <v>11.6</v>
      </c>
      <c r="L1181" s="22">
        <v>6</v>
      </c>
      <c r="M1181" s="23" t="s">
        <v>36</v>
      </c>
      <c r="N1181" s="22">
        <v>1.3</v>
      </c>
      <c r="O1181" s="22">
        <v>9</v>
      </c>
      <c r="P1181" s="22">
        <v>0</v>
      </c>
      <c r="Q1181" s="23"/>
      <c r="R1181" s="23"/>
      <c r="S1181" s="23"/>
      <c r="Y1181" s="23"/>
      <c r="Z1181" s="22">
        <v>181</v>
      </c>
      <c r="AA1181" s="3" t="str">
        <f t="shared" si="9"/>
        <v>ANO_0010_53_V1-C6_vv</v>
      </c>
      <c r="AB1181" s="3" t="str">
        <f t="shared" si="8"/>
        <v>ANO_0010_53_V1-C6_vv_1</v>
      </c>
    </row>
    <row r="1182" spans="1:28" ht="14">
      <c r="A1182" s="3">
        <v>1181</v>
      </c>
      <c r="B1182" s="23"/>
      <c r="C1182" s="23"/>
      <c r="D1182" s="23"/>
      <c r="E1182" s="23"/>
      <c r="F1182" s="23"/>
      <c r="G1182" s="23"/>
      <c r="H1182" s="23"/>
      <c r="I1182" s="22">
        <v>2</v>
      </c>
      <c r="J1182" s="23"/>
      <c r="K1182" s="23"/>
      <c r="L1182" s="23"/>
      <c r="M1182" s="23" t="s">
        <v>38</v>
      </c>
      <c r="N1182" s="22">
        <v>3.8</v>
      </c>
      <c r="O1182" s="22">
        <v>11</v>
      </c>
      <c r="P1182" s="22">
        <v>1</v>
      </c>
      <c r="Q1182" s="23"/>
      <c r="R1182" s="23"/>
      <c r="S1182" s="23"/>
      <c r="Y1182" s="23"/>
      <c r="Z1182" s="23"/>
      <c r="AA1182" s="3" t="str">
        <f t="shared" si="9"/>
        <v>___</v>
      </c>
      <c r="AB1182" s="3" t="str">
        <f t="shared" si="8"/>
        <v>____2</v>
      </c>
    </row>
    <row r="1183" spans="1:28" ht="14">
      <c r="A1183" s="3">
        <v>1182</v>
      </c>
      <c r="B1183" s="23"/>
      <c r="C1183" s="23"/>
      <c r="D1183" s="23"/>
      <c r="E1183" s="23"/>
      <c r="F1183" s="23"/>
      <c r="G1183" s="23"/>
      <c r="H1183" s="23"/>
      <c r="I1183" s="22">
        <v>3</v>
      </c>
      <c r="J1183" s="23"/>
      <c r="K1183" s="23"/>
      <c r="L1183" s="23"/>
      <c r="M1183" s="23" t="s">
        <v>39</v>
      </c>
      <c r="N1183" s="22">
        <v>2.1</v>
      </c>
      <c r="O1183" s="22">
        <v>1</v>
      </c>
      <c r="P1183" s="22">
        <v>6</v>
      </c>
      <c r="Q1183" s="23"/>
      <c r="R1183" s="23"/>
      <c r="S1183" s="23"/>
      <c r="Y1183" s="23"/>
      <c r="Z1183" s="23"/>
      <c r="AA1183" s="3" t="str">
        <f t="shared" si="9"/>
        <v>___</v>
      </c>
      <c r="AB1183" s="3" t="str">
        <f t="shared" si="8"/>
        <v>____3</v>
      </c>
    </row>
    <row r="1184" spans="1:28" ht="14">
      <c r="A1184" s="3">
        <v>1183</v>
      </c>
      <c r="B1184" s="22" t="s">
        <v>157</v>
      </c>
      <c r="C1184" s="23" t="s">
        <v>158</v>
      </c>
      <c r="D1184" s="22">
        <v>53</v>
      </c>
      <c r="E1184" s="23" t="s">
        <v>134</v>
      </c>
      <c r="F1184" s="23" t="s">
        <v>34</v>
      </c>
      <c r="G1184" s="23" t="s">
        <v>160</v>
      </c>
      <c r="H1184" s="23" t="s">
        <v>35</v>
      </c>
      <c r="I1184" s="22">
        <v>1</v>
      </c>
      <c r="J1184" s="22">
        <v>7.5</v>
      </c>
      <c r="K1184" s="22">
        <v>10.1</v>
      </c>
      <c r="L1184" s="22">
        <v>5</v>
      </c>
      <c r="M1184" s="23" t="s">
        <v>36</v>
      </c>
      <c r="N1184" s="22">
        <v>1.7</v>
      </c>
      <c r="O1184" s="22">
        <v>7</v>
      </c>
      <c r="P1184" s="22">
        <v>1</v>
      </c>
      <c r="Q1184" s="23"/>
      <c r="R1184" s="23"/>
      <c r="S1184" s="23"/>
      <c r="Y1184" s="23"/>
      <c r="Z1184" s="22">
        <v>182</v>
      </c>
      <c r="AA1184" s="3" t="str">
        <f t="shared" si="9"/>
        <v>ANO_0010_53_V1-C6_vv</v>
      </c>
      <c r="AB1184" s="3" t="str">
        <f t="shared" si="8"/>
        <v>ANO_0010_53_V1-C6_vv_1</v>
      </c>
    </row>
    <row r="1185" spans="1:29" ht="14">
      <c r="A1185" s="3">
        <v>1184</v>
      </c>
      <c r="B1185" s="23"/>
      <c r="C1185" s="23"/>
      <c r="D1185" s="23"/>
      <c r="E1185" s="23"/>
      <c r="F1185" s="23"/>
      <c r="G1185" s="23"/>
      <c r="H1185" s="23"/>
      <c r="I1185" s="22">
        <v>2</v>
      </c>
      <c r="J1185" s="23"/>
      <c r="K1185" s="23"/>
      <c r="L1185" s="23"/>
      <c r="M1185" s="23" t="s">
        <v>38</v>
      </c>
      <c r="N1185" s="22">
        <v>1.9</v>
      </c>
      <c r="O1185" s="22">
        <v>5</v>
      </c>
      <c r="P1185" s="22">
        <v>2</v>
      </c>
      <c r="Q1185" s="23"/>
      <c r="R1185" s="23"/>
      <c r="S1185" s="23"/>
      <c r="Y1185" s="23"/>
      <c r="Z1185" s="23"/>
      <c r="AA1185" s="3" t="str">
        <f t="shared" si="9"/>
        <v>___</v>
      </c>
      <c r="AB1185" s="3" t="str">
        <f t="shared" si="8"/>
        <v>____2</v>
      </c>
    </row>
    <row r="1186" spans="1:29" ht="14">
      <c r="A1186" s="3">
        <v>1185</v>
      </c>
      <c r="B1186" s="23"/>
      <c r="C1186" s="23"/>
      <c r="D1186" s="23"/>
      <c r="E1186" s="23"/>
      <c r="F1186" s="23"/>
      <c r="G1186" s="23"/>
      <c r="H1186" s="23"/>
      <c r="I1186" s="22">
        <v>3</v>
      </c>
      <c r="J1186" s="23"/>
      <c r="K1186" s="23"/>
      <c r="L1186" s="23"/>
      <c r="M1186" s="23" t="s">
        <v>39</v>
      </c>
      <c r="N1186" s="22">
        <v>2.2000000000000002</v>
      </c>
      <c r="O1186" s="22">
        <v>5</v>
      </c>
      <c r="P1186" s="22">
        <v>2</v>
      </c>
      <c r="Q1186" s="23"/>
      <c r="R1186" s="23"/>
      <c r="S1186" s="23"/>
      <c r="Y1186" s="23"/>
      <c r="Z1186" s="23"/>
      <c r="AA1186" s="3" t="str">
        <f t="shared" si="9"/>
        <v>___</v>
      </c>
      <c r="AB1186" s="3" t="str">
        <f t="shared" si="8"/>
        <v>____3</v>
      </c>
    </row>
    <row r="1187" spans="1:29" ht="14">
      <c r="A1187" s="3">
        <v>1186</v>
      </c>
      <c r="B1187" s="22" t="s">
        <v>157</v>
      </c>
      <c r="C1187" s="23" t="s">
        <v>158</v>
      </c>
      <c r="D1187" s="22">
        <v>53</v>
      </c>
      <c r="E1187" s="23" t="s">
        <v>134</v>
      </c>
      <c r="F1187" s="23" t="s">
        <v>34</v>
      </c>
      <c r="G1187" s="23" t="s">
        <v>160</v>
      </c>
      <c r="H1187" s="23" t="s">
        <v>35</v>
      </c>
      <c r="I1187" s="22">
        <v>1</v>
      </c>
      <c r="J1187" s="22">
        <v>11.5</v>
      </c>
      <c r="K1187" s="22">
        <v>13.5</v>
      </c>
      <c r="L1187" s="22">
        <v>5</v>
      </c>
      <c r="M1187" s="23" t="s">
        <v>36</v>
      </c>
      <c r="N1187" s="22">
        <v>1.6</v>
      </c>
      <c r="O1187" s="22">
        <v>10</v>
      </c>
      <c r="P1187" s="22">
        <v>0</v>
      </c>
      <c r="Q1187" s="23"/>
      <c r="R1187" s="23"/>
      <c r="S1187" s="23"/>
      <c r="Y1187" s="23"/>
      <c r="Z1187" s="22">
        <v>183</v>
      </c>
      <c r="AA1187" s="3" t="str">
        <f t="shared" si="9"/>
        <v>ANO_0010_53_V1-C6_vv</v>
      </c>
      <c r="AB1187" s="3" t="str">
        <f t="shared" si="8"/>
        <v>ANO_0010_53_V1-C6_vv_1</v>
      </c>
    </row>
    <row r="1188" spans="1:29" ht="14">
      <c r="A1188" s="3">
        <v>1187</v>
      </c>
      <c r="B1188" s="23"/>
      <c r="C1188" s="23"/>
      <c r="D1188" s="23"/>
      <c r="E1188" s="23"/>
      <c r="F1188" s="23"/>
      <c r="G1188" s="23"/>
      <c r="H1188" s="23"/>
      <c r="I1188" s="22">
        <v>2</v>
      </c>
      <c r="J1188" s="23"/>
      <c r="K1188" s="23"/>
      <c r="L1188" s="23"/>
      <c r="M1188" s="23" t="s">
        <v>38</v>
      </c>
      <c r="N1188" s="22">
        <v>2.7</v>
      </c>
      <c r="O1188" s="22">
        <v>8</v>
      </c>
      <c r="P1188" s="22">
        <v>1</v>
      </c>
      <c r="Q1188" s="23"/>
      <c r="R1188" s="23"/>
      <c r="S1188" s="23"/>
      <c r="Y1188" s="23"/>
      <c r="Z1188" s="23"/>
      <c r="AA1188" s="3" t="str">
        <f t="shared" si="9"/>
        <v>___</v>
      </c>
      <c r="AB1188" s="3" t="str">
        <f t="shared" si="8"/>
        <v>____2</v>
      </c>
    </row>
    <row r="1189" spans="1:29" ht="14">
      <c r="A1189" s="3">
        <v>1188</v>
      </c>
      <c r="B1189" s="23"/>
      <c r="C1189" s="23"/>
      <c r="D1189" s="23"/>
      <c r="E1189" s="23"/>
      <c r="F1189" s="23"/>
      <c r="G1189" s="23"/>
      <c r="H1189" s="23"/>
      <c r="I1189" s="22">
        <v>3</v>
      </c>
      <c r="J1189" s="23"/>
      <c r="K1189" s="23"/>
      <c r="L1189" s="23"/>
      <c r="M1189" s="23" t="s">
        <v>39</v>
      </c>
      <c r="N1189" s="22">
        <v>4.2</v>
      </c>
      <c r="O1189" s="22">
        <v>4</v>
      </c>
      <c r="P1189" s="22">
        <v>4</v>
      </c>
      <c r="Q1189" s="23"/>
      <c r="R1189" s="22">
        <v>1</v>
      </c>
      <c r="S1189" s="23"/>
      <c r="Y1189" s="23"/>
      <c r="Z1189" s="23"/>
      <c r="AA1189" s="3" t="str">
        <f t="shared" si="9"/>
        <v>___</v>
      </c>
      <c r="AB1189" s="3" t="str">
        <f t="shared" si="8"/>
        <v>____3</v>
      </c>
    </row>
    <row r="1190" spans="1:29" ht="14">
      <c r="A1190" s="3">
        <v>1189</v>
      </c>
      <c r="B1190" s="24" t="s">
        <v>161</v>
      </c>
      <c r="C1190" s="25" t="s">
        <v>162</v>
      </c>
      <c r="D1190" s="24">
        <v>55</v>
      </c>
      <c r="E1190" s="26" t="s">
        <v>163</v>
      </c>
      <c r="F1190" s="27" t="s">
        <v>34</v>
      </c>
      <c r="G1190" s="27" t="s">
        <v>159</v>
      </c>
      <c r="H1190" s="27" t="s">
        <v>35</v>
      </c>
      <c r="I1190" s="24">
        <v>1</v>
      </c>
      <c r="J1190" s="24">
        <v>9.1</v>
      </c>
      <c r="K1190" s="24">
        <v>9.1</v>
      </c>
      <c r="L1190" s="24">
        <v>3</v>
      </c>
      <c r="M1190" s="27" t="s">
        <v>36</v>
      </c>
      <c r="N1190" s="24">
        <v>25</v>
      </c>
      <c r="O1190" s="24">
        <v>10</v>
      </c>
      <c r="P1190" s="24">
        <v>10</v>
      </c>
      <c r="Q1190" s="24">
        <v>0</v>
      </c>
      <c r="R1190" s="24">
        <v>0</v>
      </c>
      <c r="S1190" s="24">
        <v>0</v>
      </c>
      <c r="Y1190" s="27" t="s">
        <v>164</v>
      </c>
      <c r="Z1190" s="23"/>
      <c r="AA1190" s="3" t="str">
        <f t="shared" si="9"/>
        <v>ANO_0416_55_T3-C4_vv</v>
      </c>
      <c r="AB1190" s="3" t="str">
        <f t="shared" si="8"/>
        <v>ANO_0416_55_T3-C4_vv_1</v>
      </c>
      <c r="AC1190" s="3" t="s">
        <v>49</v>
      </c>
    </row>
    <row r="1191" spans="1:29" ht="14">
      <c r="A1191" s="3">
        <v>1190</v>
      </c>
      <c r="B1191" s="26"/>
      <c r="C1191" s="5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 t="s">
        <v>38</v>
      </c>
      <c r="N1191" s="28">
        <v>30.4</v>
      </c>
      <c r="O1191" s="28">
        <v>7</v>
      </c>
      <c r="P1191" s="28">
        <v>11</v>
      </c>
      <c r="Q1191" s="28">
        <v>0</v>
      </c>
      <c r="R1191" s="28">
        <v>0</v>
      </c>
      <c r="S1191" s="28">
        <v>0</v>
      </c>
      <c r="Y1191" s="26"/>
      <c r="Z1191" s="23"/>
      <c r="AA1191" s="3" t="str">
        <f t="shared" si="9"/>
        <v>___</v>
      </c>
      <c r="AB1191" s="3" t="str">
        <f t="shared" si="8"/>
        <v>____</v>
      </c>
    </row>
    <row r="1192" spans="1:29" ht="14">
      <c r="A1192" s="3">
        <v>1191</v>
      </c>
      <c r="B1192" s="26"/>
      <c r="C1192" s="5"/>
      <c r="D1192" s="26"/>
      <c r="E1192" s="29"/>
      <c r="F1192" s="26"/>
      <c r="G1192" s="26"/>
      <c r="H1192" s="26"/>
      <c r="I1192" s="26"/>
      <c r="J1192" s="26"/>
      <c r="K1192" s="26"/>
      <c r="L1192" s="26"/>
      <c r="M1192" s="26" t="s">
        <v>39</v>
      </c>
      <c r="N1192" s="28">
        <v>34.299999999999997</v>
      </c>
      <c r="O1192" s="28">
        <v>0</v>
      </c>
      <c r="P1192" s="28">
        <v>6</v>
      </c>
      <c r="Q1192" s="28">
        <v>0</v>
      </c>
      <c r="R1192" s="28">
        <v>0</v>
      </c>
      <c r="S1192" s="28">
        <v>0</v>
      </c>
      <c r="Y1192" s="26"/>
      <c r="Z1192" s="23"/>
      <c r="AA1192" s="3" t="str">
        <f t="shared" si="9"/>
        <v>___</v>
      </c>
      <c r="AB1192" s="3" t="str">
        <f t="shared" si="8"/>
        <v>____</v>
      </c>
    </row>
    <row r="1193" spans="1:29" ht="14">
      <c r="A1193" s="3">
        <v>1192</v>
      </c>
      <c r="B1193" s="24" t="s">
        <v>161</v>
      </c>
      <c r="C1193" s="25" t="s">
        <v>162</v>
      </c>
      <c r="D1193" s="24">
        <v>55</v>
      </c>
      <c r="E1193" s="26" t="s">
        <v>163</v>
      </c>
      <c r="F1193" s="27" t="s">
        <v>34</v>
      </c>
      <c r="G1193" s="27" t="s">
        <v>159</v>
      </c>
      <c r="H1193" s="27" t="s">
        <v>35</v>
      </c>
      <c r="I1193" s="24">
        <v>2</v>
      </c>
      <c r="J1193" s="24">
        <v>7.7</v>
      </c>
      <c r="K1193" s="24">
        <v>8.3000000000000007</v>
      </c>
      <c r="L1193" s="24">
        <v>3</v>
      </c>
      <c r="M1193" s="27" t="s">
        <v>36</v>
      </c>
      <c r="N1193" s="24">
        <v>27.7</v>
      </c>
      <c r="O1193" s="24">
        <v>12</v>
      </c>
      <c r="P1193" s="24">
        <v>12</v>
      </c>
      <c r="Q1193" s="24">
        <v>0</v>
      </c>
      <c r="R1193" s="24">
        <v>0</v>
      </c>
      <c r="S1193" s="24">
        <v>0</v>
      </c>
      <c r="Y1193" s="27"/>
      <c r="Z1193" s="23"/>
      <c r="AA1193" s="3" t="str">
        <f t="shared" si="9"/>
        <v>ANO_0416_55_T3-C4_vv</v>
      </c>
      <c r="AB1193" s="3" t="str">
        <f t="shared" si="8"/>
        <v>ANO_0416_55_T3-C4_vv_2</v>
      </c>
      <c r="AC1193" s="3" t="s">
        <v>49</v>
      </c>
    </row>
    <row r="1194" spans="1:29" ht="14">
      <c r="A1194" s="3">
        <v>1193</v>
      </c>
      <c r="B1194" s="26"/>
      <c r="C1194" s="5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 t="s">
        <v>38</v>
      </c>
      <c r="N1194" s="28">
        <v>26.5</v>
      </c>
      <c r="O1194" s="28">
        <v>10</v>
      </c>
      <c r="P1194" s="28">
        <v>12</v>
      </c>
      <c r="Q1194" s="28">
        <v>3</v>
      </c>
      <c r="R1194" s="28">
        <v>3</v>
      </c>
      <c r="S1194" s="28">
        <v>0</v>
      </c>
      <c r="Y1194" s="26" t="s">
        <v>165</v>
      </c>
      <c r="Z1194" s="23"/>
      <c r="AA1194" s="3" t="str">
        <f t="shared" si="9"/>
        <v>___</v>
      </c>
      <c r="AB1194" s="3" t="str">
        <f t="shared" si="8"/>
        <v>____</v>
      </c>
    </row>
    <row r="1195" spans="1:29" ht="14">
      <c r="A1195" s="3">
        <v>1194</v>
      </c>
      <c r="B1195" s="29"/>
      <c r="C1195" s="30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 t="s">
        <v>39</v>
      </c>
      <c r="N1195" s="31">
        <v>34.299999999999997</v>
      </c>
      <c r="O1195" s="31">
        <v>3</v>
      </c>
      <c r="P1195" s="31">
        <v>5</v>
      </c>
      <c r="Q1195" s="31">
        <v>2</v>
      </c>
      <c r="R1195" s="31">
        <v>2</v>
      </c>
      <c r="S1195" s="31">
        <v>0</v>
      </c>
      <c r="Y1195" s="29"/>
      <c r="Z1195" s="23"/>
      <c r="AA1195" s="3" t="str">
        <f t="shared" si="9"/>
        <v>___</v>
      </c>
      <c r="AB1195" s="3" t="str">
        <f t="shared" si="8"/>
        <v>____</v>
      </c>
    </row>
    <row r="1196" spans="1:29" ht="14">
      <c r="A1196" s="3">
        <v>1195</v>
      </c>
      <c r="B1196" s="28" t="s">
        <v>161</v>
      </c>
      <c r="C1196" s="5" t="s">
        <v>162</v>
      </c>
      <c r="D1196" s="28">
        <v>55</v>
      </c>
      <c r="E1196" s="26" t="s">
        <v>163</v>
      </c>
      <c r="F1196" s="26" t="s">
        <v>34</v>
      </c>
      <c r="G1196" s="26" t="s">
        <v>159</v>
      </c>
      <c r="H1196" s="26" t="s">
        <v>35</v>
      </c>
      <c r="I1196" s="28">
        <v>3</v>
      </c>
      <c r="J1196" s="28">
        <v>6.5</v>
      </c>
      <c r="K1196" s="28">
        <v>10.1</v>
      </c>
      <c r="L1196" s="28">
        <v>3</v>
      </c>
      <c r="M1196" s="26" t="s">
        <v>36</v>
      </c>
      <c r="N1196" s="28">
        <v>32</v>
      </c>
      <c r="O1196" s="28">
        <v>12</v>
      </c>
      <c r="P1196" s="28">
        <v>12</v>
      </c>
      <c r="Q1196" s="28">
        <v>0</v>
      </c>
      <c r="R1196" s="28">
        <v>0</v>
      </c>
      <c r="S1196" s="28">
        <v>0</v>
      </c>
      <c r="Y1196" s="26"/>
      <c r="Z1196" s="23"/>
      <c r="AA1196" s="3" t="str">
        <f t="shared" si="9"/>
        <v>ANO_0416_55_T3-C4_vv</v>
      </c>
      <c r="AB1196" s="3" t="str">
        <f t="shared" si="8"/>
        <v>ANO_0416_55_T3-C4_vv_3</v>
      </c>
      <c r="AC1196" s="3" t="s">
        <v>49</v>
      </c>
    </row>
    <row r="1197" spans="1:29" ht="14">
      <c r="A1197" s="3">
        <v>1196</v>
      </c>
      <c r="B1197" s="26"/>
      <c r="C1197" s="5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 t="s">
        <v>38</v>
      </c>
      <c r="N1197" s="28">
        <v>41.4</v>
      </c>
      <c r="O1197" s="28">
        <v>7</v>
      </c>
      <c r="P1197" s="28">
        <v>9</v>
      </c>
      <c r="Q1197" s="28">
        <v>0</v>
      </c>
      <c r="R1197" s="28">
        <v>0</v>
      </c>
      <c r="S1197" s="28">
        <v>0</v>
      </c>
      <c r="Y1197" s="26"/>
      <c r="Z1197" s="23"/>
      <c r="AA1197" s="3" t="str">
        <f t="shared" si="9"/>
        <v>___</v>
      </c>
      <c r="AB1197" s="3" t="str">
        <f t="shared" si="8"/>
        <v>____</v>
      </c>
    </row>
    <row r="1198" spans="1:29" ht="14">
      <c r="A1198" s="3">
        <v>1197</v>
      </c>
      <c r="B1198" s="29"/>
      <c r="C1198" s="30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 t="s">
        <v>39</v>
      </c>
      <c r="N1198" s="31">
        <v>31.8</v>
      </c>
      <c r="O1198" s="31">
        <v>1</v>
      </c>
      <c r="P1198" s="31">
        <v>5</v>
      </c>
      <c r="Q1198" s="31">
        <v>0</v>
      </c>
      <c r="R1198" s="31">
        <v>0</v>
      </c>
      <c r="S1198" s="31">
        <v>0</v>
      </c>
      <c r="Y1198" s="29"/>
      <c r="Z1198" s="23"/>
      <c r="AA1198" s="3" t="str">
        <f t="shared" si="9"/>
        <v>___</v>
      </c>
      <c r="AB1198" s="3" t="str">
        <f t="shared" si="8"/>
        <v>____</v>
      </c>
    </row>
    <row r="1199" spans="1:29" ht="14">
      <c r="A1199" s="3">
        <v>1198</v>
      </c>
      <c r="B1199" s="28" t="s">
        <v>161</v>
      </c>
      <c r="C1199" s="5" t="s">
        <v>162</v>
      </c>
      <c r="D1199" s="28">
        <v>55</v>
      </c>
      <c r="E1199" s="26" t="s">
        <v>163</v>
      </c>
      <c r="F1199" s="26" t="s">
        <v>34</v>
      </c>
      <c r="G1199" s="26" t="s">
        <v>159</v>
      </c>
      <c r="H1199" s="26" t="s">
        <v>40</v>
      </c>
      <c r="I1199" s="28">
        <v>1</v>
      </c>
      <c r="J1199" s="28">
        <v>9.8000000000000007</v>
      </c>
      <c r="K1199" s="28">
        <v>14.9</v>
      </c>
      <c r="L1199" s="28">
        <v>5</v>
      </c>
      <c r="M1199" s="26" t="s">
        <v>36</v>
      </c>
      <c r="N1199" s="28">
        <v>23.5</v>
      </c>
      <c r="O1199" s="28">
        <v>4</v>
      </c>
      <c r="P1199" s="28">
        <v>4</v>
      </c>
      <c r="Q1199" s="28">
        <v>1</v>
      </c>
      <c r="R1199" s="28">
        <v>0</v>
      </c>
      <c r="S1199" s="28">
        <v>0</v>
      </c>
      <c r="Y1199" s="26"/>
      <c r="Z1199" s="23"/>
      <c r="AA1199" s="3" t="str">
        <f t="shared" si="9"/>
        <v>ANO_0416_55_T3-C4_vm</v>
      </c>
      <c r="AB1199" s="3" t="str">
        <f t="shared" si="8"/>
        <v>ANO_0416_55_T3-C4_vm_1</v>
      </c>
      <c r="AC1199" s="3" t="s">
        <v>37</v>
      </c>
    </row>
    <row r="1200" spans="1:29" ht="14">
      <c r="A1200" s="3">
        <v>1199</v>
      </c>
      <c r="B1200" s="28"/>
      <c r="C1200" s="5"/>
      <c r="D1200" s="28"/>
      <c r="E1200" s="26"/>
      <c r="F1200" s="26"/>
      <c r="G1200" s="26"/>
      <c r="H1200" s="26"/>
      <c r="I1200" s="28"/>
      <c r="J1200" s="28"/>
      <c r="K1200" s="28"/>
      <c r="L1200" s="28"/>
      <c r="M1200" s="26" t="s">
        <v>38</v>
      </c>
      <c r="N1200" s="28">
        <v>29.8</v>
      </c>
      <c r="O1200" s="28">
        <v>0</v>
      </c>
      <c r="P1200" s="28">
        <v>3</v>
      </c>
      <c r="Q1200" s="28">
        <v>3</v>
      </c>
      <c r="R1200" s="28">
        <v>7</v>
      </c>
      <c r="S1200" s="28">
        <v>0</v>
      </c>
      <c r="Y1200" s="26"/>
      <c r="Z1200" s="23"/>
      <c r="AA1200" s="3" t="str">
        <f t="shared" si="9"/>
        <v>___</v>
      </c>
      <c r="AB1200" s="3" t="str">
        <f t="shared" si="8"/>
        <v>____</v>
      </c>
    </row>
    <row r="1201" spans="1:29" ht="14">
      <c r="A1201" s="3">
        <v>1200</v>
      </c>
      <c r="B1201" s="29"/>
      <c r="C1201" s="30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 t="s">
        <v>39</v>
      </c>
      <c r="N1201" s="31">
        <v>45.1</v>
      </c>
      <c r="O1201" s="31">
        <v>0</v>
      </c>
      <c r="P1201" s="31">
        <v>4</v>
      </c>
      <c r="Q1201" s="31">
        <v>0</v>
      </c>
      <c r="R1201" s="31">
        <v>0</v>
      </c>
      <c r="S1201" s="31">
        <v>0</v>
      </c>
      <c r="Y1201" s="29"/>
      <c r="Z1201" s="23"/>
      <c r="AA1201" s="3" t="str">
        <f t="shared" si="9"/>
        <v>___</v>
      </c>
      <c r="AB1201" s="3" t="str">
        <f t="shared" si="8"/>
        <v>____</v>
      </c>
    </row>
    <row r="1202" spans="1:29" ht="14">
      <c r="A1202" s="3">
        <v>1201</v>
      </c>
      <c r="B1202" s="28" t="s">
        <v>161</v>
      </c>
      <c r="C1202" s="5" t="s">
        <v>162</v>
      </c>
      <c r="D1202" s="28">
        <v>55</v>
      </c>
      <c r="E1202" s="26" t="s">
        <v>163</v>
      </c>
      <c r="F1202" s="26" t="s">
        <v>34</v>
      </c>
      <c r="G1202" s="26" t="s">
        <v>159</v>
      </c>
      <c r="H1202" s="26" t="s">
        <v>40</v>
      </c>
      <c r="I1202" s="28">
        <v>2</v>
      </c>
      <c r="J1202" s="28">
        <v>15.8</v>
      </c>
      <c r="K1202" s="28">
        <v>16.2</v>
      </c>
      <c r="L1202" s="28">
        <v>4</v>
      </c>
      <c r="M1202" s="26" t="s">
        <v>36</v>
      </c>
      <c r="N1202" s="28">
        <v>20.100000000000001</v>
      </c>
      <c r="O1202" s="28">
        <v>4</v>
      </c>
      <c r="P1202" s="28">
        <v>5</v>
      </c>
      <c r="Q1202" s="28">
        <v>1</v>
      </c>
      <c r="R1202" s="28">
        <v>4</v>
      </c>
      <c r="S1202" s="28">
        <v>0</v>
      </c>
      <c r="Y1202" s="26" t="s">
        <v>166</v>
      </c>
      <c r="Z1202" s="23"/>
      <c r="AA1202" s="3" t="str">
        <f t="shared" si="9"/>
        <v>ANO_0416_55_T3-C4_vm</v>
      </c>
      <c r="AB1202" s="3" t="str">
        <f t="shared" si="8"/>
        <v>ANO_0416_55_T3-C4_vm_2</v>
      </c>
      <c r="AC1202" s="3" t="s">
        <v>37</v>
      </c>
    </row>
    <row r="1203" spans="1:29" ht="14">
      <c r="A1203" s="3">
        <v>1202</v>
      </c>
      <c r="B1203" s="28"/>
      <c r="C1203" s="5"/>
      <c r="D1203" s="28"/>
      <c r="E1203" s="26"/>
      <c r="F1203" s="26"/>
      <c r="G1203" s="26"/>
      <c r="H1203" s="26"/>
      <c r="I1203" s="28"/>
      <c r="J1203" s="28"/>
      <c r="K1203" s="28"/>
      <c r="L1203" s="28"/>
      <c r="M1203" s="26" t="s">
        <v>38</v>
      </c>
      <c r="N1203" s="28">
        <v>34.299999999999997</v>
      </c>
      <c r="O1203" s="28">
        <v>0</v>
      </c>
      <c r="P1203" s="28">
        <v>3</v>
      </c>
      <c r="Q1203" s="28">
        <v>3</v>
      </c>
      <c r="R1203" s="28">
        <v>6</v>
      </c>
      <c r="S1203" s="28">
        <v>0</v>
      </c>
      <c r="Y1203" s="26"/>
      <c r="Z1203" s="23"/>
      <c r="AA1203" s="3" t="str">
        <f t="shared" si="9"/>
        <v>___</v>
      </c>
      <c r="AB1203" s="3" t="str">
        <f t="shared" si="8"/>
        <v>____</v>
      </c>
    </row>
    <row r="1204" spans="1:29" ht="14">
      <c r="A1204" s="3">
        <v>1203</v>
      </c>
      <c r="B1204" s="29"/>
      <c r="C1204" s="30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 t="s">
        <v>39</v>
      </c>
      <c r="N1204" s="31">
        <v>53.8</v>
      </c>
      <c r="O1204" s="31">
        <v>0</v>
      </c>
      <c r="P1204" s="31">
        <v>1</v>
      </c>
      <c r="Q1204" s="31">
        <v>3</v>
      </c>
      <c r="R1204" s="31">
        <v>7</v>
      </c>
      <c r="S1204" s="31">
        <v>0</v>
      </c>
      <c r="Y1204" s="29"/>
      <c r="Z1204" s="23"/>
      <c r="AA1204" s="3" t="str">
        <f t="shared" si="9"/>
        <v>___</v>
      </c>
      <c r="AB1204" s="3" t="str">
        <f t="shared" si="8"/>
        <v>____</v>
      </c>
    </row>
    <row r="1205" spans="1:29" ht="14">
      <c r="A1205" s="3">
        <v>1204</v>
      </c>
      <c r="B1205" s="28" t="s">
        <v>161</v>
      </c>
      <c r="C1205" s="5" t="s">
        <v>162</v>
      </c>
      <c r="D1205" s="28">
        <v>55</v>
      </c>
      <c r="E1205" s="26" t="s">
        <v>163</v>
      </c>
      <c r="F1205" s="26" t="s">
        <v>34</v>
      </c>
      <c r="G1205" s="26" t="s">
        <v>159</v>
      </c>
      <c r="H1205" s="26" t="s">
        <v>40</v>
      </c>
      <c r="I1205" s="28">
        <v>3</v>
      </c>
      <c r="J1205" s="28">
        <v>10.8</v>
      </c>
      <c r="K1205" s="28">
        <v>17.5</v>
      </c>
      <c r="L1205" s="28">
        <v>4</v>
      </c>
      <c r="M1205" s="26" t="s">
        <v>36</v>
      </c>
      <c r="N1205" s="28">
        <v>46.7</v>
      </c>
      <c r="O1205" s="28">
        <v>4</v>
      </c>
      <c r="P1205" s="28">
        <v>7</v>
      </c>
      <c r="Q1205" s="28">
        <v>1</v>
      </c>
      <c r="R1205" s="28">
        <v>1</v>
      </c>
      <c r="S1205" s="28">
        <v>0</v>
      </c>
      <c r="Y1205" s="26" t="s">
        <v>166</v>
      </c>
      <c r="Z1205" s="23"/>
      <c r="AA1205" s="3" t="str">
        <f t="shared" si="9"/>
        <v>ANO_0416_55_T3-C4_vm</v>
      </c>
      <c r="AB1205" s="3" t="str">
        <f t="shared" si="8"/>
        <v>ANO_0416_55_T3-C4_vm_3</v>
      </c>
      <c r="AC1205" s="3" t="s">
        <v>37</v>
      </c>
    </row>
    <row r="1206" spans="1:29" ht="14">
      <c r="A1206" s="3">
        <v>1205</v>
      </c>
      <c r="B1206" s="28"/>
      <c r="C1206" s="5"/>
      <c r="D1206" s="28"/>
      <c r="E1206" s="26"/>
      <c r="F1206" s="26"/>
      <c r="G1206" s="26"/>
      <c r="H1206" s="26"/>
      <c r="I1206" s="28"/>
      <c r="J1206" s="28"/>
      <c r="K1206" s="28"/>
      <c r="L1206" s="28"/>
      <c r="M1206" s="26" t="s">
        <v>38</v>
      </c>
      <c r="N1206" s="28">
        <v>34.6</v>
      </c>
      <c r="O1206" s="28">
        <v>0</v>
      </c>
      <c r="P1206" s="28">
        <v>3</v>
      </c>
      <c r="Q1206" s="28">
        <v>2</v>
      </c>
      <c r="R1206" s="28">
        <v>8</v>
      </c>
      <c r="S1206" s="28">
        <v>0</v>
      </c>
      <c r="Y1206" s="26"/>
      <c r="Z1206" s="23"/>
      <c r="AA1206" s="3" t="str">
        <f t="shared" si="9"/>
        <v>___</v>
      </c>
      <c r="AB1206" s="3" t="str">
        <f t="shared" si="8"/>
        <v>____</v>
      </c>
    </row>
    <row r="1207" spans="1:29" ht="14">
      <c r="A1207" s="3">
        <v>1206</v>
      </c>
      <c r="B1207" s="29"/>
      <c r="C1207" s="30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 t="s">
        <v>39</v>
      </c>
      <c r="N1207" s="31">
        <v>61.2</v>
      </c>
      <c r="O1207" s="31">
        <v>0</v>
      </c>
      <c r="P1207" s="31">
        <v>2</v>
      </c>
      <c r="Q1207" s="31">
        <v>2</v>
      </c>
      <c r="R1207" s="31">
        <v>10</v>
      </c>
      <c r="S1207" s="31">
        <v>1</v>
      </c>
      <c r="Y1207" s="29"/>
      <c r="Z1207" s="23"/>
      <c r="AA1207" s="3" t="str">
        <f t="shared" si="9"/>
        <v>___</v>
      </c>
      <c r="AB1207" s="3" t="str">
        <f t="shared" si="8"/>
        <v>____</v>
      </c>
    </row>
    <row r="1208" spans="1:29" ht="14">
      <c r="A1208" s="3">
        <v>1207</v>
      </c>
      <c r="B1208" s="28" t="s">
        <v>161</v>
      </c>
      <c r="C1208" s="5" t="s">
        <v>162</v>
      </c>
      <c r="D1208" s="28">
        <v>24</v>
      </c>
      <c r="E1208" s="26" t="s">
        <v>163</v>
      </c>
      <c r="F1208" s="26" t="s">
        <v>34</v>
      </c>
      <c r="G1208" s="26" t="s">
        <v>167</v>
      </c>
      <c r="H1208" s="26" t="s">
        <v>40</v>
      </c>
      <c r="I1208" s="28">
        <v>1</v>
      </c>
      <c r="J1208" s="28">
        <v>6.1</v>
      </c>
      <c r="K1208" s="28">
        <v>7.4</v>
      </c>
      <c r="L1208" s="28">
        <v>2</v>
      </c>
      <c r="M1208" s="26" t="s">
        <v>36</v>
      </c>
      <c r="N1208" s="28">
        <v>20.100000000000001</v>
      </c>
      <c r="O1208" s="28">
        <v>5</v>
      </c>
      <c r="P1208" s="28">
        <v>5</v>
      </c>
      <c r="Q1208" s="28">
        <v>0</v>
      </c>
      <c r="R1208" s="28">
        <v>0</v>
      </c>
      <c r="S1208" s="28">
        <v>0</v>
      </c>
      <c r="Y1208" s="26"/>
      <c r="Z1208" s="23"/>
      <c r="AA1208" s="3" t="str">
        <f t="shared" si="9"/>
        <v>ANO_0416_24_T3-C1_vm</v>
      </c>
      <c r="AB1208" s="3" t="str">
        <f t="shared" si="8"/>
        <v>ANO_0416_24_T3-C1_vm_1</v>
      </c>
      <c r="AC1208" s="3" t="s">
        <v>37</v>
      </c>
    </row>
    <row r="1209" spans="1:29" ht="14">
      <c r="A1209" s="3">
        <v>1208</v>
      </c>
      <c r="B1209" s="26"/>
      <c r="C1209" s="5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 t="s">
        <v>38</v>
      </c>
      <c r="N1209" s="28">
        <v>55.4</v>
      </c>
      <c r="O1209" s="28">
        <v>0</v>
      </c>
      <c r="P1209" s="28">
        <v>6</v>
      </c>
      <c r="Q1209" s="28">
        <v>2</v>
      </c>
      <c r="R1209" s="28">
        <v>2</v>
      </c>
      <c r="S1209" s="28">
        <v>0</v>
      </c>
      <c r="Y1209" s="26"/>
      <c r="Z1209" s="23"/>
      <c r="AA1209" s="3" t="str">
        <f t="shared" si="9"/>
        <v>___</v>
      </c>
      <c r="AB1209" s="3" t="str">
        <f t="shared" si="8"/>
        <v>____</v>
      </c>
    </row>
    <row r="1210" spans="1:29" ht="14">
      <c r="A1210" s="3">
        <v>1209</v>
      </c>
      <c r="B1210" s="29"/>
      <c r="C1210" s="30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 t="s">
        <v>39</v>
      </c>
      <c r="N1210" s="31" t="s">
        <v>47</v>
      </c>
      <c r="O1210" s="31" t="s">
        <v>47</v>
      </c>
      <c r="P1210" s="31" t="s">
        <v>47</v>
      </c>
      <c r="Q1210" s="31" t="s">
        <v>47</v>
      </c>
      <c r="R1210" s="31" t="s">
        <v>47</v>
      </c>
      <c r="S1210" s="31" t="s">
        <v>47</v>
      </c>
      <c r="Y1210" s="29"/>
      <c r="Z1210" s="23"/>
      <c r="AA1210" s="3" t="str">
        <f t="shared" si="9"/>
        <v>___</v>
      </c>
      <c r="AB1210" s="3" t="str">
        <f t="shared" si="8"/>
        <v>____</v>
      </c>
    </row>
    <row r="1211" spans="1:29" ht="14">
      <c r="A1211" s="3">
        <v>1210</v>
      </c>
      <c r="B1211" s="28" t="s">
        <v>161</v>
      </c>
      <c r="C1211" s="5" t="s">
        <v>162</v>
      </c>
      <c r="D1211" s="28">
        <v>24</v>
      </c>
      <c r="E1211" s="26" t="s">
        <v>163</v>
      </c>
      <c r="F1211" s="26" t="s">
        <v>34</v>
      </c>
      <c r="G1211" s="26" t="s">
        <v>167</v>
      </c>
      <c r="H1211" s="26" t="s">
        <v>40</v>
      </c>
      <c r="I1211" s="28">
        <v>2</v>
      </c>
      <c r="J1211" s="28">
        <v>7.1</v>
      </c>
      <c r="K1211" s="28">
        <v>14.5</v>
      </c>
      <c r="L1211" s="28">
        <v>4</v>
      </c>
      <c r="M1211" s="26" t="s">
        <v>36</v>
      </c>
      <c r="N1211" s="28">
        <v>26.2</v>
      </c>
      <c r="O1211" s="28">
        <v>6</v>
      </c>
      <c r="P1211" s="28">
        <v>6</v>
      </c>
      <c r="Q1211" s="28">
        <v>0</v>
      </c>
      <c r="R1211" s="28">
        <v>0</v>
      </c>
      <c r="S1211" s="28">
        <v>0</v>
      </c>
      <c r="Y1211" s="26"/>
      <c r="Z1211" s="23"/>
      <c r="AA1211" s="3" t="str">
        <f t="shared" si="9"/>
        <v>ANO_0416_24_T3-C1_vm</v>
      </c>
      <c r="AB1211" s="3" t="str">
        <f t="shared" si="8"/>
        <v>ANO_0416_24_T3-C1_vm_2</v>
      </c>
      <c r="AC1211" s="3" t="s">
        <v>37</v>
      </c>
    </row>
    <row r="1212" spans="1:29" ht="14">
      <c r="A1212" s="3">
        <v>1211</v>
      </c>
      <c r="B1212" s="26"/>
      <c r="C1212" s="5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 t="s">
        <v>38</v>
      </c>
      <c r="N1212" s="28">
        <v>41</v>
      </c>
      <c r="O1212" s="28">
        <v>0</v>
      </c>
      <c r="P1212" s="28">
        <v>4</v>
      </c>
      <c r="Q1212" s="28">
        <v>2</v>
      </c>
      <c r="R1212" s="28">
        <v>2</v>
      </c>
      <c r="S1212" s="28">
        <v>0</v>
      </c>
      <c r="Y1212" s="26"/>
      <c r="Z1212" s="23"/>
      <c r="AA1212" s="3" t="str">
        <f t="shared" si="9"/>
        <v>___</v>
      </c>
      <c r="AB1212" s="3" t="str">
        <f t="shared" si="8"/>
        <v>____</v>
      </c>
    </row>
    <row r="1213" spans="1:29" ht="14">
      <c r="A1213" s="3">
        <v>1212</v>
      </c>
      <c r="B1213" s="29"/>
      <c r="C1213" s="30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 t="s">
        <v>39</v>
      </c>
      <c r="N1213" s="31">
        <v>27.2</v>
      </c>
      <c r="O1213" s="31">
        <v>0</v>
      </c>
      <c r="P1213" s="31">
        <v>3</v>
      </c>
      <c r="Q1213" s="31">
        <v>3</v>
      </c>
      <c r="R1213" s="31">
        <v>4</v>
      </c>
      <c r="S1213" s="31">
        <v>0</v>
      </c>
      <c r="Y1213" s="29"/>
      <c r="Z1213" s="23"/>
      <c r="AA1213" s="3" t="str">
        <f t="shared" si="9"/>
        <v>___</v>
      </c>
      <c r="AB1213" s="3" t="str">
        <f t="shared" si="8"/>
        <v>____</v>
      </c>
    </row>
    <row r="1214" spans="1:29" ht="14">
      <c r="A1214" s="3">
        <v>1213</v>
      </c>
      <c r="B1214" s="28" t="s">
        <v>161</v>
      </c>
      <c r="C1214" s="5" t="s">
        <v>162</v>
      </c>
      <c r="D1214" s="28">
        <v>24</v>
      </c>
      <c r="E1214" s="26" t="s">
        <v>163</v>
      </c>
      <c r="F1214" s="26" t="s">
        <v>34</v>
      </c>
      <c r="G1214" s="26" t="s">
        <v>167</v>
      </c>
      <c r="H1214" s="26" t="s">
        <v>40</v>
      </c>
      <c r="I1214" s="28">
        <v>3</v>
      </c>
      <c r="J1214" s="28">
        <v>4.3</v>
      </c>
      <c r="K1214" s="28">
        <v>11.2</v>
      </c>
      <c r="L1214" s="28">
        <v>3</v>
      </c>
      <c r="M1214" s="26" t="s">
        <v>36</v>
      </c>
      <c r="N1214" s="28">
        <v>11.2</v>
      </c>
      <c r="O1214" s="28">
        <v>4</v>
      </c>
      <c r="P1214" s="28">
        <v>4</v>
      </c>
      <c r="Q1214" s="28">
        <v>1</v>
      </c>
      <c r="R1214" s="28">
        <v>1</v>
      </c>
      <c r="S1214" s="28">
        <v>0</v>
      </c>
      <c r="Y1214" s="26" t="s">
        <v>166</v>
      </c>
      <c r="Z1214" s="23"/>
      <c r="AA1214" s="3" t="str">
        <f t="shared" si="9"/>
        <v>ANO_0416_24_T3-C1_vm</v>
      </c>
      <c r="AB1214" s="3" t="str">
        <f t="shared" si="8"/>
        <v>ANO_0416_24_T3-C1_vm_3</v>
      </c>
      <c r="AC1214" s="3" t="s">
        <v>37</v>
      </c>
    </row>
    <row r="1215" spans="1:29" ht="14">
      <c r="A1215" s="3">
        <v>1214</v>
      </c>
      <c r="B1215" s="26"/>
      <c r="C1215" s="5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 t="s">
        <v>38</v>
      </c>
      <c r="N1215" s="28">
        <v>16.2</v>
      </c>
      <c r="O1215" s="28">
        <v>0</v>
      </c>
      <c r="P1215" s="28">
        <v>2</v>
      </c>
      <c r="Q1215" s="28">
        <v>1</v>
      </c>
      <c r="R1215" s="28">
        <v>1</v>
      </c>
      <c r="S1215" s="28">
        <v>0</v>
      </c>
      <c r="Y1215" s="26"/>
      <c r="Z1215" s="23"/>
      <c r="AA1215" s="3" t="str">
        <f t="shared" si="9"/>
        <v>___</v>
      </c>
      <c r="AB1215" s="3" t="str">
        <f t="shared" si="8"/>
        <v>____</v>
      </c>
    </row>
    <row r="1216" spans="1:29" ht="14">
      <c r="A1216" s="3">
        <v>1215</v>
      </c>
      <c r="B1216" s="29"/>
      <c r="C1216" s="30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 t="s">
        <v>39</v>
      </c>
      <c r="N1216" s="31">
        <v>30.1</v>
      </c>
      <c r="O1216" s="31">
        <v>0</v>
      </c>
      <c r="P1216" s="31">
        <v>4</v>
      </c>
      <c r="Q1216" s="31">
        <v>4</v>
      </c>
      <c r="R1216" s="31">
        <v>19</v>
      </c>
      <c r="S1216" s="31">
        <v>0</v>
      </c>
      <c r="Y1216" s="29"/>
      <c r="Z1216" s="23"/>
      <c r="AA1216" s="3" t="str">
        <f t="shared" si="9"/>
        <v>___</v>
      </c>
      <c r="AB1216" s="3" t="str">
        <f t="shared" si="8"/>
        <v>____</v>
      </c>
    </row>
    <row r="1217" spans="1:29" ht="14">
      <c r="A1217" s="3">
        <v>1216</v>
      </c>
      <c r="B1217" s="28" t="s">
        <v>161</v>
      </c>
      <c r="C1217" s="5" t="s">
        <v>162</v>
      </c>
      <c r="D1217" s="28">
        <v>24</v>
      </c>
      <c r="E1217" s="26" t="s">
        <v>163</v>
      </c>
      <c r="F1217" s="26" t="s">
        <v>34</v>
      </c>
      <c r="G1217" s="26" t="s">
        <v>167</v>
      </c>
      <c r="H1217" s="26" t="s">
        <v>35</v>
      </c>
      <c r="I1217" s="28">
        <v>1</v>
      </c>
      <c r="J1217" s="28">
        <v>2.6</v>
      </c>
      <c r="K1217" s="28">
        <v>6</v>
      </c>
      <c r="L1217" s="28">
        <v>3</v>
      </c>
      <c r="M1217" s="26" t="s">
        <v>36</v>
      </c>
      <c r="N1217" s="28">
        <v>16.3</v>
      </c>
      <c r="O1217" s="28">
        <v>10</v>
      </c>
      <c r="P1217" s="28">
        <v>10</v>
      </c>
      <c r="Q1217" s="28">
        <v>0</v>
      </c>
      <c r="R1217" s="28">
        <v>0</v>
      </c>
      <c r="S1217" s="28">
        <v>0</v>
      </c>
      <c r="Y1217" s="26"/>
      <c r="Z1217" s="23"/>
      <c r="AA1217" s="3" t="str">
        <f t="shared" si="9"/>
        <v>ANO_0416_24_T3-C1_vv</v>
      </c>
      <c r="AB1217" s="3" t="str">
        <f t="shared" si="8"/>
        <v>ANO_0416_24_T3-C1_vv_1</v>
      </c>
      <c r="AC1217" s="3" t="s">
        <v>37</v>
      </c>
    </row>
    <row r="1218" spans="1:29" ht="14">
      <c r="A1218" s="3">
        <v>1217</v>
      </c>
      <c r="B1218" s="26"/>
      <c r="C1218" s="5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 t="s">
        <v>38</v>
      </c>
      <c r="N1218" s="28">
        <v>19.8</v>
      </c>
      <c r="O1218" s="28">
        <v>9</v>
      </c>
      <c r="P1218" s="28">
        <v>10</v>
      </c>
      <c r="Q1218" s="28">
        <v>0</v>
      </c>
      <c r="R1218" s="28">
        <v>0</v>
      </c>
      <c r="S1218" s="28">
        <v>0</v>
      </c>
      <c r="Y1218" s="26"/>
      <c r="Z1218" s="23"/>
      <c r="AA1218" s="3" t="str">
        <f t="shared" si="9"/>
        <v>___</v>
      </c>
      <c r="AB1218" s="3" t="str">
        <f t="shared" si="8"/>
        <v>____</v>
      </c>
    </row>
    <row r="1219" spans="1:29" ht="14">
      <c r="A1219" s="3">
        <v>1218</v>
      </c>
      <c r="B1219" s="29"/>
      <c r="C1219" s="30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 t="s">
        <v>39</v>
      </c>
      <c r="N1219" s="31">
        <v>20.2</v>
      </c>
      <c r="O1219" s="31">
        <v>3</v>
      </c>
      <c r="P1219" s="31">
        <v>8</v>
      </c>
      <c r="Q1219" s="31">
        <v>0</v>
      </c>
      <c r="R1219" s="31">
        <v>0</v>
      </c>
      <c r="S1219" s="31">
        <v>0</v>
      </c>
      <c r="Y1219" s="29"/>
      <c r="Z1219" s="23"/>
      <c r="AA1219" s="3" t="str">
        <f t="shared" si="9"/>
        <v>___</v>
      </c>
      <c r="AB1219" s="3" t="str">
        <f t="shared" si="8"/>
        <v>____</v>
      </c>
    </row>
    <row r="1220" spans="1:29" ht="14">
      <c r="A1220" s="3">
        <v>1219</v>
      </c>
      <c r="B1220" s="28" t="s">
        <v>161</v>
      </c>
      <c r="C1220" s="5" t="s">
        <v>162</v>
      </c>
      <c r="D1220" s="28">
        <v>24</v>
      </c>
      <c r="E1220" s="26" t="s">
        <v>163</v>
      </c>
      <c r="F1220" s="26" t="s">
        <v>34</v>
      </c>
      <c r="G1220" s="26" t="s">
        <v>167</v>
      </c>
      <c r="H1220" s="26" t="s">
        <v>35</v>
      </c>
      <c r="I1220" s="28">
        <v>2</v>
      </c>
      <c r="J1220" s="28">
        <v>4.0999999999999996</v>
      </c>
      <c r="K1220" s="28">
        <v>4.3</v>
      </c>
      <c r="L1220" s="28">
        <v>3</v>
      </c>
      <c r="M1220" s="26" t="s">
        <v>36</v>
      </c>
      <c r="N1220" s="28">
        <v>16.8</v>
      </c>
      <c r="O1220" s="28">
        <v>13</v>
      </c>
      <c r="P1220" s="28">
        <v>14</v>
      </c>
      <c r="Q1220" s="28">
        <v>0</v>
      </c>
      <c r="R1220" s="28">
        <v>0</v>
      </c>
      <c r="S1220" s="28">
        <v>0</v>
      </c>
      <c r="Y1220" s="26"/>
      <c r="Z1220" s="23"/>
      <c r="AA1220" s="3" t="str">
        <f t="shared" si="9"/>
        <v>ANO_0416_24_T3-C1_vv</v>
      </c>
      <c r="AB1220" s="3" t="str">
        <f t="shared" si="8"/>
        <v>ANO_0416_24_T3-C1_vv_2</v>
      </c>
      <c r="AC1220" s="3" t="s">
        <v>37</v>
      </c>
    </row>
    <row r="1221" spans="1:29" ht="14">
      <c r="A1221" s="3">
        <v>1220</v>
      </c>
      <c r="B1221" s="26"/>
      <c r="C1221" s="5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 t="s">
        <v>38</v>
      </c>
      <c r="N1221" s="28">
        <v>15.8</v>
      </c>
      <c r="O1221" s="28">
        <v>5</v>
      </c>
      <c r="P1221" s="28">
        <v>6</v>
      </c>
      <c r="Q1221" s="28">
        <v>4</v>
      </c>
      <c r="R1221" s="28">
        <v>4</v>
      </c>
      <c r="S1221" s="28">
        <v>0</v>
      </c>
      <c r="Y1221" s="26" t="s">
        <v>165</v>
      </c>
      <c r="Z1221" s="23"/>
      <c r="AA1221" s="3" t="str">
        <f t="shared" si="9"/>
        <v>___</v>
      </c>
      <c r="AB1221" s="3" t="str">
        <f t="shared" si="8"/>
        <v>____</v>
      </c>
    </row>
    <row r="1222" spans="1:29" ht="14">
      <c r="A1222" s="3">
        <v>1221</v>
      </c>
      <c r="B1222" s="29"/>
      <c r="C1222" s="30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 t="s">
        <v>39</v>
      </c>
      <c r="N1222" s="31">
        <v>10</v>
      </c>
      <c r="O1222" s="31">
        <v>0</v>
      </c>
      <c r="P1222" s="31">
        <v>3</v>
      </c>
      <c r="Q1222" s="31">
        <v>0</v>
      </c>
      <c r="R1222" s="31">
        <v>0</v>
      </c>
      <c r="S1222" s="31">
        <v>0</v>
      </c>
      <c r="Y1222" s="29"/>
      <c r="Z1222" s="23"/>
      <c r="AA1222" s="3" t="str">
        <f t="shared" si="9"/>
        <v>___</v>
      </c>
      <c r="AB1222" s="3" t="str">
        <f t="shared" si="8"/>
        <v>____</v>
      </c>
    </row>
    <row r="1223" spans="1:29" ht="14">
      <c r="A1223" s="3">
        <v>1222</v>
      </c>
      <c r="B1223" s="28" t="s">
        <v>161</v>
      </c>
      <c r="C1223" s="5" t="s">
        <v>162</v>
      </c>
      <c r="D1223" s="28">
        <v>24</v>
      </c>
      <c r="E1223" s="26" t="s">
        <v>163</v>
      </c>
      <c r="F1223" s="26" t="s">
        <v>34</v>
      </c>
      <c r="G1223" s="26" t="s">
        <v>167</v>
      </c>
      <c r="H1223" s="26" t="s">
        <v>35</v>
      </c>
      <c r="I1223" s="28">
        <v>3</v>
      </c>
      <c r="J1223" s="28">
        <v>3.1</v>
      </c>
      <c r="K1223" s="28">
        <v>4</v>
      </c>
      <c r="L1223" s="28">
        <v>4</v>
      </c>
      <c r="M1223" s="26" t="s">
        <v>36</v>
      </c>
      <c r="N1223" s="28">
        <v>15.4</v>
      </c>
      <c r="O1223" s="28">
        <v>9</v>
      </c>
      <c r="P1223" s="28">
        <v>10</v>
      </c>
      <c r="Q1223" s="28">
        <v>0</v>
      </c>
      <c r="R1223" s="28">
        <v>0</v>
      </c>
      <c r="S1223" s="28">
        <v>0</v>
      </c>
      <c r="Y1223" s="26"/>
      <c r="Z1223" s="23"/>
      <c r="AA1223" s="3" t="str">
        <f t="shared" si="9"/>
        <v>ANO_0416_24_T3-C1_vv</v>
      </c>
      <c r="AB1223" s="3" t="str">
        <f t="shared" si="8"/>
        <v>ANO_0416_24_T3-C1_vv_3</v>
      </c>
      <c r="AC1223" s="3" t="s">
        <v>37</v>
      </c>
    </row>
    <row r="1224" spans="1:29" ht="14">
      <c r="A1224" s="3">
        <v>1223</v>
      </c>
      <c r="B1224" s="26"/>
      <c r="C1224" s="5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 t="s">
        <v>38</v>
      </c>
      <c r="N1224" s="28">
        <v>10.1</v>
      </c>
      <c r="O1224" s="28">
        <v>3</v>
      </c>
      <c r="P1224" s="28">
        <v>4</v>
      </c>
      <c r="Q1224" s="28">
        <v>0</v>
      </c>
      <c r="R1224" s="28">
        <v>0</v>
      </c>
      <c r="S1224" s="28">
        <v>0</v>
      </c>
      <c r="Y1224" s="26"/>
      <c r="Z1224" s="23"/>
      <c r="AA1224" s="3" t="str">
        <f t="shared" si="9"/>
        <v>___</v>
      </c>
      <c r="AB1224" s="3" t="str">
        <f t="shared" si="8"/>
        <v>____</v>
      </c>
    </row>
    <row r="1225" spans="1:29" ht="14">
      <c r="A1225" s="3">
        <v>1224</v>
      </c>
      <c r="B1225" s="29"/>
      <c r="C1225" s="30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 t="s">
        <v>39</v>
      </c>
      <c r="N1225" s="31">
        <v>16.2</v>
      </c>
      <c r="O1225" s="31">
        <v>4</v>
      </c>
      <c r="P1225" s="31">
        <v>4</v>
      </c>
      <c r="Q1225" s="31">
        <v>1</v>
      </c>
      <c r="R1225" s="31">
        <v>1</v>
      </c>
      <c r="S1225" s="31">
        <v>0</v>
      </c>
      <c r="Y1225" s="29" t="s">
        <v>168</v>
      </c>
      <c r="Z1225" s="23"/>
      <c r="AA1225" s="3" t="str">
        <f t="shared" si="9"/>
        <v>___</v>
      </c>
      <c r="AB1225" s="3" t="str">
        <f t="shared" si="8"/>
        <v>____</v>
      </c>
    </row>
    <row r="1226" spans="1:29" ht="14">
      <c r="A1226" s="3">
        <v>1225</v>
      </c>
      <c r="B1226" s="28" t="s">
        <v>169</v>
      </c>
      <c r="C1226" s="5" t="s">
        <v>170</v>
      </c>
      <c r="D1226" s="28">
        <v>13</v>
      </c>
      <c r="E1226" s="26" t="s">
        <v>163</v>
      </c>
      <c r="F1226" s="26" t="s">
        <v>34</v>
      </c>
      <c r="G1226" s="26" t="s">
        <v>171</v>
      </c>
      <c r="H1226" s="26" t="s">
        <v>40</v>
      </c>
      <c r="I1226" s="28">
        <v>1</v>
      </c>
      <c r="J1226" s="28">
        <v>12.4</v>
      </c>
      <c r="K1226" s="28">
        <v>14.2</v>
      </c>
      <c r="L1226" s="28">
        <v>5</v>
      </c>
      <c r="M1226" s="26" t="s">
        <v>36</v>
      </c>
      <c r="N1226" s="28">
        <v>40.299999999999997</v>
      </c>
      <c r="O1226" s="28">
        <v>5</v>
      </c>
      <c r="P1226" s="28">
        <v>7</v>
      </c>
      <c r="Q1226" s="28">
        <v>0</v>
      </c>
      <c r="R1226" s="28">
        <v>0</v>
      </c>
      <c r="S1226" s="28">
        <v>0</v>
      </c>
      <c r="Y1226" s="26"/>
      <c r="Z1226" s="23"/>
      <c r="AA1226" s="3" t="str">
        <f t="shared" si="9"/>
        <v>ANO_178_13_V1-C7_vm</v>
      </c>
      <c r="AB1226" s="3" t="str">
        <f t="shared" si="8"/>
        <v>ANO_178_13_V1-C7_vm_1</v>
      </c>
      <c r="AC1226" s="3" t="s">
        <v>37</v>
      </c>
    </row>
    <row r="1227" spans="1:29" ht="14">
      <c r="A1227" s="3">
        <v>1226</v>
      </c>
      <c r="B1227" s="26"/>
      <c r="C1227" s="5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 t="s">
        <v>38</v>
      </c>
      <c r="N1227" s="28">
        <v>65</v>
      </c>
      <c r="O1227" s="28">
        <v>0</v>
      </c>
      <c r="P1227" s="28">
        <v>4</v>
      </c>
      <c r="Q1227" s="28">
        <v>3</v>
      </c>
      <c r="R1227" s="28">
        <v>3</v>
      </c>
      <c r="S1227" s="28">
        <v>0</v>
      </c>
      <c r="Y1227" s="26"/>
      <c r="Z1227" s="23"/>
      <c r="AA1227" s="3" t="str">
        <f t="shared" si="9"/>
        <v>___</v>
      </c>
      <c r="AB1227" s="3" t="str">
        <f t="shared" si="8"/>
        <v>____</v>
      </c>
    </row>
    <row r="1228" spans="1:29" ht="14">
      <c r="A1228" s="3">
        <v>1227</v>
      </c>
      <c r="B1228" s="29"/>
      <c r="C1228" s="30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 t="s">
        <v>39</v>
      </c>
      <c r="N1228" s="31">
        <v>30.2</v>
      </c>
      <c r="O1228" s="31">
        <v>0</v>
      </c>
      <c r="P1228" s="31">
        <v>4</v>
      </c>
      <c r="Q1228" s="31">
        <v>1</v>
      </c>
      <c r="R1228" s="31">
        <v>1</v>
      </c>
      <c r="S1228" s="31">
        <v>0</v>
      </c>
      <c r="Y1228" s="29"/>
      <c r="Z1228" s="23"/>
      <c r="AA1228" s="3" t="str">
        <f t="shared" si="9"/>
        <v>___</v>
      </c>
      <c r="AB1228" s="3" t="str">
        <f t="shared" si="8"/>
        <v>____</v>
      </c>
    </row>
    <row r="1229" spans="1:29" ht="14">
      <c r="A1229" s="3">
        <v>1228</v>
      </c>
      <c r="B1229" s="28" t="s">
        <v>169</v>
      </c>
      <c r="C1229" s="5" t="s">
        <v>170</v>
      </c>
      <c r="D1229" s="28">
        <v>13</v>
      </c>
      <c r="E1229" s="26" t="s">
        <v>163</v>
      </c>
      <c r="F1229" s="26" t="s">
        <v>34</v>
      </c>
      <c r="G1229" s="26" t="s">
        <v>171</v>
      </c>
      <c r="H1229" s="26" t="s">
        <v>40</v>
      </c>
      <c r="I1229" s="28">
        <v>2</v>
      </c>
      <c r="J1229" s="28">
        <v>16.8</v>
      </c>
      <c r="K1229" s="28">
        <v>17.100000000000001</v>
      </c>
      <c r="L1229" s="28">
        <v>5</v>
      </c>
      <c r="M1229" s="26" t="s">
        <v>36</v>
      </c>
      <c r="N1229" s="28">
        <v>26.3</v>
      </c>
      <c r="O1229" s="28">
        <v>5</v>
      </c>
      <c r="P1229" s="28">
        <v>5</v>
      </c>
      <c r="Q1229" s="28">
        <v>0</v>
      </c>
      <c r="R1229" s="28">
        <v>0</v>
      </c>
      <c r="S1229" s="28">
        <v>0</v>
      </c>
      <c r="Y1229" s="26" t="s">
        <v>172</v>
      </c>
      <c r="Z1229" s="23"/>
      <c r="AA1229" s="3" t="str">
        <f t="shared" si="9"/>
        <v>ANO_178_13_V1-C7_vm</v>
      </c>
      <c r="AB1229" s="3" t="str">
        <f t="shared" si="8"/>
        <v>ANO_178_13_V1-C7_vm_2</v>
      </c>
      <c r="AC1229" s="3" t="s">
        <v>37</v>
      </c>
    </row>
    <row r="1230" spans="1:29" ht="14">
      <c r="A1230" s="3">
        <v>1229</v>
      </c>
      <c r="B1230" s="28"/>
      <c r="C1230" s="5"/>
      <c r="D1230" s="28"/>
      <c r="E1230" s="26"/>
      <c r="F1230" s="26"/>
      <c r="G1230" s="26"/>
      <c r="H1230" s="26"/>
      <c r="I1230" s="28"/>
      <c r="J1230" s="28"/>
      <c r="K1230" s="28"/>
      <c r="L1230" s="28"/>
      <c r="M1230" s="26" t="s">
        <v>38</v>
      </c>
      <c r="N1230" s="28">
        <v>25</v>
      </c>
      <c r="O1230" s="28">
        <v>1</v>
      </c>
      <c r="P1230" s="28">
        <v>2</v>
      </c>
      <c r="Q1230" s="28">
        <v>2</v>
      </c>
      <c r="R1230" s="28">
        <v>3</v>
      </c>
      <c r="S1230" s="28">
        <v>0</v>
      </c>
      <c r="Y1230" s="26" t="s">
        <v>168</v>
      </c>
      <c r="Z1230" s="23"/>
      <c r="AA1230" s="3" t="str">
        <f t="shared" si="9"/>
        <v>___</v>
      </c>
      <c r="AB1230" s="3" t="str">
        <f t="shared" si="8"/>
        <v>____</v>
      </c>
    </row>
    <row r="1231" spans="1:29" ht="14">
      <c r="A1231" s="3">
        <v>1230</v>
      </c>
      <c r="B1231" s="29"/>
      <c r="C1231" s="30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 t="s">
        <v>39</v>
      </c>
      <c r="N1231" s="31">
        <v>25.1</v>
      </c>
      <c r="O1231" s="31">
        <v>0</v>
      </c>
      <c r="P1231" s="31">
        <v>3</v>
      </c>
      <c r="Q1231" s="31">
        <v>2</v>
      </c>
      <c r="R1231" s="31">
        <v>2</v>
      </c>
      <c r="S1231" s="31">
        <v>0</v>
      </c>
      <c r="Y1231" s="29"/>
      <c r="Z1231" s="23"/>
      <c r="AA1231" s="3" t="str">
        <f t="shared" si="9"/>
        <v>___</v>
      </c>
      <c r="AB1231" s="3" t="str">
        <f t="shared" si="8"/>
        <v>____</v>
      </c>
    </row>
    <row r="1232" spans="1:29" ht="14">
      <c r="A1232" s="3">
        <v>1231</v>
      </c>
      <c r="B1232" s="28" t="s">
        <v>169</v>
      </c>
      <c r="C1232" s="5" t="s">
        <v>170</v>
      </c>
      <c r="D1232" s="28">
        <v>13</v>
      </c>
      <c r="E1232" s="26" t="s">
        <v>163</v>
      </c>
      <c r="F1232" s="26" t="s">
        <v>34</v>
      </c>
      <c r="G1232" s="26" t="s">
        <v>171</v>
      </c>
      <c r="H1232" s="26" t="s">
        <v>40</v>
      </c>
      <c r="I1232" s="28">
        <v>3</v>
      </c>
      <c r="J1232" s="28">
        <v>17.8</v>
      </c>
      <c r="K1232" s="28">
        <v>16.5</v>
      </c>
      <c r="L1232" s="28">
        <v>4</v>
      </c>
      <c r="M1232" s="26" t="s">
        <v>36</v>
      </c>
      <c r="N1232" s="28">
        <v>35.1</v>
      </c>
      <c r="O1232" s="28">
        <v>6</v>
      </c>
      <c r="P1232" s="28">
        <v>6</v>
      </c>
      <c r="Q1232" s="28">
        <v>0</v>
      </c>
      <c r="R1232" s="28">
        <v>0</v>
      </c>
      <c r="S1232" s="28">
        <v>0</v>
      </c>
      <c r="Y1232" s="26"/>
      <c r="Z1232" s="23"/>
      <c r="AA1232" s="3" t="str">
        <f t="shared" si="9"/>
        <v>ANO_178_13_V1-C7_vm</v>
      </c>
      <c r="AB1232" s="3" t="str">
        <f t="shared" si="8"/>
        <v>ANO_178_13_V1-C7_vm_3</v>
      </c>
      <c r="AC1232" s="3" t="s">
        <v>37</v>
      </c>
    </row>
    <row r="1233" spans="1:29" ht="14">
      <c r="A1233" s="3">
        <v>1232</v>
      </c>
      <c r="B1233" s="28"/>
      <c r="C1233" s="5"/>
      <c r="D1233" s="28"/>
      <c r="E1233" s="26"/>
      <c r="F1233" s="26"/>
      <c r="G1233" s="26"/>
      <c r="H1233" s="26"/>
      <c r="I1233" s="28"/>
      <c r="J1233" s="28"/>
      <c r="K1233" s="28"/>
      <c r="L1233" s="28"/>
      <c r="M1233" s="26" t="s">
        <v>38</v>
      </c>
      <c r="N1233" s="22">
        <v>80.2</v>
      </c>
      <c r="O1233" s="28">
        <v>0</v>
      </c>
      <c r="P1233" s="28">
        <v>9</v>
      </c>
      <c r="Q1233" s="28">
        <v>4</v>
      </c>
      <c r="R1233" s="28">
        <v>4</v>
      </c>
      <c r="S1233" s="28">
        <v>0</v>
      </c>
      <c r="Y1233" s="23"/>
      <c r="Z1233" s="23"/>
      <c r="AA1233" s="3" t="str">
        <f t="shared" si="9"/>
        <v>___</v>
      </c>
      <c r="AB1233" s="3" t="str">
        <f t="shared" si="8"/>
        <v>____</v>
      </c>
    </row>
    <row r="1234" spans="1:29" ht="14">
      <c r="A1234" s="3">
        <v>1233</v>
      </c>
      <c r="B1234" s="29"/>
      <c r="C1234" s="30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 t="s">
        <v>39</v>
      </c>
      <c r="N1234" s="28">
        <v>19.7</v>
      </c>
      <c r="O1234" s="31">
        <v>0</v>
      </c>
      <c r="P1234" s="31">
        <v>1</v>
      </c>
      <c r="Q1234" s="31">
        <v>3</v>
      </c>
      <c r="R1234" s="31">
        <v>4</v>
      </c>
      <c r="S1234" s="31">
        <v>0</v>
      </c>
      <c r="Y1234" s="26" t="s">
        <v>173</v>
      </c>
      <c r="Z1234" s="23"/>
      <c r="AA1234" s="3" t="str">
        <f t="shared" si="9"/>
        <v>___</v>
      </c>
      <c r="AB1234" s="3" t="str">
        <f t="shared" si="8"/>
        <v>____</v>
      </c>
    </row>
    <row r="1235" spans="1:29" ht="14">
      <c r="A1235" s="3">
        <v>1234</v>
      </c>
      <c r="B1235" s="28" t="s">
        <v>169</v>
      </c>
      <c r="C1235" s="5" t="s">
        <v>170</v>
      </c>
      <c r="D1235" s="28">
        <v>22</v>
      </c>
      <c r="E1235" s="26" t="s">
        <v>163</v>
      </c>
      <c r="F1235" s="26" t="s">
        <v>34</v>
      </c>
      <c r="G1235" s="26" t="s">
        <v>174</v>
      </c>
      <c r="H1235" s="26" t="s">
        <v>40</v>
      </c>
      <c r="I1235" s="28">
        <v>1</v>
      </c>
      <c r="J1235" s="28">
        <v>16.8</v>
      </c>
      <c r="K1235" s="28">
        <v>21.5</v>
      </c>
      <c r="L1235" s="28">
        <v>4</v>
      </c>
      <c r="M1235" s="26" t="s">
        <v>36</v>
      </c>
      <c r="N1235" s="28">
        <v>30.6</v>
      </c>
      <c r="O1235" s="28">
        <v>5</v>
      </c>
      <c r="P1235" s="28">
        <v>6</v>
      </c>
      <c r="Q1235" s="28">
        <v>0</v>
      </c>
      <c r="R1235" s="28">
        <v>0</v>
      </c>
      <c r="S1235" s="28">
        <v>0</v>
      </c>
      <c r="Y1235" s="26" t="s">
        <v>175</v>
      </c>
      <c r="Z1235" s="23"/>
      <c r="AA1235" s="3" t="str">
        <f t="shared" si="9"/>
        <v>ANO_178_22_T34-C2_vm</v>
      </c>
      <c r="AB1235" s="3" t="str">
        <f t="shared" si="8"/>
        <v>ANO_178_22_T34-C2_vm_1</v>
      </c>
      <c r="AC1235" s="3" t="s">
        <v>37</v>
      </c>
    </row>
    <row r="1236" spans="1:29" ht="14">
      <c r="A1236" s="3">
        <v>1235</v>
      </c>
      <c r="B1236" s="28"/>
      <c r="C1236" s="5"/>
      <c r="D1236" s="28"/>
      <c r="E1236" s="26"/>
      <c r="F1236" s="26"/>
      <c r="G1236" s="26"/>
      <c r="H1236" s="26"/>
      <c r="I1236" s="28"/>
      <c r="J1236" s="28"/>
      <c r="K1236" s="28"/>
      <c r="L1236" s="28"/>
      <c r="M1236" s="26" t="s">
        <v>38</v>
      </c>
      <c r="N1236" s="28">
        <v>80.400000000000006</v>
      </c>
      <c r="O1236" s="28">
        <v>0</v>
      </c>
      <c r="P1236" s="28">
        <v>7</v>
      </c>
      <c r="Q1236" s="28">
        <v>1</v>
      </c>
      <c r="R1236" s="28">
        <v>4</v>
      </c>
      <c r="S1236" s="28">
        <v>0</v>
      </c>
      <c r="Y1236" s="26"/>
      <c r="Z1236" s="23"/>
      <c r="AA1236" s="3" t="str">
        <f t="shared" si="9"/>
        <v>___</v>
      </c>
      <c r="AB1236" s="3" t="str">
        <f t="shared" si="8"/>
        <v>____</v>
      </c>
    </row>
    <row r="1237" spans="1:29" ht="14">
      <c r="A1237" s="3">
        <v>1236</v>
      </c>
      <c r="B1237" s="29"/>
      <c r="C1237" s="30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 t="s">
        <v>39</v>
      </c>
      <c r="N1237" s="31">
        <v>67.2</v>
      </c>
      <c r="O1237" s="31">
        <v>0</v>
      </c>
      <c r="P1237" s="31">
        <v>6</v>
      </c>
      <c r="Q1237" s="31">
        <v>1</v>
      </c>
      <c r="R1237" s="31">
        <v>18</v>
      </c>
      <c r="S1237" s="31">
        <v>0</v>
      </c>
      <c r="Y1237" s="29"/>
      <c r="Z1237" s="23"/>
      <c r="AA1237" s="3" t="str">
        <f t="shared" si="9"/>
        <v>___</v>
      </c>
      <c r="AB1237" s="3" t="str">
        <f t="shared" si="8"/>
        <v>____</v>
      </c>
    </row>
    <row r="1238" spans="1:29" ht="14">
      <c r="A1238" s="3">
        <v>1237</v>
      </c>
      <c r="B1238" s="28" t="s">
        <v>169</v>
      </c>
      <c r="C1238" s="5" t="s">
        <v>170</v>
      </c>
      <c r="D1238" s="28">
        <v>22</v>
      </c>
      <c r="E1238" s="26" t="s">
        <v>163</v>
      </c>
      <c r="F1238" s="26" t="s">
        <v>34</v>
      </c>
      <c r="G1238" s="26" t="s">
        <v>174</v>
      </c>
      <c r="H1238" s="26" t="s">
        <v>40</v>
      </c>
      <c r="I1238" s="28">
        <v>2</v>
      </c>
      <c r="J1238" s="28">
        <v>15.7</v>
      </c>
      <c r="K1238" s="28">
        <v>17.5</v>
      </c>
      <c r="L1238" s="28">
        <v>4</v>
      </c>
      <c r="M1238" s="26" t="s">
        <v>36</v>
      </c>
      <c r="N1238" s="28">
        <v>49.2</v>
      </c>
      <c r="O1238" s="28">
        <v>7</v>
      </c>
      <c r="P1238" s="28">
        <v>7</v>
      </c>
      <c r="Q1238" s="28">
        <v>0</v>
      </c>
      <c r="R1238" s="28">
        <v>0</v>
      </c>
      <c r="S1238" s="28">
        <v>0</v>
      </c>
      <c r="Y1238" s="26"/>
      <c r="Z1238" s="23"/>
      <c r="AA1238" s="3" t="str">
        <f t="shared" si="9"/>
        <v>ANO_178_22_T34-C2_vm</v>
      </c>
      <c r="AB1238" s="3" t="str">
        <f t="shared" si="8"/>
        <v>ANO_178_22_T34-C2_vm_2</v>
      </c>
      <c r="AC1238" s="3" t="s">
        <v>37</v>
      </c>
    </row>
    <row r="1239" spans="1:29" ht="14">
      <c r="A1239" s="3">
        <v>1238</v>
      </c>
      <c r="B1239" s="26"/>
      <c r="C1239" s="5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 t="s">
        <v>38</v>
      </c>
      <c r="N1239" s="28">
        <v>57.4</v>
      </c>
      <c r="O1239" s="28">
        <v>0</v>
      </c>
      <c r="P1239" s="28">
        <v>5</v>
      </c>
      <c r="Q1239" s="28">
        <v>1</v>
      </c>
      <c r="R1239" s="28">
        <v>3</v>
      </c>
      <c r="S1239" s="28">
        <v>0</v>
      </c>
      <c r="Y1239" s="26"/>
      <c r="Z1239" s="23"/>
      <c r="AA1239" s="3" t="str">
        <f t="shared" si="9"/>
        <v>___</v>
      </c>
      <c r="AB1239" s="3" t="str">
        <f t="shared" si="8"/>
        <v>____</v>
      </c>
    </row>
    <row r="1240" spans="1:29" ht="14">
      <c r="A1240" s="3">
        <v>1239</v>
      </c>
      <c r="B1240" s="29"/>
      <c r="C1240" s="30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 t="s">
        <v>39</v>
      </c>
      <c r="N1240" s="31">
        <v>22.3</v>
      </c>
      <c r="O1240" s="31">
        <v>0</v>
      </c>
      <c r="P1240" s="31">
        <v>2</v>
      </c>
      <c r="Q1240" s="31">
        <v>1</v>
      </c>
      <c r="R1240" s="31">
        <v>10</v>
      </c>
      <c r="S1240" s="31">
        <v>0</v>
      </c>
      <c r="Y1240" s="29"/>
      <c r="Z1240" s="23"/>
      <c r="AA1240" s="3" t="str">
        <f t="shared" si="9"/>
        <v>___</v>
      </c>
      <c r="AB1240" s="3" t="str">
        <f t="shared" si="8"/>
        <v>____</v>
      </c>
    </row>
    <row r="1241" spans="1:29" ht="14">
      <c r="A1241" s="3">
        <v>1240</v>
      </c>
      <c r="B1241" s="28" t="s">
        <v>169</v>
      </c>
      <c r="C1241" s="5" t="s">
        <v>170</v>
      </c>
      <c r="D1241" s="28">
        <v>22</v>
      </c>
      <c r="E1241" s="26" t="s">
        <v>163</v>
      </c>
      <c r="F1241" s="26" t="s">
        <v>34</v>
      </c>
      <c r="G1241" s="26" t="s">
        <v>174</v>
      </c>
      <c r="H1241" s="26" t="s">
        <v>40</v>
      </c>
      <c r="I1241" s="28">
        <v>3</v>
      </c>
      <c r="J1241" s="28">
        <v>11.2</v>
      </c>
      <c r="K1241" s="28">
        <v>21.1</v>
      </c>
      <c r="L1241" s="28">
        <v>5</v>
      </c>
      <c r="M1241" s="26" t="s">
        <v>36</v>
      </c>
      <c r="N1241" s="28">
        <v>20.5</v>
      </c>
      <c r="O1241" s="28">
        <v>5</v>
      </c>
      <c r="P1241" s="28">
        <v>5</v>
      </c>
      <c r="Q1241" s="28">
        <v>0</v>
      </c>
      <c r="R1241" s="28">
        <v>0</v>
      </c>
      <c r="S1241" s="28">
        <v>0</v>
      </c>
      <c r="Y1241" s="26"/>
      <c r="Z1241" s="23"/>
      <c r="AA1241" s="3" t="str">
        <f t="shared" si="9"/>
        <v>ANO_178_22_T34-C2_vm</v>
      </c>
      <c r="AB1241" s="3" t="str">
        <f t="shared" si="8"/>
        <v>ANO_178_22_T34-C2_vm_3</v>
      </c>
      <c r="AC1241" s="3" t="s">
        <v>37</v>
      </c>
    </row>
    <row r="1242" spans="1:29" ht="14">
      <c r="A1242" s="3">
        <v>1241</v>
      </c>
      <c r="B1242" s="26"/>
      <c r="C1242" s="5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 t="s">
        <v>38</v>
      </c>
      <c r="N1242" s="28">
        <v>70.5</v>
      </c>
      <c r="O1242" s="28">
        <v>0</v>
      </c>
      <c r="P1242" s="28">
        <v>10</v>
      </c>
      <c r="Q1242" s="28">
        <v>4</v>
      </c>
      <c r="R1242" s="28">
        <v>4</v>
      </c>
      <c r="S1242" s="28">
        <v>0</v>
      </c>
      <c r="Y1242" s="26"/>
      <c r="Z1242" s="23"/>
      <c r="AA1242" s="3" t="str">
        <f t="shared" si="9"/>
        <v>___</v>
      </c>
      <c r="AB1242" s="3" t="str">
        <f t="shared" si="8"/>
        <v>____</v>
      </c>
    </row>
    <row r="1243" spans="1:29" ht="14">
      <c r="A1243" s="3">
        <v>1242</v>
      </c>
      <c r="B1243" s="29"/>
      <c r="C1243" s="30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 t="s">
        <v>39</v>
      </c>
      <c r="N1243" s="31">
        <v>46.1</v>
      </c>
      <c r="O1243" s="31">
        <v>0</v>
      </c>
      <c r="P1243" s="31">
        <v>2</v>
      </c>
      <c r="Q1243" s="31">
        <v>3</v>
      </c>
      <c r="R1243" s="31">
        <v>30</v>
      </c>
      <c r="S1243" s="31">
        <v>0</v>
      </c>
      <c r="Y1243" s="29"/>
      <c r="Z1243" s="23"/>
      <c r="AA1243" s="3" t="str">
        <f t="shared" si="9"/>
        <v>___</v>
      </c>
      <c r="AB1243" s="3" t="str">
        <f t="shared" si="8"/>
        <v>____</v>
      </c>
    </row>
    <row r="1244" spans="1:29" ht="14">
      <c r="A1244" s="3">
        <v>1243</v>
      </c>
      <c r="B1244" s="28" t="s">
        <v>169</v>
      </c>
      <c r="C1244" s="5" t="s">
        <v>170</v>
      </c>
      <c r="D1244" s="28">
        <v>26</v>
      </c>
      <c r="E1244" s="26" t="s">
        <v>163</v>
      </c>
      <c r="F1244" s="26" t="s">
        <v>34</v>
      </c>
      <c r="G1244" s="26" t="s">
        <v>176</v>
      </c>
      <c r="H1244" s="26" t="s">
        <v>40</v>
      </c>
      <c r="I1244" s="28">
        <v>1</v>
      </c>
      <c r="J1244" s="28">
        <v>6.8</v>
      </c>
      <c r="K1244" s="28">
        <v>14.5</v>
      </c>
      <c r="L1244" s="28">
        <v>4</v>
      </c>
      <c r="M1244" s="26" t="s">
        <v>36</v>
      </c>
      <c r="N1244" s="28">
        <v>40.200000000000003</v>
      </c>
      <c r="O1244" s="28">
        <v>4</v>
      </c>
      <c r="P1244" s="28">
        <v>8</v>
      </c>
      <c r="Q1244" s="28">
        <v>0</v>
      </c>
      <c r="R1244" s="28">
        <v>0</v>
      </c>
      <c r="S1244" s="28">
        <v>0</v>
      </c>
      <c r="Y1244" s="26"/>
      <c r="Z1244" s="23"/>
      <c r="AA1244" s="3" t="str">
        <f t="shared" si="9"/>
        <v>ANO_178_26_T13-C1_vm</v>
      </c>
      <c r="AB1244" s="3" t="str">
        <f t="shared" si="8"/>
        <v>ANO_178_26_T13-C1_vm_1</v>
      </c>
      <c r="AC1244" s="3" t="s">
        <v>37</v>
      </c>
    </row>
    <row r="1245" spans="1:29" ht="14">
      <c r="A1245" s="3">
        <v>1244</v>
      </c>
      <c r="B1245" s="28"/>
      <c r="C1245" s="5"/>
      <c r="D1245" s="28"/>
      <c r="E1245" s="26"/>
      <c r="F1245" s="26"/>
      <c r="G1245" s="26"/>
      <c r="H1245" s="26"/>
      <c r="I1245" s="28"/>
      <c r="J1245" s="28"/>
      <c r="K1245" s="28"/>
      <c r="L1245" s="28"/>
      <c r="M1245" s="26" t="s">
        <v>38</v>
      </c>
      <c r="N1245" s="28">
        <v>55.3</v>
      </c>
      <c r="O1245" s="28">
        <v>0</v>
      </c>
      <c r="P1245" s="28">
        <v>5</v>
      </c>
      <c r="Q1245" s="28">
        <v>2</v>
      </c>
      <c r="R1245" s="28">
        <v>7</v>
      </c>
      <c r="S1245" s="28">
        <v>0</v>
      </c>
      <c r="Y1245" s="26"/>
      <c r="Z1245" s="23"/>
      <c r="AA1245" s="3" t="str">
        <f t="shared" si="9"/>
        <v>___</v>
      </c>
      <c r="AB1245" s="3" t="str">
        <f t="shared" si="8"/>
        <v>____</v>
      </c>
    </row>
    <row r="1246" spans="1:29" ht="14">
      <c r="A1246" s="3">
        <v>1245</v>
      </c>
      <c r="B1246" s="29"/>
      <c r="C1246" s="30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 t="s">
        <v>39</v>
      </c>
      <c r="N1246" s="31">
        <v>32.4</v>
      </c>
      <c r="O1246" s="31">
        <v>0</v>
      </c>
      <c r="P1246" s="31">
        <v>5</v>
      </c>
      <c r="Q1246" s="31">
        <v>0</v>
      </c>
      <c r="R1246" s="31">
        <v>0</v>
      </c>
      <c r="S1246" s="31">
        <v>0</v>
      </c>
      <c r="Y1246" s="29"/>
      <c r="Z1246" s="23"/>
      <c r="AA1246" s="3" t="str">
        <f t="shared" si="9"/>
        <v>___</v>
      </c>
      <c r="AB1246" s="3" t="str">
        <f t="shared" si="8"/>
        <v>____</v>
      </c>
    </row>
    <row r="1247" spans="1:29" ht="14">
      <c r="A1247" s="3">
        <v>1246</v>
      </c>
      <c r="B1247" s="28" t="s">
        <v>169</v>
      </c>
      <c r="C1247" s="5" t="s">
        <v>170</v>
      </c>
      <c r="D1247" s="28">
        <v>26</v>
      </c>
      <c r="E1247" s="26" t="s">
        <v>163</v>
      </c>
      <c r="F1247" s="26" t="s">
        <v>34</v>
      </c>
      <c r="G1247" s="26" t="s">
        <v>176</v>
      </c>
      <c r="H1247" s="26" t="s">
        <v>40</v>
      </c>
      <c r="I1247" s="28">
        <v>2</v>
      </c>
      <c r="J1247" s="28">
        <v>4.5999999999999996</v>
      </c>
      <c r="K1247" s="28">
        <v>15.6</v>
      </c>
      <c r="L1247" s="28">
        <v>3</v>
      </c>
      <c r="M1247" s="26" t="s">
        <v>36</v>
      </c>
      <c r="N1247" s="28">
        <v>40.4</v>
      </c>
      <c r="O1247" s="28">
        <v>5</v>
      </c>
      <c r="P1247" s="28">
        <v>9</v>
      </c>
      <c r="Q1247" s="28">
        <v>0</v>
      </c>
      <c r="R1247" s="28">
        <v>0</v>
      </c>
      <c r="S1247" s="28">
        <v>1</v>
      </c>
      <c r="Y1247" s="26"/>
      <c r="Z1247" s="23"/>
      <c r="AA1247" s="3" t="str">
        <f t="shared" si="9"/>
        <v>ANO_178_26_T13-C1_vm</v>
      </c>
      <c r="AB1247" s="3" t="str">
        <f t="shared" si="8"/>
        <v>ANO_178_26_T13-C1_vm_2</v>
      </c>
      <c r="AC1247" s="3" t="s">
        <v>49</v>
      </c>
    </row>
    <row r="1248" spans="1:29" ht="14">
      <c r="A1248" s="3">
        <v>1247</v>
      </c>
      <c r="B1248" s="28"/>
      <c r="C1248" s="5"/>
      <c r="D1248" s="28"/>
      <c r="E1248" s="26"/>
      <c r="F1248" s="26"/>
      <c r="G1248" s="26"/>
      <c r="H1248" s="26"/>
      <c r="I1248" s="28"/>
      <c r="J1248" s="28"/>
      <c r="K1248" s="28"/>
      <c r="L1248" s="28"/>
      <c r="M1248" s="26" t="s">
        <v>38</v>
      </c>
      <c r="N1248" s="28">
        <v>49.3</v>
      </c>
      <c r="O1248" s="28">
        <v>0</v>
      </c>
      <c r="P1248" s="28">
        <v>6</v>
      </c>
      <c r="Q1248" s="28">
        <v>2</v>
      </c>
      <c r="R1248" s="28">
        <v>2</v>
      </c>
      <c r="S1248" s="28">
        <v>0</v>
      </c>
      <c r="Y1248" s="26"/>
      <c r="Z1248" s="23"/>
      <c r="AA1248" s="3" t="str">
        <f t="shared" si="9"/>
        <v>___</v>
      </c>
      <c r="AB1248" s="3" t="str">
        <f t="shared" si="8"/>
        <v>____</v>
      </c>
    </row>
    <row r="1249" spans="1:29" ht="14">
      <c r="A1249" s="3">
        <v>1248</v>
      </c>
      <c r="B1249" s="29"/>
      <c r="C1249" s="30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 t="s">
        <v>39</v>
      </c>
      <c r="N1249" s="31">
        <v>59.1</v>
      </c>
      <c r="O1249" s="31">
        <v>0</v>
      </c>
      <c r="P1249" s="31">
        <v>6</v>
      </c>
      <c r="Q1249" s="31">
        <v>0</v>
      </c>
      <c r="R1249" s="31">
        <v>0</v>
      </c>
      <c r="S1249" s="31">
        <v>0</v>
      </c>
      <c r="Y1249" s="29"/>
      <c r="Z1249" s="23"/>
      <c r="AA1249" s="3" t="str">
        <f t="shared" si="9"/>
        <v>___</v>
      </c>
      <c r="AB1249" s="3" t="str">
        <f t="shared" si="8"/>
        <v>____</v>
      </c>
    </row>
    <row r="1250" spans="1:29" ht="14">
      <c r="A1250" s="3">
        <v>1249</v>
      </c>
      <c r="B1250" s="28" t="s">
        <v>169</v>
      </c>
      <c r="C1250" s="5" t="s">
        <v>170</v>
      </c>
      <c r="D1250" s="28">
        <v>26</v>
      </c>
      <c r="E1250" s="26" t="s">
        <v>163</v>
      </c>
      <c r="F1250" s="26" t="s">
        <v>34</v>
      </c>
      <c r="G1250" s="26" t="s">
        <v>176</v>
      </c>
      <c r="H1250" s="26" t="s">
        <v>40</v>
      </c>
      <c r="I1250" s="28">
        <v>3</v>
      </c>
      <c r="J1250" s="28">
        <v>5.7</v>
      </c>
      <c r="K1250" s="28">
        <v>16.399999999999999</v>
      </c>
      <c r="L1250" s="28">
        <v>4</v>
      </c>
      <c r="M1250" s="26" t="s">
        <v>36</v>
      </c>
      <c r="N1250" s="28">
        <v>61.1</v>
      </c>
      <c r="O1250" s="28">
        <v>8</v>
      </c>
      <c r="P1250" s="28">
        <v>8</v>
      </c>
      <c r="Q1250" s="28">
        <v>0</v>
      </c>
      <c r="R1250" s="28">
        <v>0</v>
      </c>
      <c r="S1250" s="28">
        <v>0</v>
      </c>
      <c r="Y1250" s="26"/>
      <c r="Z1250" s="23"/>
      <c r="AA1250" s="3" t="str">
        <f t="shared" si="9"/>
        <v>ANO_178_26_T13-C1_vm</v>
      </c>
      <c r="AB1250" s="3" t="str">
        <f t="shared" si="8"/>
        <v>ANO_178_26_T13-C1_vm_3</v>
      </c>
      <c r="AC1250" s="3" t="s">
        <v>37</v>
      </c>
    </row>
    <row r="1251" spans="1:29" ht="14">
      <c r="A1251" s="3">
        <v>1250</v>
      </c>
      <c r="B1251" s="28"/>
      <c r="C1251" s="5"/>
      <c r="D1251" s="28"/>
      <c r="E1251" s="26"/>
      <c r="F1251" s="26"/>
      <c r="G1251" s="26"/>
      <c r="H1251" s="26"/>
      <c r="I1251" s="28"/>
      <c r="J1251" s="28"/>
      <c r="K1251" s="28"/>
      <c r="L1251" s="28"/>
      <c r="M1251" s="26" t="s">
        <v>38</v>
      </c>
      <c r="N1251" s="28">
        <v>43</v>
      </c>
      <c r="O1251" s="28">
        <v>0</v>
      </c>
      <c r="P1251" s="28">
        <v>5</v>
      </c>
      <c r="Q1251" s="28">
        <v>2</v>
      </c>
      <c r="R1251" s="28">
        <v>2</v>
      </c>
      <c r="S1251" s="28">
        <v>0</v>
      </c>
      <c r="Y1251" s="26"/>
      <c r="Z1251" s="23"/>
      <c r="AA1251" s="3" t="str">
        <f t="shared" si="9"/>
        <v>___</v>
      </c>
      <c r="AB1251" s="3" t="str">
        <f t="shared" si="8"/>
        <v>____</v>
      </c>
    </row>
    <row r="1252" spans="1:29" ht="14">
      <c r="A1252" s="3">
        <v>1251</v>
      </c>
      <c r="B1252" s="29"/>
      <c r="C1252" s="30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 t="s">
        <v>39</v>
      </c>
      <c r="N1252" s="31">
        <v>54.5</v>
      </c>
      <c r="O1252" s="31">
        <v>0</v>
      </c>
      <c r="P1252" s="31">
        <v>6</v>
      </c>
      <c r="Q1252" s="31">
        <v>0</v>
      </c>
      <c r="R1252" s="31">
        <v>0</v>
      </c>
      <c r="S1252" s="31">
        <v>0</v>
      </c>
      <c r="Y1252" s="29"/>
      <c r="Z1252" s="23"/>
      <c r="AA1252" s="3" t="str">
        <f t="shared" si="9"/>
        <v>___</v>
      </c>
      <c r="AB1252" s="3" t="str">
        <f t="shared" si="8"/>
        <v>____</v>
      </c>
    </row>
    <row r="1253" spans="1:29" ht="14">
      <c r="A1253" s="3">
        <v>1252</v>
      </c>
      <c r="B1253" s="28" t="s">
        <v>169</v>
      </c>
      <c r="C1253" s="5" t="s">
        <v>170</v>
      </c>
      <c r="D1253" s="28">
        <v>22</v>
      </c>
      <c r="E1253" s="26" t="s">
        <v>163</v>
      </c>
      <c r="F1253" s="26" t="s">
        <v>34</v>
      </c>
      <c r="G1253" s="26" t="s">
        <v>174</v>
      </c>
      <c r="H1253" s="26" t="s">
        <v>35</v>
      </c>
      <c r="I1253" s="28">
        <v>1</v>
      </c>
      <c r="J1253" s="28">
        <v>12.5</v>
      </c>
      <c r="K1253" s="28">
        <v>12.5</v>
      </c>
      <c r="L1253" s="28">
        <v>3</v>
      </c>
      <c r="M1253" s="26" t="s">
        <v>36</v>
      </c>
      <c r="N1253" s="28">
        <v>29.8</v>
      </c>
      <c r="O1253" s="28">
        <v>12</v>
      </c>
      <c r="P1253" s="28">
        <v>12</v>
      </c>
      <c r="Q1253" s="28">
        <v>0</v>
      </c>
      <c r="R1253" s="28">
        <v>0</v>
      </c>
      <c r="S1253" s="28">
        <v>0</v>
      </c>
      <c r="Y1253" s="26"/>
      <c r="Z1253" s="23"/>
      <c r="AA1253" s="3" t="str">
        <f t="shared" si="9"/>
        <v>ANO_178_22_T34-C2_vv</v>
      </c>
      <c r="AB1253" s="3" t="str">
        <f t="shared" si="8"/>
        <v>ANO_178_22_T34-C2_vv_1</v>
      </c>
      <c r="AC1253" s="3" t="s">
        <v>49</v>
      </c>
    </row>
    <row r="1254" spans="1:29" ht="14">
      <c r="A1254" s="3">
        <v>1253</v>
      </c>
      <c r="B1254" s="26"/>
      <c r="C1254" s="5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 t="s">
        <v>38</v>
      </c>
      <c r="N1254" s="28">
        <v>56</v>
      </c>
      <c r="O1254" s="28">
        <v>8</v>
      </c>
      <c r="P1254" s="28">
        <v>10</v>
      </c>
      <c r="Q1254" s="28">
        <v>0</v>
      </c>
      <c r="R1254" s="28">
        <v>0</v>
      </c>
      <c r="S1254" s="28">
        <v>0</v>
      </c>
      <c r="Y1254" s="26"/>
      <c r="Z1254" s="23"/>
      <c r="AA1254" s="3" t="str">
        <f t="shared" si="9"/>
        <v>___</v>
      </c>
      <c r="AB1254" s="3" t="str">
        <f t="shared" si="8"/>
        <v>____</v>
      </c>
    </row>
    <row r="1255" spans="1:29" ht="14">
      <c r="A1255" s="3">
        <v>1254</v>
      </c>
      <c r="B1255" s="29"/>
      <c r="C1255" s="30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 t="s">
        <v>39</v>
      </c>
      <c r="N1255" s="31">
        <v>40.200000000000003</v>
      </c>
      <c r="O1255" s="31">
        <v>0</v>
      </c>
      <c r="P1255" s="31">
        <v>6</v>
      </c>
      <c r="Q1255" s="31">
        <v>0</v>
      </c>
      <c r="R1255" s="31">
        <v>0</v>
      </c>
      <c r="S1255" s="31">
        <v>0</v>
      </c>
      <c r="Y1255" s="29"/>
      <c r="Z1255" s="23"/>
      <c r="AA1255" s="3" t="str">
        <f t="shared" si="9"/>
        <v>___</v>
      </c>
      <c r="AB1255" s="3" t="str">
        <f t="shared" si="8"/>
        <v>____</v>
      </c>
    </row>
    <row r="1256" spans="1:29" ht="14">
      <c r="A1256" s="3">
        <v>1255</v>
      </c>
      <c r="B1256" s="28" t="s">
        <v>169</v>
      </c>
      <c r="C1256" s="5" t="s">
        <v>170</v>
      </c>
      <c r="D1256" s="28">
        <v>22</v>
      </c>
      <c r="E1256" s="26" t="s">
        <v>163</v>
      </c>
      <c r="F1256" s="26" t="s">
        <v>34</v>
      </c>
      <c r="G1256" s="26" t="s">
        <v>174</v>
      </c>
      <c r="H1256" s="26" t="s">
        <v>35</v>
      </c>
      <c r="I1256" s="28">
        <v>2</v>
      </c>
      <c r="J1256" s="28">
        <v>6.5</v>
      </c>
      <c r="K1256" s="28">
        <v>7.4</v>
      </c>
      <c r="L1256" s="28">
        <v>3</v>
      </c>
      <c r="M1256" s="26" t="s">
        <v>36</v>
      </c>
      <c r="N1256" s="28">
        <v>19.8</v>
      </c>
      <c r="O1256" s="28">
        <v>7</v>
      </c>
      <c r="P1256" s="28">
        <v>7</v>
      </c>
      <c r="Q1256" s="28">
        <v>0</v>
      </c>
      <c r="R1256" s="28">
        <v>0</v>
      </c>
      <c r="S1256" s="28">
        <v>0</v>
      </c>
      <c r="Y1256" s="26"/>
      <c r="Z1256" s="23"/>
      <c r="AA1256" s="3" t="str">
        <f t="shared" si="9"/>
        <v>ANO_178_22_T34-C2_vv</v>
      </c>
      <c r="AB1256" s="3" t="str">
        <f t="shared" si="8"/>
        <v>ANO_178_22_T34-C2_vv_2</v>
      </c>
      <c r="AC1256" s="3" t="s">
        <v>49</v>
      </c>
    </row>
    <row r="1257" spans="1:29" ht="14">
      <c r="A1257" s="3">
        <v>1256</v>
      </c>
      <c r="B1257" s="26"/>
      <c r="C1257" s="5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 t="s">
        <v>38</v>
      </c>
      <c r="N1257" s="28">
        <v>32.299999999999997</v>
      </c>
      <c r="O1257" s="28">
        <v>8</v>
      </c>
      <c r="P1257" s="28">
        <v>8</v>
      </c>
      <c r="Q1257" s="28">
        <v>0</v>
      </c>
      <c r="R1257" s="28">
        <v>0</v>
      </c>
      <c r="S1257" s="28">
        <v>0</v>
      </c>
      <c r="Y1257" s="26"/>
      <c r="Z1257" s="23"/>
      <c r="AA1257" s="3" t="str">
        <f t="shared" si="9"/>
        <v>___</v>
      </c>
      <c r="AB1257" s="3" t="str">
        <f t="shared" si="8"/>
        <v>____</v>
      </c>
    </row>
    <row r="1258" spans="1:29" ht="14">
      <c r="A1258" s="3">
        <v>1257</v>
      </c>
      <c r="B1258" s="29"/>
      <c r="C1258" s="30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 t="s">
        <v>39</v>
      </c>
      <c r="N1258" s="31">
        <v>24.9</v>
      </c>
      <c r="O1258" s="31">
        <v>0</v>
      </c>
      <c r="P1258" s="31">
        <v>5</v>
      </c>
      <c r="Q1258" s="31">
        <v>0</v>
      </c>
      <c r="R1258" s="31">
        <v>0</v>
      </c>
      <c r="S1258" s="31">
        <v>0</v>
      </c>
      <c r="Y1258" s="29"/>
      <c r="Z1258" s="23"/>
      <c r="AA1258" s="3" t="str">
        <f t="shared" si="9"/>
        <v>___</v>
      </c>
      <c r="AB1258" s="3" t="str">
        <f t="shared" si="8"/>
        <v>____</v>
      </c>
    </row>
    <row r="1259" spans="1:29" ht="14">
      <c r="A1259" s="3">
        <v>1258</v>
      </c>
      <c r="B1259" s="28" t="s">
        <v>169</v>
      </c>
      <c r="C1259" s="5" t="s">
        <v>170</v>
      </c>
      <c r="D1259" s="28">
        <v>22</v>
      </c>
      <c r="E1259" s="26" t="s">
        <v>163</v>
      </c>
      <c r="F1259" s="26" t="s">
        <v>34</v>
      </c>
      <c r="G1259" s="26" t="s">
        <v>174</v>
      </c>
      <c r="H1259" s="26" t="s">
        <v>35</v>
      </c>
      <c r="I1259" s="28">
        <v>3</v>
      </c>
      <c r="J1259" s="28">
        <v>6.3</v>
      </c>
      <c r="K1259" s="28">
        <v>6.5</v>
      </c>
      <c r="L1259" s="28">
        <v>3</v>
      </c>
      <c r="M1259" s="26" t="s">
        <v>36</v>
      </c>
      <c r="N1259" s="28">
        <v>25.2</v>
      </c>
      <c r="O1259" s="28">
        <v>12</v>
      </c>
      <c r="P1259" s="28">
        <v>12</v>
      </c>
      <c r="Q1259" s="28">
        <v>0</v>
      </c>
      <c r="R1259" s="28">
        <v>0</v>
      </c>
      <c r="S1259" s="28">
        <v>0</v>
      </c>
      <c r="Y1259" s="26"/>
      <c r="Z1259" s="23"/>
      <c r="AA1259" s="3" t="str">
        <f t="shared" si="9"/>
        <v>ANO_178_22_T34-C2_vv</v>
      </c>
      <c r="AB1259" s="3" t="str">
        <f t="shared" si="8"/>
        <v>ANO_178_22_T34-C2_vv_3</v>
      </c>
      <c r="AC1259" s="3" t="s">
        <v>49</v>
      </c>
    </row>
    <row r="1260" spans="1:29" ht="14">
      <c r="A1260" s="3">
        <v>1259</v>
      </c>
      <c r="B1260" s="28"/>
      <c r="C1260" s="5"/>
      <c r="D1260" s="28"/>
      <c r="E1260" s="26"/>
      <c r="F1260" s="26"/>
      <c r="G1260" s="26"/>
      <c r="H1260" s="26"/>
      <c r="I1260" s="28"/>
      <c r="J1260" s="28"/>
      <c r="K1260" s="28"/>
      <c r="L1260" s="28"/>
      <c r="M1260" s="26" t="s">
        <v>38</v>
      </c>
      <c r="N1260" s="28">
        <v>35.1</v>
      </c>
      <c r="O1260" s="28">
        <v>2</v>
      </c>
      <c r="P1260" s="28">
        <v>8</v>
      </c>
      <c r="Q1260" s="28">
        <v>0</v>
      </c>
      <c r="R1260" s="28">
        <v>0</v>
      </c>
      <c r="S1260" s="28">
        <v>0</v>
      </c>
      <c r="Y1260" s="26"/>
      <c r="Z1260" s="23"/>
      <c r="AA1260" s="3" t="str">
        <f t="shared" si="9"/>
        <v>___</v>
      </c>
      <c r="AB1260" s="3" t="str">
        <f t="shared" si="8"/>
        <v>____</v>
      </c>
    </row>
    <row r="1261" spans="1:29" ht="14">
      <c r="A1261" s="3">
        <v>1260</v>
      </c>
      <c r="B1261" s="29"/>
      <c r="C1261" s="30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 t="s">
        <v>39</v>
      </c>
      <c r="N1261" s="31">
        <v>5.2</v>
      </c>
      <c r="O1261" s="31">
        <v>0</v>
      </c>
      <c r="P1261" s="31">
        <v>2</v>
      </c>
      <c r="Q1261" s="31">
        <v>0</v>
      </c>
      <c r="R1261" s="31">
        <v>0</v>
      </c>
      <c r="S1261" s="31">
        <v>0</v>
      </c>
      <c r="Y1261" s="29"/>
      <c r="Z1261" s="23"/>
      <c r="AA1261" s="3" t="str">
        <f t="shared" si="9"/>
        <v>___</v>
      </c>
      <c r="AB1261" s="3" t="str">
        <f t="shared" si="8"/>
        <v>____</v>
      </c>
    </row>
    <row r="1262" spans="1:29" ht="14">
      <c r="A1262" s="3">
        <v>1261</v>
      </c>
      <c r="B1262" s="28" t="s">
        <v>169</v>
      </c>
      <c r="C1262" s="5" t="s">
        <v>170</v>
      </c>
      <c r="D1262" s="28">
        <v>26</v>
      </c>
      <c r="E1262" s="26" t="s">
        <v>163</v>
      </c>
      <c r="F1262" s="26" t="s">
        <v>34</v>
      </c>
      <c r="G1262" s="26" t="s">
        <v>176</v>
      </c>
      <c r="H1262" s="26" t="s">
        <v>35</v>
      </c>
      <c r="I1262" s="28">
        <v>1</v>
      </c>
      <c r="J1262" s="28">
        <v>6.9</v>
      </c>
      <c r="K1262" s="28">
        <v>7.1</v>
      </c>
      <c r="L1262" s="28">
        <v>3</v>
      </c>
      <c r="M1262" s="26" t="s">
        <v>36</v>
      </c>
      <c r="N1262" s="28">
        <v>25.1</v>
      </c>
      <c r="O1262" s="28">
        <v>11</v>
      </c>
      <c r="P1262" s="28">
        <v>12</v>
      </c>
      <c r="Q1262" s="28">
        <v>0</v>
      </c>
      <c r="R1262" s="28">
        <v>0</v>
      </c>
      <c r="S1262" s="28">
        <v>0</v>
      </c>
      <c r="Y1262" s="26"/>
      <c r="Z1262" s="23"/>
      <c r="AA1262" s="3" t="str">
        <f t="shared" si="9"/>
        <v>ANO_178_26_T13-C1_vv</v>
      </c>
      <c r="AB1262" s="3" t="str">
        <f t="shared" si="8"/>
        <v>ANO_178_26_T13-C1_vv_1</v>
      </c>
      <c r="AC1262" s="3" t="s">
        <v>49</v>
      </c>
    </row>
    <row r="1263" spans="1:29" ht="14">
      <c r="A1263" s="3">
        <v>1262</v>
      </c>
      <c r="B1263" s="28"/>
      <c r="C1263" s="5"/>
      <c r="D1263" s="28"/>
      <c r="E1263" s="26"/>
      <c r="F1263" s="26"/>
      <c r="G1263" s="26"/>
      <c r="H1263" s="26"/>
      <c r="I1263" s="28"/>
      <c r="J1263" s="28"/>
      <c r="K1263" s="28"/>
      <c r="L1263" s="28"/>
      <c r="M1263" s="26" t="s">
        <v>38</v>
      </c>
      <c r="N1263" s="28">
        <v>19.8</v>
      </c>
      <c r="O1263" s="28">
        <v>7</v>
      </c>
      <c r="P1263" s="28">
        <v>7</v>
      </c>
      <c r="Q1263" s="28">
        <v>0</v>
      </c>
      <c r="R1263" s="28">
        <v>0</v>
      </c>
      <c r="S1263" s="28">
        <v>0</v>
      </c>
      <c r="Y1263" s="26"/>
      <c r="Z1263" s="23"/>
      <c r="AA1263" s="3" t="str">
        <f t="shared" si="9"/>
        <v>___</v>
      </c>
      <c r="AB1263" s="3" t="str">
        <f t="shared" si="8"/>
        <v>____</v>
      </c>
    </row>
    <row r="1264" spans="1:29" ht="14">
      <c r="A1264" s="3">
        <v>1263</v>
      </c>
      <c r="B1264" s="29"/>
      <c r="C1264" s="30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 t="s">
        <v>39</v>
      </c>
      <c r="N1264" s="31">
        <v>9.9</v>
      </c>
      <c r="O1264" s="31">
        <v>0</v>
      </c>
      <c r="P1264" s="31">
        <v>2</v>
      </c>
      <c r="Q1264" s="31">
        <v>0</v>
      </c>
      <c r="R1264" s="31">
        <v>0</v>
      </c>
      <c r="S1264" s="31">
        <v>0</v>
      </c>
      <c r="Y1264" s="29"/>
      <c r="Z1264" s="23"/>
      <c r="AA1264" s="3" t="str">
        <f t="shared" si="9"/>
        <v>___</v>
      </c>
      <c r="AB1264" s="3" t="str">
        <f t="shared" si="8"/>
        <v>____</v>
      </c>
    </row>
    <row r="1265" spans="1:29" ht="14">
      <c r="A1265" s="3">
        <v>1264</v>
      </c>
      <c r="B1265" s="28" t="s">
        <v>169</v>
      </c>
      <c r="C1265" s="5" t="s">
        <v>170</v>
      </c>
      <c r="D1265" s="28">
        <v>26</v>
      </c>
      <c r="E1265" s="26" t="s">
        <v>163</v>
      </c>
      <c r="F1265" s="26" t="s">
        <v>34</v>
      </c>
      <c r="G1265" s="26" t="s">
        <v>176</v>
      </c>
      <c r="H1265" s="26" t="s">
        <v>35</v>
      </c>
      <c r="I1265" s="28">
        <v>2</v>
      </c>
      <c r="J1265" s="28">
        <v>18.600000000000001</v>
      </c>
      <c r="K1265" s="28">
        <v>18.600000000000001</v>
      </c>
      <c r="L1265" s="28">
        <v>6</v>
      </c>
      <c r="M1265" s="26" t="s">
        <v>36</v>
      </c>
      <c r="N1265" s="28">
        <v>26.3</v>
      </c>
      <c r="O1265" s="28">
        <v>13</v>
      </c>
      <c r="P1265" s="28">
        <v>14</v>
      </c>
      <c r="Q1265" s="28">
        <v>0</v>
      </c>
      <c r="R1265" s="28">
        <v>0</v>
      </c>
      <c r="S1265" s="28">
        <v>0</v>
      </c>
      <c r="Y1265" s="26"/>
      <c r="Z1265" s="23"/>
      <c r="AA1265" s="3" t="str">
        <f t="shared" si="9"/>
        <v>ANO_178_26_T13-C1_vv</v>
      </c>
      <c r="AB1265" s="3" t="str">
        <f t="shared" si="8"/>
        <v>ANO_178_26_T13-C1_vv_2</v>
      </c>
      <c r="AC1265" s="3" t="s">
        <v>177</v>
      </c>
    </row>
    <row r="1266" spans="1:29" ht="14">
      <c r="A1266" s="3">
        <v>1265</v>
      </c>
      <c r="B1266" s="28"/>
      <c r="C1266" s="5"/>
      <c r="D1266" s="28"/>
      <c r="E1266" s="26"/>
      <c r="F1266" s="26"/>
      <c r="G1266" s="26"/>
      <c r="H1266" s="26"/>
      <c r="I1266" s="28"/>
      <c r="J1266" s="28"/>
      <c r="K1266" s="28"/>
      <c r="L1266" s="28"/>
      <c r="M1266" s="26" t="s">
        <v>38</v>
      </c>
      <c r="N1266" s="28">
        <v>26.1</v>
      </c>
      <c r="O1266" s="28">
        <v>11</v>
      </c>
      <c r="P1266" s="28">
        <v>12</v>
      </c>
      <c r="Q1266" s="28">
        <v>0</v>
      </c>
      <c r="R1266" s="28">
        <v>0</v>
      </c>
      <c r="S1266" s="28">
        <v>0</v>
      </c>
      <c r="Y1266" s="26"/>
      <c r="Z1266" s="23"/>
      <c r="AA1266" s="3" t="str">
        <f t="shared" si="9"/>
        <v>___</v>
      </c>
      <c r="AB1266" s="3" t="str">
        <f t="shared" si="8"/>
        <v>____</v>
      </c>
    </row>
    <row r="1267" spans="1:29" ht="14">
      <c r="A1267" s="3">
        <v>1266</v>
      </c>
      <c r="B1267" s="29"/>
      <c r="C1267" s="30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 t="s">
        <v>39</v>
      </c>
      <c r="N1267" s="31">
        <v>40.200000000000003</v>
      </c>
      <c r="O1267" s="31">
        <v>2</v>
      </c>
      <c r="P1267" s="31">
        <v>12</v>
      </c>
      <c r="Q1267" s="31">
        <v>0</v>
      </c>
      <c r="R1267" s="31">
        <v>0</v>
      </c>
      <c r="S1267" s="31">
        <v>0</v>
      </c>
      <c r="Y1267" s="29"/>
      <c r="Z1267" s="23"/>
      <c r="AA1267" s="3" t="str">
        <f t="shared" si="9"/>
        <v>___</v>
      </c>
      <c r="AB1267" s="3" t="str">
        <f t="shared" si="8"/>
        <v>____</v>
      </c>
    </row>
    <row r="1268" spans="1:29" ht="14">
      <c r="A1268" s="3">
        <v>1267</v>
      </c>
      <c r="B1268" s="28" t="s">
        <v>169</v>
      </c>
      <c r="C1268" s="5" t="s">
        <v>170</v>
      </c>
      <c r="D1268" s="28">
        <v>26</v>
      </c>
      <c r="E1268" s="26" t="s">
        <v>163</v>
      </c>
      <c r="F1268" s="26" t="s">
        <v>34</v>
      </c>
      <c r="G1268" s="26" t="s">
        <v>176</v>
      </c>
      <c r="H1268" s="26" t="s">
        <v>35</v>
      </c>
      <c r="I1268" s="28">
        <v>3</v>
      </c>
      <c r="J1268" s="28">
        <v>5.9</v>
      </c>
      <c r="K1268" s="28">
        <v>6.5</v>
      </c>
      <c r="L1268" s="28">
        <v>3</v>
      </c>
      <c r="M1268" s="26" t="s">
        <v>36</v>
      </c>
      <c r="N1268" s="28">
        <v>24.2</v>
      </c>
      <c r="O1268" s="28">
        <v>11</v>
      </c>
      <c r="P1268" s="28">
        <v>12</v>
      </c>
      <c r="Q1268" s="28">
        <v>0</v>
      </c>
      <c r="R1268" s="28">
        <v>0</v>
      </c>
      <c r="S1268" s="28">
        <v>0</v>
      </c>
      <c r="Y1268" s="26"/>
      <c r="Z1268" s="23"/>
      <c r="AA1268" s="3" t="str">
        <f t="shared" si="9"/>
        <v>ANO_178_26_T13-C1_vv</v>
      </c>
      <c r="AB1268" s="3" t="str">
        <f t="shared" si="8"/>
        <v>ANO_178_26_T13-C1_vv_3</v>
      </c>
      <c r="AC1268" s="3" t="s">
        <v>49</v>
      </c>
    </row>
    <row r="1269" spans="1:29" ht="14">
      <c r="A1269" s="3">
        <v>1268</v>
      </c>
      <c r="B1269" s="26"/>
      <c r="C1269" s="5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 t="s">
        <v>38</v>
      </c>
      <c r="N1269" s="28">
        <v>20</v>
      </c>
      <c r="O1269" s="28">
        <v>6</v>
      </c>
      <c r="P1269" s="28">
        <v>8</v>
      </c>
      <c r="Q1269" s="28">
        <v>0</v>
      </c>
      <c r="R1269" s="28">
        <v>0</v>
      </c>
      <c r="S1269" s="28">
        <v>0</v>
      </c>
      <c r="Y1269" s="26"/>
      <c r="Z1269" s="23"/>
      <c r="AA1269" s="3" t="str">
        <f t="shared" si="9"/>
        <v>___</v>
      </c>
      <c r="AB1269" s="3" t="str">
        <f t="shared" si="8"/>
        <v>____</v>
      </c>
    </row>
    <row r="1270" spans="1:29" ht="14">
      <c r="A1270" s="3">
        <v>1269</v>
      </c>
      <c r="B1270" s="29"/>
      <c r="C1270" s="30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 t="s">
        <v>39</v>
      </c>
      <c r="N1270" s="31">
        <v>19.8</v>
      </c>
      <c r="O1270" s="31">
        <v>0</v>
      </c>
      <c r="P1270" s="31">
        <v>3</v>
      </c>
      <c r="Q1270" s="31">
        <v>0</v>
      </c>
      <c r="R1270" s="31">
        <v>0</v>
      </c>
      <c r="S1270" s="31">
        <v>0</v>
      </c>
      <c r="Y1270" s="29"/>
      <c r="Z1270" s="23"/>
      <c r="AA1270" s="3" t="str">
        <f t="shared" si="9"/>
        <v>___</v>
      </c>
      <c r="AB1270" s="3" t="str">
        <f t="shared" si="8"/>
        <v>____</v>
      </c>
    </row>
    <row r="1271" spans="1:29" ht="14">
      <c r="A1271" s="3">
        <v>1270</v>
      </c>
      <c r="B1271" s="28" t="s">
        <v>169</v>
      </c>
      <c r="C1271" s="5" t="s">
        <v>170</v>
      </c>
      <c r="D1271" s="28">
        <v>13</v>
      </c>
      <c r="E1271" s="26" t="s">
        <v>163</v>
      </c>
      <c r="F1271" s="26" t="s">
        <v>34</v>
      </c>
      <c r="G1271" s="26" t="s">
        <v>171</v>
      </c>
      <c r="H1271" s="26" t="s">
        <v>35</v>
      </c>
      <c r="I1271" s="28">
        <v>1</v>
      </c>
      <c r="J1271" s="28">
        <v>12</v>
      </c>
      <c r="K1271" s="28">
        <v>12.5</v>
      </c>
      <c r="L1271" s="28">
        <v>4</v>
      </c>
      <c r="M1271" s="26" t="s">
        <v>36</v>
      </c>
      <c r="N1271" s="28">
        <v>35.200000000000003</v>
      </c>
      <c r="O1271" s="28">
        <v>17</v>
      </c>
      <c r="P1271" s="28">
        <v>17</v>
      </c>
      <c r="Q1271" s="28">
        <v>0</v>
      </c>
      <c r="R1271" s="28">
        <v>0</v>
      </c>
      <c r="S1271" s="28">
        <v>0</v>
      </c>
      <c r="Y1271" s="26"/>
      <c r="Z1271" s="23"/>
      <c r="AA1271" s="3" t="str">
        <f t="shared" si="9"/>
        <v>ANO_178_13_V1-C7_vv</v>
      </c>
      <c r="AB1271" s="3" t="str">
        <f t="shared" si="8"/>
        <v>ANO_178_13_V1-C7_vv_1</v>
      </c>
    </row>
    <row r="1272" spans="1:29" ht="14">
      <c r="A1272" s="3">
        <v>1271</v>
      </c>
      <c r="B1272" s="26"/>
      <c r="C1272" s="5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 t="s">
        <v>38</v>
      </c>
      <c r="N1272" s="28">
        <v>34.9</v>
      </c>
      <c r="O1272" s="28">
        <v>10</v>
      </c>
      <c r="P1272" s="28">
        <v>12</v>
      </c>
      <c r="Q1272" s="28">
        <v>0</v>
      </c>
      <c r="R1272" s="28">
        <v>0</v>
      </c>
      <c r="S1272" s="28">
        <v>0</v>
      </c>
      <c r="Y1272" s="26"/>
      <c r="Z1272" s="23"/>
      <c r="AA1272" s="3" t="str">
        <f t="shared" si="9"/>
        <v>___</v>
      </c>
      <c r="AB1272" s="3" t="str">
        <f t="shared" si="8"/>
        <v>____</v>
      </c>
    </row>
    <row r="1273" spans="1:29" ht="14">
      <c r="A1273" s="3">
        <v>1272</v>
      </c>
      <c r="B1273" s="29"/>
      <c r="C1273" s="30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 t="s">
        <v>39</v>
      </c>
      <c r="N1273" s="31">
        <v>15.3</v>
      </c>
      <c r="O1273" s="31">
        <v>5</v>
      </c>
      <c r="P1273" s="31">
        <v>7</v>
      </c>
      <c r="Q1273" s="31">
        <v>0</v>
      </c>
      <c r="R1273" s="31">
        <v>0</v>
      </c>
      <c r="S1273" s="31">
        <v>0</v>
      </c>
      <c r="Y1273" s="29"/>
      <c r="Z1273" s="23"/>
      <c r="AA1273" s="3" t="str">
        <f t="shared" si="9"/>
        <v>___</v>
      </c>
      <c r="AB1273" s="3" t="str">
        <f t="shared" si="8"/>
        <v>____</v>
      </c>
    </row>
    <row r="1274" spans="1:29" ht="14">
      <c r="A1274" s="3">
        <v>1273</v>
      </c>
      <c r="B1274" s="28" t="s">
        <v>169</v>
      </c>
      <c r="C1274" s="5" t="s">
        <v>170</v>
      </c>
      <c r="D1274" s="28">
        <v>13</v>
      </c>
      <c r="E1274" s="26" t="s">
        <v>163</v>
      </c>
      <c r="F1274" s="26" t="s">
        <v>34</v>
      </c>
      <c r="G1274" s="26" t="s">
        <v>171</v>
      </c>
      <c r="H1274" s="26" t="s">
        <v>35</v>
      </c>
      <c r="I1274" s="28">
        <v>2</v>
      </c>
      <c r="J1274" s="28">
        <v>15</v>
      </c>
      <c r="K1274" s="28">
        <v>15.5</v>
      </c>
      <c r="L1274" s="28">
        <v>4</v>
      </c>
      <c r="M1274" s="26" t="s">
        <v>36</v>
      </c>
      <c r="N1274" s="28">
        <v>19.600000000000001</v>
      </c>
      <c r="O1274" s="28">
        <v>9</v>
      </c>
      <c r="P1274" s="28">
        <v>10</v>
      </c>
      <c r="Q1274" s="28">
        <v>0</v>
      </c>
      <c r="R1274" s="28">
        <v>0</v>
      </c>
      <c r="S1274" s="28">
        <v>0</v>
      </c>
      <c r="Y1274" s="26"/>
      <c r="Z1274" s="23"/>
      <c r="AA1274" s="3" t="str">
        <f t="shared" si="9"/>
        <v>ANO_178_13_V1-C7_vv</v>
      </c>
      <c r="AB1274" s="3" t="str">
        <f t="shared" si="8"/>
        <v>ANO_178_13_V1-C7_vv_2</v>
      </c>
    </row>
    <row r="1275" spans="1:29" ht="14">
      <c r="A1275" s="3">
        <v>1274</v>
      </c>
      <c r="B1275" s="28"/>
      <c r="C1275" s="5"/>
      <c r="D1275" s="28"/>
      <c r="E1275" s="26"/>
      <c r="F1275" s="26"/>
      <c r="G1275" s="26"/>
      <c r="H1275" s="26"/>
      <c r="I1275" s="28"/>
      <c r="J1275" s="28"/>
      <c r="K1275" s="28"/>
      <c r="L1275" s="28"/>
      <c r="M1275" s="26" t="s">
        <v>38</v>
      </c>
      <c r="N1275" s="28">
        <v>30</v>
      </c>
      <c r="O1275" s="28">
        <v>7</v>
      </c>
      <c r="P1275" s="28">
        <v>9</v>
      </c>
      <c r="Q1275" s="28">
        <v>0</v>
      </c>
      <c r="R1275" s="28">
        <v>0</v>
      </c>
      <c r="S1275" s="28">
        <v>0</v>
      </c>
      <c r="Y1275" s="26"/>
      <c r="Z1275" s="23"/>
      <c r="AA1275" s="3" t="str">
        <f t="shared" si="9"/>
        <v>___</v>
      </c>
      <c r="AB1275" s="3" t="str">
        <f t="shared" si="8"/>
        <v>____</v>
      </c>
    </row>
    <row r="1276" spans="1:29" ht="14">
      <c r="A1276" s="3">
        <v>1275</v>
      </c>
      <c r="B1276" s="29"/>
      <c r="C1276" s="30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 t="s">
        <v>39</v>
      </c>
      <c r="N1276" s="31">
        <v>23.4</v>
      </c>
      <c r="O1276" s="31">
        <v>3</v>
      </c>
      <c r="P1276" s="31">
        <v>9</v>
      </c>
      <c r="Q1276" s="31">
        <v>0</v>
      </c>
      <c r="R1276" s="31">
        <v>0</v>
      </c>
      <c r="S1276" s="31">
        <v>0</v>
      </c>
      <c r="Y1276" s="29"/>
      <c r="Z1276" s="23"/>
      <c r="AA1276" s="3" t="str">
        <f t="shared" si="9"/>
        <v>___</v>
      </c>
      <c r="AB1276" s="3" t="str">
        <f t="shared" si="8"/>
        <v>____</v>
      </c>
    </row>
    <row r="1277" spans="1:29" ht="14">
      <c r="A1277" s="3">
        <v>1276</v>
      </c>
      <c r="B1277" s="28" t="s">
        <v>169</v>
      </c>
      <c r="C1277" s="5" t="s">
        <v>170</v>
      </c>
      <c r="D1277" s="28">
        <v>13</v>
      </c>
      <c r="E1277" s="26" t="s">
        <v>163</v>
      </c>
      <c r="F1277" s="26" t="s">
        <v>34</v>
      </c>
      <c r="G1277" s="26" t="s">
        <v>171</v>
      </c>
      <c r="H1277" s="26" t="s">
        <v>35</v>
      </c>
      <c r="I1277" s="28">
        <v>3</v>
      </c>
      <c r="J1277" s="28">
        <v>9.3000000000000007</v>
      </c>
      <c r="K1277" s="28">
        <v>10.4</v>
      </c>
      <c r="L1277" s="28">
        <v>4</v>
      </c>
      <c r="M1277" s="26" t="s">
        <v>36</v>
      </c>
      <c r="N1277" s="28">
        <v>23.7</v>
      </c>
      <c r="O1277" s="28">
        <v>12</v>
      </c>
      <c r="P1277" s="28">
        <v>12</v>
      </c>
      <c r="Q1277" s="28">
        <v>0</v>
      </c>
      <c r="R1277" s="28">
        <v>0</v>
      </c>
      <c r="S1277" s="28">
        <v>0</v>
      </c>
      <c r="Y1277" s="26"/>
      <c r="Z1277" s="23"/>
      <c r="AA1277" s="3" t="str">
        <f t="shared" si="9"/>
        <v>ANO_178_13_V1-C7_vv</v>
      </c>
      <c r="AB1277" s="3" t="str">
        <f t="shared" ref="AB1277:AB1531" si="10">CONCATENATE(C1277,"_",D1277,"_",G1277,"_",H1277,"_",I1277)</f>
        <v>ANO_178_13_V1-C7_vv_3</v>
      </c>
    </row>
    <row r="1278" spans="1:29" ht="14">
      <c r="A1278" s="3">
        <v>1277</v>
      </c>
      <c r="B1278" s="28"/>
      <c r="C1278" s="5"/>
      <c r="D1278" s="28"/>
      <c r="E1278" s="26"/>
      <c r="F1278" s="26"/>
      <c r="G1278" s="26"/>
      <c r="H1278" s="26"/>
      <c r="I1278" s="28"/>
      <c r="J1278" s="28"/>
      <c r="K1278" s="28"/>
      <c r="L1278" s="28"/>
      <c r="M1278" s="26" t="s">
        <v>38</v>
      </c>
      <c r="N1278" s="28">
        <v>38.6</v>
      </c>
      <c r="O1278" s="28">
        <v>11</v>
      </c>
      <c r="P1278" s="28">
        <v>14</v>
      </c>
      <c r="Q1278" s="28">
        <v>0</v>
      </c>
      <c r="R1278" s="28">
        <v>0</v>
      </c>
      <c r="S1278" s="28">
        <v>0</v>
      </c>
      <c r="Y1278" s="26"/>
      <c r="Z1278" s="23"/>
      <c r="AA1278" s="3" t="str">
        <f t="shared" ref="AA1278:AA1532" si="11">CONCATENATE(C1278, "_",D1278,"_",G1278,"_",H1278)</f>
        <v>___</v>
      </c>
      <c r="AB1278" s="3" t="str">
        <f t="shared" si="10"/>
        <v>____</v>
      </c>
    </row>
    <row r="1279" spans="1:29" ht="14">
      <c r="A1279" s="3">
        <v>1278</v>
      </c>
      <c r="B1279" s="29"/>
      <c r="C1279" s="30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 t="s">
        <v>39</v>
      </c>
      <c r="N1279" s="31">
        <v>19.8</v>
      </c>
      <c r="O1279" s="31">
        <v>0</v>
      </c>
      <c r="P1279" s="31">
        <v>3</v>
      </c>
      <c r="Q1279" s="31">
        <v>1</v>
      </c>
      <c r="R1279" s="31">
        <v>1</v>
      </c>
      <c r="S1279" s="31">
        <v>0</v>
      </c>
      <c r="Y1279" s="29"/>
      <c r="Z1279" s="23"/>
      <c r="AA1279" s="3" t="str">
        <f t="shared" si="11"/>
        <v>___</v>
      </c>
      <c r="AB1279" s="3" t="str">
        <f t="shared" si="10"/>
        <v>____</v>
      </c>
    </row>
    <row r="1280" spans="1:29" ht="14">
      <c r="A1280" s="3">
        <v>1279</v>
      </c>
      <c r="B1280" s="28" t="s">
        <v>178</v>
      </c>
      <c r="C1280" s="5" t="s">
        <v>179</v>
      </c>
      <c r="D1280" s="28">
        <v>31</v>
      </c>
      <c r="E1280" s="26" t="s">
        <v>163</v>
      </c>
      <c r="F1280" s="26" t="s">
        <v>180</v>
      </c>
      <c r="G1280" s="26" t="s">
        <v>181</v>
      </c>
      <c r="H1280" s="26" t="s">
        <v>35</v>
      </c>
      <c r="I1280" s="28">
        <v>1</v>
      </c>
      <c r="J1280" s="28">
        <v>9.5</v>
      </c>
      <c r="K1280" s="28">
        <v>9.5</v>
      </c>
      <c r="L1280" s="28">
        <v>4</v>
      </c>
      <c r="M1280" s="26" t="s">
        <v>36</v>
      </c>
      <c r="N1280" s="28">
        <v>32.1</v>
      </c>
      <c r="O1280" s="28">
        <v>11</v>
      </c>
      <c r="P1280" s="28">
        <v>11</v>
      </c>
      <c r="Q1280" s="28">
        <v>0</v>
      </c>
      <c r="R1280" s="28">
        <v>0</v>
      </c>
      <c r="S1280" s="28">
        <v>0</v>
      </c>
      <c r="Y1280" s="26"/>
      <c r="Z1280" s="23"/>
      <c r="AA1280" s="3" t="str">
        <f t="shared" si="11"/>
        <v>ANO_818_31_T4-C2_vv</v>
      </c>
      <c r="AB1280" s="3" t="str">
        <f t="shared" si="10"/>
        <v>ANO_818_31_T4-C2_vv_1</v>
      </c>
    </row>
    <row r="1281" spans="1:28" ht="14">
      <c r="A1281" s="3">
        <v>1280</v>
      </c>
      <c r="B1281" s="28"/>
      <c r="C1281" s="5"/>
      <c r="D1281" s="28"/>
      <c r="E1281" s="26"/>
      <c r="F1281" s="26"/>
      <c r="G1281" s="26"/>
      <c r="H1281" s="26"/>
      <c r="I1281" s="28"/>
      <c r="J1281" s="28"/>
      <c r="K1281" s="28"/>
      <c r="L1281" s="28"/>
      <c r="M1281" s="26" t="s">
        <v>38</v>
      </c>
      <c r="N1281" s="28">
        <v>22.2</v>
      </c>
      <c r="O1281" s="28">
        <v>5</v>
      </c>
      <c r="P1281" s="28">
        <v>6</v>
      </c>
      <c r="Q1281" s="28">
        <v>0</v>
      </c>
      <c r="R1281" s="28">
        <v>0</v>
      </c>
      <c r="S1281" s="28">
        <v>0</v>
      </c>
      <c r="Y1281" s="26"/>
      <c r="Z1281" s="23"/>
      <c r="AA1281" s="3" t="str">
        <f t="shared" si="11"/>
        <v>___</v>
      </c>
      <c r="AB1281" s="3" t="str">
        <f t="shared" si="10"/>
        <v>____</v>
      </c>
    </row>
    <row r="1282" spans="1:28" ht="14">
      <c r="A1282" s="3">
        <v>1281</v>
      </c>
      <c r="B1282" s="29"/>
      <c r="C1282" s="30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 t="s">
        <v>39</v>
      </c>
      <c r="N1282" s="31">
        <v>30</v>
      </c>
      <c r="O1282" s="31">
        <v>2</v>
      </c>
      <c r="P1282" s="31">
        <v>3</v>
      </c>
      <c r="Q1282" s="31">
        <v>0</v>
      </c>
      <c r="R1282" s="31">
        <v>0</v>
      </c>
      <c r="S1282" s="31">
        <v>0</v>
      </c>
      <c r="Y1282" s="29"/>
      <c r="Z1282" s="23"/>
      <c r="AA1282" s="3" t="str">
        <f t="shared" si="11"/>
        <v>___</v>
      </c>
      <c r="AB1282" s="3" t="str">
        <f t="shared" si="10"/>
        <v>____</v>
      </c>
    </row>
    <row r="1283" spans="1:28" ht="14">
      <c r="A1283" s="3">
        <v>1282</v>
      </c>
      <c r="B1283" s="28" t="s">
        <v>178</v>
      </c>
      <c r="C1283" s="5" t="s">
        <v>179</v>
      </c>
      <c r="D1283" s="28">
        <v>31</v>
      </c>
      <c r="E1283" s="26" t="s">
        <v>163</v>
      </c>
      <c r="F1283" s="26" t="s">
        <v>180</v>
      </c>
      <c r="G1283" s="26" t="s">
        <v>181</v>
      </c>
      <c r="H1283" s="26" t="s">
        <v>35</v>
      </c>
      <c r="I1283" s="28">
        <v>2</v>
      </c>
      <c r="J1283" s="28">
        <v>8.4</v>
      </c>
      <c r="K1283" s="28">
        <v>13.2</v>
      </c>
      <c r="L1283" s="28">
        <v>4</v>
      </c>
      <c r="M1283" s="26" t="s">
        <v>36</v>
      </c>
      <c r="N1283" s="28">
        <v>38.299999999999997</v>
      </c>
      <c r="O1283" s="28">
        <v>10</v>
      </c>
      <c r="P1283" s="28">
        <v>10</v>
      </c>
      <c r="Q1283" s="28">
        <v>0</v>
      </c>
      <c r="R1283" s="28">
        <v>0</v>
      </c>
      <c r="S1283" s="28">
        <v>0</v>
      </c>
      <c r="Y1283" s="26"/>
      <c r="Z1283" s="23"/>
      <c r="AA1283" s="3" t="str">
        <f t="shared" si="11"/>
        <v>ANO_818_31_T4-C2_vv</v>
      </c>
      <c r="AB1283" s="3" t="str">
        <f t="shared" si="10"/>
        <v>ANO_818_31_T4-C2_vv_2</v>
      </c>
    </row>
    <row r="1284" spans="1:28" ht="14">
      <c r="A1284" s="3">
        <v>1283</v>
      </c>
      <c r="B1284" s="26"/>
      <c r="C1284" s="5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 t="s">
        <v>38</v>
      </c>
      <c r="N1284" s="28">
        <v>55.6</v>
      </c>
      <c r="O1284" s="28">
        <v>12</v>
      </c>
      <c r="P1284" s="28">
        <v>13</v>
      </c>
      <c r="Q1284" s="28">
        <v>0</v>
      </c>
      <c r="R1284" s="28">
        <v>0</v>
      </c>
      <c r="S1284" s="28">
        <v>0</v>
      </c>
      <c r="Y1284" s="26"/>
      <c r="Z1284" s="23"/>
      <c r="AA1284" s="3" t="str">
        <f t="shared" si="11"/>
        <v>___</v>
      </c>
      <c r="AB1284" s="3" t="str">
        <f t="shared" si="10"/>
        <v>____</v>
      </c>
    </row>
    <row r="1285" spans="1:28" ht="14">
      <c r="A1285" s="3">
        <v>1284</v>
      </c>
      <c r="B1285" s="29"/>
      <c r="C1285" s="30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 t="s">
        <v>39</v>
      </c>
      <c r="N1285" s="31">
        <v>19.8</v>
      </c>
      <c r="O1285" s="31">
        <v>1</v>
      </c>
      <c r="P1285" s="31">
        <v>4</v>
      </c>
      <c r="Q1285" s="31">
        <v>0</v>
      </c>
      <c r="R1285" s="31">
        <v>0</v>
      </c>
      <c r="S1285" s="31">
        <v>0</v>
      </c>
      <c r="Y1285" s="29"/>
      <c r="Z1285" s="23"/>
      <c r="AA1285" s="3" t="str">
        <f t="shared" si="11"/>
        <v>___</v>
      </c>
      <c r="AB1285" s="3" t="str">
        <f t="shared" si="10"/>
        <v>____</v>
      </c>
    </row>
    <row r="1286" spans="1:28" ht="14">
      <c r="A1286" s="3">
        <v>1285</v>
      </c>
      <c r="B1286" s="28" t="s">
        <v>178</v>
      </c>
      <c r="C1286" s="5" t="s">
        <v>179</v>
      </c>
      <c r="D1286" s="28">
        <v>31</v>
      </c>
      <c r="E1286" s="26" t="s">
        <v>163</v>
      </c>
      <c r="F1286" s="26" t="s">
        <v>180</v>
      </c>
      <c r="G1286" s="26" t="s">
        <v>181</v>
      </c>
      <c r="H1286" s="26" t="s">
        <v>35</v>
      </c>
      <c r="I1286" s="28">
        <v>3</v>
      </c>
      <c r="J1286" s="28">
        <v>5</v>
      </c>
      <c r="K1286" s="28">
        <v>8.1</v>
      </c>
      <c r="L1286" s="28">
        <v>4</v>
      </c>
      <c r="M1286" s="26" t="s">
        <v>36</v>
      </c>
      <c r="N1286" s="28">
        <v>30.1</v>
      </c>
      <c r="O1286" s="28">
        <v>11</v>
      </c>
      <c r="P1286" s="28">
        <v>12</v>
      </c>
      <c r="Q1286" s="28">
        <v>0</v>
      </c>
      <c r="R1286" s="28">
        <v>0</v>
      </c>
      <c r="S1286" s="28">
        <v>0</v>
      </c>
      <c r="Y1286" s="26"/>
      <c r="Z1286" s="23"/>
      <c r="AA1286" s="3" t="str">
        <f t="shared" si="11"/>
        <v>ANO_818_31_T4-C2_vv</v>
      </c>
      <c r="AB1286" s="3" t="str">
        <f t="shared" si="10"/>
        <v>ANO_818_31_T4-C2_vv_3</v>
      </c>
    </row>
    <row r="1287" spans="1:28" ht="14">
      <c r="A1287" s="3">
        <v>1286</v>
      </c>
      <c r="B1287" s="26"/>
      <c r="C1287" s="5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 t="s">
        <v>38</v>
      </c>
      <c r="N1287" s="28">
        <v>21.2</v>
      </c>
      <c r="O1287" s="28">
        <v>6</v>
      </c>
      <c r="P1287" s="28">
        <v>6</v>
      </c>
      <c r="Q1287" s="28">
        <v>0</v>
      </c>
      <c r="R1287" s="28">
        <v>0</v>
      </c>
      <c r="S1287" s="28">
        <v>0</v>
      </c>
      <c r="Y1287" s="26"/>
      <c r="Z1287" s="23"/>
      <c r="AA1287" s="3" t="str">
        <f t="shared" si="11"/>
        <v>___</v>
      </c>
      <c r="AB1287" s="3" t="str">
        <f t="shared" si="10"/>
        <v>____</v>
      </c>
    </row>
    <row r="1288" spans="1:28" ht="14">
      <c r="A1288" s="3">
        <v>1287</v>
      </c>
      <c r="B1288" s="29"/>
      <c r="C1288" s="30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 t="s">
        <v>39</v>
      </c>
      <c r="N1288" s="31">
        <v>20.3</v>
      </c>
      <c r="O1288" s="31">
        <v>0</v>
      </c>
      <c r="P1288" s="31">
        <v>6</v>
      </c>
      <c r="Q1288" s="31">
        <v>2</v>
      </c>
      <c r="R1288" s="31">
        <v>2</v>
      </c>
      <c r="S1288" s="31">
        <v>0</v>
      </c>
      <c r="Y1288" s="29"/>
      <c r="Z1288" s="23"/>
      <c r="AA1288" s="3" t="str">
        <f t="shared" si="11"/>
        <v>___</v>
      </c>
      <c r="AB1288" s="3" t="str">
        <f t="shared" si="10"/>
        <v>____</v>
      </c>
    </row>
    <row r="1289" spans="1:28" ht="14">
      <c r="A1289" s="3">
        <v>1288</v>
      </c>
      <c r="B1289" s="28" t="s">
        <v>178</v>
      </c>
      <c r="C1289" s="5" t="s">
        <v>179</v>
      </c>
      <c r="D1289" s="28">
        <v>31</v>
      </c>
      <c r="E1289" s="26" t="s">
        <v>163</v>
      </c>
      <c r="F1289" s="26" t="s">
        <v>180</v>
      </c>
      <c r="G1289" s="26" t="s">
        <v>181</v>
      </c>
      <c r="H1289" s="26" t="s">
        <v>40</v>
      </c>
      <c r="I1289" s="28">
        <v>1</v>
      </c>
      <c r="J1289" s="28">
        <v>35</v>
      </c>
      <c r="K1289" s="28">
        <v>37.200000000000003</v>
      </c>
      <c r="L1289" s="28">
        <v>6</v>
      </c>
      <c r="M1289" s="26" t="s">
        <v>36</v>
      </c>
      <c r="N1289" s="28">
        <v>49.4</v>
      </c>
      <c r="O1289" s="28">
        <v>5</v>
      </c>
      <c r="P1289" s="28">
        <v>6</v>
      </c>
      <c r="Q1289" s="28">
        <v>0</v>
      </c>
      <c r="R1289" s="28">
        <v>0</v>
      </c>
      <c r="S1289" s="28">
        <v>0</v>
      </c>
      <c r="Y1289" s="26"/>
      <c r="Z1289" s="23"/>
      <c r="AA1289" s="3" t="str">
        <f t="shared" si="11"/>
        <v>ANO_818_31_T4-C2_vm</v>
      </c>
      <c r="AB1289" s="3" t="str">
        <f t="shared" si="10"/>
        <v>ANO_818_31_T4-C2_vm_1</v>
      </c>
    </row>
    <row r="1290" spans="1:28" ht="14">
      <c r="A1290" s="3">
        <v>1289</v>
      </c>
      <c r="B1290" s="28"/>
      <c r="C1290" s="5"/>
      <c r="D1290" s="28"/>
      <c r="E1290" s="26"/>
      <c r="F1290" s="26"/>
      <c r="G1290" s="26"/>
      <c r="H1290" s="26"/>
      <c r="I1290" s="28"/>
      <c r="J1290" s="28"/>
      <c r="K1290" s="28"/>
      <c r="L1290" s="28"/>
      <c r="M1290" s="26" t="s">
        <v>38</v>
      </c>
      <c r="N1290" s="28">
        <v>85.7</v>
      </c>
      <c r="O1290" s="28">
        <v>0</v>
      </c>
      <c r="P1290" s="28">
        <v>7</v>
      </c>
      <c r="Q1290" s="28">
        <v>2</v>
      </c>
      <c r="R1290" s="28">
        <v>2</v>
      </c>
      <c r="S1290" s="28">
        <v>0</v>
      </c>
      <c r="Y1290" s="26"/>
      <c r="Z1290" s="23"/>
      <c r="AA1290" s="3" t="str">
        <f t="shared" si="11"/>
        <v>___</v>
      </c>
      <c r="AB1290" s="3" t="str">
        <f t="shared" si="10"/>
        <v>____</v>
      </c>
    </row>
    <row r="1291" spans="1:28" ht="14">
      <c r="A1291" s="3">
        <v>1290</v>
      </c>
      <c r="B1291" s="29"/>
      <c r="C1291" s="30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 t="s">
        <v>39</v>
      </c>
      <c r="N1291" s="31">
        <v>71.599999999999994</v>
      </c>
      <c r="O1291" s="31">
        <v>0</v>
      </c>
      <c r="P1291" s="31">
        <v>1</v>
      </c>
      <c r="Q1291" s="31">
        <v>3</v>
      </c>
      <c r="R1291" s="31">
        <v>9</v>
      </c>
      <c r="S1291" s="31">
        <v>0</v>
      </c>
      <c r="Y1291" s="29"/>
      <c r="Z1291" s="23"/>
      <c r="AA1291" s="3" t="str">
        <f t="shared" si="11"/>
        <v>___</v>
      </c>
      <c r="AB1291" s="3" t="str">
        <f t="shared" si="10"/>
        <v>____</v>
      </c>
    </row>
    <row r="1292" spans="1:28" ht="14">
      <c r="A1292" s="3">
        <v>1291</v>
      </c>
      <c r="B1292" s="28" t="s">
        <v>178</v>
      </c>
      <c r="C1292" s="5" t="s">
        <v>179</v>
      </c>
      <c r="D1292" s="28">
        <v>31</v>
      </c>
      <c r="E1292" s="26" t="s">
        <v>163</v>
      </c>
      <c r="F1292" s="26" t="s">
        <v>180</v>
      </c>
      <c r="G1292" s="26" t="s">
        <v>181</v>
      </c>
      <c r="H1292" s="26" t="s">
        <v>40</v>
      </c>
      <c r="I1292" s="28">
        <v>2</v>
      </c>
      <c r="J1292" s="28">
        <v>26.3</v>
      </c>
      <c r="K1292" s="28">
        <v>32</v>
      </c>
      <c r="L1292" s="28">
        <v>5</v>
      </c>
      <c r="M1292" s="26" t="s">
        <v>36</v>
      </c>
      <c r="N1292" s="28">
        <v>100.2</v>
      </c>
      <c r="O1292" s="28">
        <v>4</v>
      </c>
      <c r="P1292" s="28">
        <v>7</v>
      </c>
      <c r="Q1292" s="28">
        <v>3</v>
      </c>
      <c r="R1292" s="28">
        <v>3</v>
      </c>
      <c r="S1292" s="28">
        <v>0</v>
      </c>
      <c r="Y1292" s="26" t="s">
        <v>182</v>
      </c>
      <c r="Z1292" s="23"/>
      <c r="AA1292" s="3" t="str">
        <f t="shared" si="11"/>
        <v>ANO_818_31_T4-C2_vm</v>
      </c>
      <c r="AB1292" s="3" t="str">
        <f t="shared" si="10"/>
        <v>ANO_818_31_T4-C2_vm_2</v>
      </c>
    </row>
    <row r="1293" spans="1:28" ht="14">
      <c r="A1293" s="3">
        <v>1292</v>
      </c>
      <c r="B1293" s="28"/>
      <c r="C1293" s="5"/>
      <c r="D1293" s="28"/>
      <c r="E1293" s="26"/>
      <c r="F1293" s="26"/>
      <c r="G1293" s="26"/>
      <c r="H1293" s="26"/>
      <c r="I1293" s="28"/>
      <c r="J1293" s="28"/>
      <c r="K1293" s="28"/>
      <c r="L1293" s="28"/>
      <c r="M1293" s="26" t="s">
        <v>38</v>
      </c>
      <c r="N1293" s="28">
        <v>50</v>
      </c>
      <c r="O1293" s="28">
        <v>0</v>
      </c>
      <c r="P1293" s="28">
        <v>3</v>
      </c>
      <c r="Q1293" s="28">
        <v>3</v>
      </c>
      <c r="R1293" s="28">
        <v>11</v>
      </c>
      <c r="S1293" s="28">
        <v>0</v>
      </c>
      <c r="Y1293" s="26"/>
      <c r="Z1293" s="23"/>
      <c r="AA1293" s="3" t="str">
        <f t="shared" si="11"/>
        <v>___</v>
      </c>
      <c r="AB1293" s="3" t="str">
        <f t="shared" si="10"/>
        <v>____</v>
      </c>
    </row>
    <row r="1294" spans="1:28" ht="14">
      <c r="A1294" s="3">
        <v>1293</v>
      </c>
      <c r="B1294" s="29"/>
      <c r="C1294" s="30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 t="s">
        <v>39</v>
      </c>
      <c r="N1294" s="31">
        <v>41.8</v>
      </c>
      <c r="O1294" s="31">
        <v>0</v>
      </c>
      <c r="P1294" s="31">
        <v>4</v>
      </c>
      <c r="Q1294" s="31">
        <v>1</v>
      </c>
      <c r="R1294" s="31">
        <v>16</v>
      </c>
      <c r="S1294" s="31">
        <v>0</v>
      </c>
      <c r="Y1294" s="29"/>
      <c r="Z1294" s="23"/>
      <c r="AA1294" s="3" t="str">
        <f t="shared" si="11"/>
        <v>___</v>
      </c>
      <c r="AB1294" s="3" t="str">
        <f t="shared" si="10"/>
        <v>____</v>
      </c>
    </row>
    <row r="1295" spans="1:28" ht="14">
      <c r="A1295" s="3">
        <v>1294</v>
      </c>
      <c r="B1295" s="28" t="s">
        <v>178</v>
      </c>
      <c r="C1295" s="5" t="s">
        <v>179</v>
      </c>
      <c r="D1295" s="28">
        <v>31</v>
      </c>
      <c r="E1295" s="26" t="s">
        <v>163</v>
      </c>
      <c r="F1295" s="26" t="s">
        <v>180</v>
      </c>
      <c r="G1295" s="26" t="s">
        <v>181</v>
      </c>
      <c r="H1295" s="26" t="s">
        <v>40</v>
      </c>
      <c r="I1295" s="28">
        <v>3</v>
      </c>
      <c r="J1295" s="28">
        <v>36.799999999999997</v>
      </c>
      <c r="K1295" s="28">
        <v>38</v>
      </c>
      <c r="L1295" s="28">
        <v>5</v>
      </c>
      <c r="M1295" s="26" t="s">
        <v>36</v>
      </c>
      <c r="N1295" s="28">
        <v>95.5</v>
      </c>
      <c r="O1295" s="28">
        <v>8</v>
      </c>
      <c r="P1295" s="28">
        <v>8</v>
      </c>
      <c r="Q1295" s="28">
        <v>1</v>
      </c>
      <c r="R1295" s="28">
        <v>1</v>
      </c>
      <c r="S1295" s="28">
        <v>0</v>
      </c>
      <c r="Y1295" s="26"/>
      <c r="Z1295" s="23"/>
      <c r="AA1295" s="3" t="str">
        <f t="shared" si="11"/>
        <v>ANO_818_31_T4-C2_vm</v>
      </c>
      <c r="AB1295" s="3" t="str">
        <f t="shared" si="10"/>
        <v>ANO_818_31_T4-C2_vm_3</v>
      </c>
    </row>
    <row r="1296" spans="1:28" ht="14">
      <c r="A1296" s="3">
        <v>1295</v>
      </c>
      <c r="B1296" s="28"/>
      <c r="C1296" s="5"/>
      <c r="D1296" s="28"/>
      <c r="E1296" s="26"/>
      <c r="F1296" s="26"/>
      <c r="G1296" s="26"/>
      <c r="H1296" s="26"/>
      <c r="I1296" s="28"/>
      <c r="J1296" s="28"/>
      <c r="K1296" s="28"/>
      <c r="L1296" s="28"/>
      <c r="M1296" s="26" t="s">
        <v>38</v>
      </c>
      <c r="N1296" s="28">
        <v>65.3</v>
      </c>
      <c r="O1296" s="28">
        <v>0</v>
      </c>
      <c r="P1296" s="28">
        <v>5</v>
      </c>
      <c r="Q1296" s="28">
        <v>2</v>
      </c>
      <c r="R1296" s="28">
        <v>1</v>
      </c>
      <c r="S1296" s="28">
        <v>0</v>
      </c>
      <c r="Y1296" s="26"/>
      <c r="Z1296" s="23"/>
      <c r="AA1296" s="3" t="str">
        <f t="shared" si="11"/>
        <v>___</v>
      </c>
      <c r="AB1296" s="3" t="str">
        <f t="shared" si="10"/>
        <v>____</v>
      </c>
    </row>
    <row r="1297" spans="1:29" ht="14">
      <c r="A1297" s="3">
        <v>1296</v>
      </c>
      <c r="B1297" s="29"/>
      <c r="C1297" s="30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 t="s">
        <v>39</v>
      </c>
      <c r="N1297" s="31">
        <v>60</v>
      </c>
      <c r="O1297" s="31">
        <v>0</v>
      </c>
      <c r="P1297" s="31">
        <v>2</v>
      </c>
      <c r="Q1297" s="31">
        <v>1</v>
      </c>
      <c r="R1297" s="31">
        <v>0</v>
      </c>
      <c r="S1297" s="31">
        <v>0</v>
      </c>
      <c r="Y1297" s="29"/>
      <c r="Z1297" s="23"/>
      <c r="AA1297" s="3" t="str">
        <f t="shared" si="11"/>
        <v>___</v>
      </c>
      <c r="AB1297" s="3" t="str">
        <f t="shared" si="10"/>
        <v>____</v>
      </c>
    </row>
    <row r="1298" spans="1:29" ht="14">
      <c r="A1298" s="3">
        <v>1297</v>
      </c>
      <c r="B1298" s="28" t="s">
        <v>183</v>
      </c>
      <c r="C1298" s="5" t="s">
        <v>184</v>
      </c>
      <c r="D1298" s="28">
        <v>24</v>
      </c>
      <c r="E1298" s="26" t="s">
        <v>163</v>
      </c>
      <c r="F1298" s="26" t="s">
        <v>180</v>
      </c>
      <c r="G1298" s="26" t="s">
        <v>147</v>
      </c>
      <c r="H1298" s="26" t="s">
        <v>40</v>
      </c>
      <c r="I1298" s="28">
        <v>1</v>
      </c>
      <c r="J1298" s="28">
        <v>17.5</v>
      </c>
      <c r="K1298" s="28">
        <v>28.1</v>
      </c>
      <c r="L1298" s="28">
        <v>5</v>
      </c>
      <c r="M1298" s="26" t="s">
        <v>36</v>
      </c>
      <c r="N1298" s="28">
        <v>80.2</v>
      </c>
      <c r="O1298" s="28">
        <v>4</v>
      </c>
      <c r="P1298" s="28">
        <v>10</v>
      </c>
      <c r="Q1298" s="28">
        <v>3</v>
      </c>
      <c r="R1298" s="28">
        <v>5</v>
      </c>
      <c r="S1298" s="28">
        <v>0</v>
      </c>
      <c r="Y1298" s="26" t="s">
        <v>166</v>
      </c>
      <c r="Z1298" s="23"/>
      <c r="AA1298" s="3" t="str">
        <f t="shared" si="11"/>
        <v>ANO_016_24_T4-C5_vm</v>
      </c>
      <c r="AB1298" s="3" t="str">
        <f t="shared" si="10"/>
        <v>ANO_016_24_T4-C5_vm_1</v>
      </c>
      <c r="AC1298" s="3" t="s">
        <v>37</v>
      </c>
    </row>
    <row r="1299" spans="1:29" ht="14">
      <c r="A1299" s="3">
        <v>1298</v>
      </c>
      <c r="B1299" s="26"/>
      <c r="C1299" s="5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 t="s">
        <v>38</v>
      </c>
      <c r="N1299" s="28">
        <v>60</v>
      </c>
      <c r="O1299" s="28">
        <v>0</v>
      </c>
      <c r="P1299" s="28">
        <v>4</v>
      </c>
      <c r="Q1299" s="28">
        <v>3</v>
      </c>
      <c r="R1299" s="28">
        <v>6</v>
      </c>
      <c r="S1299" s="28">
        <v>0</v>
      </c>
      <c r="Y1299" s="26"/>
      <c r="Z1299" s="23"/>
      <c r="AA1299" s="3" t="str">
        <f t="shared" si="11"/>
        <v>___</v>
      </c>
      <c r="AB1299" s="3" t="str">
        <f t="shared" si="10"/>
        <v>____</v>
      </c>
    </row>
    <row r="1300" spans="1:29" ht="14">
      <c r="A1300" s="3">
        <v>1299</v>
      </c>
      <c r="B1300" s="29"/>
      <c r="C1300" s="30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 t="s">
        <v>39</v>
      </c>
      <c r="N1300" s="31">
        <v>60.8</v>
      </c>
      <c r="O1300" s="31">
        <v>0</v>
      </c>
      <c r="P1300" s="31">
        <v>4</v>
      </c>
      <c r="Q1300" s="31">
        <v>2</v>
      </c>
      <c r="R1300" s="31">
        <v>7</v>
      </c>
      <c r="S1300" s="31">
        <v>0</v>
      </c>
      <c r="Y1300" s="29"/>
      <c r="Z1300" s="23"/>
      <c r="AA1300" s="3" t="str">
        <f t="shared" si="11"/>
        <v>___</v>
      </c>
      <c r="AB1300" s="3" t="str">
        <f t="shared" si="10"/>
        <v>____</v>
      </c>
    </row>
    <row r="1301" spans="1:29" ht="14">
      <c r="A1301" s="3">
        <v>1300</v>
      </c>
      <c r="B1301" s="28" t="s">
        <v>183</v>
      </c>
      <c r="C1301" s="5" t="s">
        <v>184</v>
      </c>
      <c r="D1301" s="28">
        <v>24</v>
      </c>
      <c r="E1301" s="26" t="s">
        <v>163</v>
      </c>
      <c r="F1301" s="26" t="s">
        <v>180</v>
      </c>
      <c r="G1301" s="26" t="s">
        <v>147</v>
      </c>
      <c r="H1301" s="26" t="s">
        <v>40</v>
      </c>
      <c r="I1301" s="28">
        <v>2</v>
      </c>
      <c r="J1301" s="28">
        <v>16.5</v>
      </c>
      <c r="K1301" s="28">
        <v>30.6</v>
      </c>
      <c r="L1301" s="28">
        <v>4</v>
      </c>
      <c r="M1301" s="26" t="s">
        <v>36</v>
      </c>
      <c r="N1301" s="28">
        <v>100.6</v>
      </c>
      <c r="O1301" s="28">
        <v>4</v>
      </c>
      <c r="P1301" s="28">
        <v>10</v>
      </c>
      <c r="Q1301" s="28">
        <v>2</v>
      </c>
      <c r="R1301" s="28">
        <v>2</v>
      </c>
      <c r="S1301" s="28">
        <v>0</v>
      </c>
      <c r="Y1301" s="26" t="s">
        <v>166</v>
      </c>
      <c r="Z1301" s="23"/>
      <c r="AA1301" s="3" t="str">
        <f t="shared" si="11"/>
        <v>ANO_016_24_T4-C5_vm</v>
      </c>
      <c r="AB1301" s="3" t="str">
        <f t="shared" si="10"/>
        <v>ANO_016_24_T4-C5_vm_2</v>
      </c>
      <c r="AC1301" s="3" t="s">
        <v>37</v>
      </c>
    </row>
    <row r="1302" spans="1:29" ht="14">
      <c r="A1302" s="3">
        <v>1301</v>
      </c>
      <c r="B1302" s="26"/>
      <c r="C1302" s="5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 t="s">
        <v>38</v>
      </c>
      <c r="N1302" s="28">
        <v>85.2</v>
      </c>
      <c r="O1302" s="28">
        <v>0</v>
      </c>
      <c r="P1302" s="28">
        <v>8</v>
      </c>
      <c r="Q1302" s="28">
        <v>3</v>
      </c>
      <c r="R1302" s="28">
        <v>15</v>
      </c>
      <c r="S1302" s="28">
        <v>0</v>
      </c>
      <c r="Y1302" s="26"/>
      <c r="Z1302" s="23"/>
      <c r="AA1302" s="3" t="str">
        <f t="shared" si="11"/>
        <v>___</v>
      </c>
      <c r="AB1302" s="3" t="str">
        <f t="shared" si="10"/>
        <v>____</v>
      </c>
    </row>
    <row r="1303" spans="1:29" ht="14">
      <c r="A1303" s="3">
        <v>1302</v>
      </c>
      <c r="B1303" s="29"/>
      <c r="C1303" s="30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 t="s">
        <v>39</v>
      </c>
      <c r="N1303" s="31">
        <v>60.7</v>
      </c>
      <c r="O1303" s="31">
        <v>0</v>
      </c>
      <c r="P1303" s="31">
        <v>4</v>
      </c>
      <c r="Q1303" s="31">
        <v>2</v>
      </c>
      <c r="R1303" s="31">
        <v>18</v>
      </c>
      <c r="S1303" s="31">
        <v>0</v>
      </c>
      <c r="Y1303" s="29"/>
      <c r="Z1303" s="23"/>
      <c r="AA1303" s="3" t="str">
        <f t="shared" si="11"/>
        <v>___</v>
      </c>
      <c r="AB1303" s="3" t="str">
        <f t="shared" si="10"/>
        <v>____</v>
      </c>
    </row>
    <row r="1304" spans="1:29" ht="14">
      <c r="A1304" s="3">
        <v>1303</v>
      </c>
      <c r="B1304" s="28" t="s">
        <v>183</v>
      </c>
      <c r="C1304" s="5" t="s">
        <v>184</v>
      </c>
      <c r="D1304" s="28">
        <v>24</v>
      </c>
      <c r="E1304" s="26" t="s">
        <v>163</v>
      </c>
      <c r="F1304" s="26" t="s">
        <v>180</v>
      </c>
      <c r="G1304" s="26" t="s">
        <v>147</v>
      </c>
      <c r="H1304" s="26" t="s">
        <v>40</v>
      </c>
      <c r="I1304" s="28">
        <v>3</v>
      </c>
      <c r="J1304" s="28">
        <v>17</v>
      </c>
      <c r="K1304" s="28">
        <v>18.5</v>
      </c>
      <c r="L1304" s="28">
        <v>4</v>
      </c>
      <c r="M1304" s="26" t="s">
        <v>36</v>
      </c>
      <c r="N1304" s="28">
        <v>100.2</v>
      </c>
      <c r="O1304" s="28">
        <v>5</v>
      </c>
      <c r="P1304" s="28">
        <v>11</v>
      </c>
      <c r="Q1304" s="28">
        <v>4</v>
      </c>
      <c r="R1304" s="28">
        <v>4</v>
      </c>
      <c r="S1304" s="28">
        <v>0</v>
      </c>
      <c r="Y1304" s="26" t="s">
        <v>166</v>
      </c>
      <c r="Z1304" s="23"/>
      <c r="AA1304" s="3" t="str">
        <f t="shared" si="11"/>
        <v>ANO_016_24_T4-C5_vm</v>
      </c>
      <c r="AB1304" s="3" t="str">
        <f t="shared" si="10"/>
        <v>ANO_016_24_T4-C5_vm_3</v>
      </c>
      <c r="AC1304" s="3" t="s">
        <v>37</v>
      </c>
    </row>
    <row r="1305" spans="1:29" ht="14">
      <c r="A1305" s="3">
        <v>1304</v>
      </c>
      <c r="B1305" s="28"/>
      <c r="C1305" s="5"/>
      <c r="D1305" s="28"/>
      <c r="E1305" s="26"/>
      <c r="F1305" s="26"/>
      <c r="G1305" s="26"/>
      <c r="H1305" s="26"/>
      <c r="I1305" s="28"/>
      <c r="J1305" s="28"/>
      <c r="K1305" s="28"/>
      <c r="L1305" s="28"/>
      <c r="M1305" s="26" t="s">
        <v>38</v>
      </c>
      <c r="N1305" s="28">
        <v>49.8</v>
      </c>
      <c r="O1305" s="28">
        <v>0</v>
      </c>
      <c r="P1305" s="28">
        <v>4</v>
      </c>
      <c r="Q1305" s="28">
        <v>3</v>
      </c>
      <c r="R1305" s="28">
        <v>10</v>
      </c>
      <c r="S1305" s="28">
        <v>0</v>
      </c>
      <c r="Y1305" s="26"/>
      <c r="Z1305" s="23"/>
      <c r="AA1305" s="3" t="str">
        <f t="shared" si="11"/>
        <v>___</v>
      </c>
      <c r="AB1305" s="3" t="str">
        <f t="shared" si="10"/>
        <v>____</v>
      </c>
    </row>
    <row r="1306" spans="1:29" ht="14">
      <c r="A1306" s="3">
        <v>1305</v>
      </c>
      <c r="B1306" s="29"/>
      <c r="C1306" s="30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 t="s">
        <v>39</v>
      </c>
      <c r="N1306" s="31">
        <v>24.5</v>
      </c>
      <c r="O1306" s="31">
        <v>0</v>
      </c>
      <c r="P1306" s="31">
        <v>2</v>
      </c>
      <c r="Q1306" s="31">
        <v>0</v>
      </c>
      <c r="R1306" s="31">
        <v>0</v>
      </c>
      <c r="S1306" s="31">
        <v>0</v>
      </c>
      <c r="Y1306" s="29"/>
      <c r="Z1306" s="23"/>
      <c r="AA1306" s="3" t="str">
        <f t="shared" si="11"/>
        <v>___</v>
      </c>
      <c r="AB1306" s="3" t="str">
        <f t="shared" si="10"/>
        <v>____</v>
      </c>
    </row>
    <row r="1307" spans="1:29" ht="14">
      <c r="A1307" s="3">
        <v>1306</v>
      </c>
      <c r="B1307" s="28" t="s">
        <v>183</v>
      </c>
      <c r="C1307" s="5" t="s">
        <v>184</v>
      </c>
      <c r="D1307" s="28">
        <v>44</v>
      </c>
      <c r="E1307" s="26" t="s">
        <v>163</v>
      </c>
      <c r="F1307" s="26" t="s">
        <v>180</v>
      </c>
      <c r="G1307" s="26" t="s">
        <v>136</v>
      </c>
      <c r="H1307" s="26" t="s">
        <v>40</v>
      </c>
      <c r="I1307" s="28">
        <v>1</v>
      </c>
      <c r="J1307" s="28">
        <v>26</v>
      </c>
      <c r="K1307" s="28">
        <v>33.299999999999997</v>
      </c>
      <c r="L1307" s="28">
        <v>5</v>
      </c>
      <c r="M1307" s="26" t="s">
        <v>36</v>
      </c>
      <c r="N1307" s="28">
        <v>95.4</v>
      </c>
      <c r="O1307" s="28">
        <v>4</v>
      </c>
      <c r="P1307" s="28">
        <v>6</v>
      </c>
      <c r="Q1307" s="28">
        <v>5</v>
      </c>
      <c r="R1307" s="28">
        <v>5</v>
      </c>
      <c r="S1307" s="28">
        <v>0</v>
      </c>
      <c r="Y1307" s="26" t="s">
        <v>166</v>
      </c>
      <c r="Z1307" s="23"/>
      <c r="AA1307" s="3" t="str">
        <f t="shared" si="11"/>
        <v>ANO_016_44_T4-C1_vm</v>
      </c>
      <c r="AB1307" s="3" t="str">
        <f t="shared" si="10"/>
        <v>ANO_016_44_T4-C1_vm_1</v>
      </c>
      <c r="AC1307" s="3" t="s">
        <v>37</v>
      </c>
    </row>
    <row r="1308" spans="1:29" ht="14">
      <c r="A1308" s="3">
        <v>1307</v>
      </c>
      <c r="B1308" s="28"/>
      <c r="C1308" s="5"/>
      <c r="D1308" s="28"/>
      <c r="E1308" s="26"/>
      <c r="F1308" s="26"/>
      <c r="G1308" s="26"/>
      <c r="H1308" s="26"/>
      <c r="I1308" s="28"/>
      <c r="J1308" s="28"/>
      <c r="K1308" s="28"/>
      <c r="L1308" s="28"/>
      <c r="M1308" s="26" t="s">
        <v>38</v>
      </c>
      <c r="N1308" s="28">
        <v>45.2</v>
      </c>
      <c r="O1308" s="28">
        <v>0</v>
      </c>
      <c r="P1308" s="28">
        <v>4</v>
      </c>
      <c r="Q1308" s="28">
        <v>0</v>
      </c>
      <c r="R1308" s="28">
        <v>0</v>
      </c>
      <c r="S1308" s="28">
        <v>0</v>
      </c>
      <c r="Y1308" s="26"/>
      <c r="Z1308" s="23"/>
      <c r="AA1308" s="3" t="str">
        <f t="shared" si="11"/>
        <v>___</v>
      </c>
      <c r="AB1308" s="3" t="str">
        <f t="shared" si="10"/>
        <v>____</v>
      </c>
    </row>
    <row r="1309" spans="1:29" ht="14">
      <c r="A1309" s="3">
        <v>1308</v>
      </c>
      <c r="B1309" s="29"/>
      <c r="C1309" s="30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 t="s">
        <v>39</v>
      </c>
      <c r="N1309" s="31">
        <v>60</v>
      </c>
      <c r="O1309" s="31">
        <v>0</v>
      </c>
      <c r="P1309" s="31">
        <v>2</v>
      </c>
      <c r="Q1309" s="31">
        <v>5</v>
      </c>
      <c r="R1309" s="31">
        <v>24</v>
      </c>
      <c r="S1309" s="31">
        <v>2</v>
      </c>
      <c r="Y1309" s="29"/>
      <c r="Z1309" s="23"/>
      <c r="AA1309" s="3" t="str">
        <f t="shared" si="11"/>
        <v>___</v>
      </c>
      <c r="AB1309" s="3" t="str">
        <f t="shared" si="10"/>
        <v>____</v>
      </c>
    </row>
    <row r="1310" spans="1:29" ht="14">
      <c r="A1310" s="3">
        <v>1309</v>
      </c>
      <c r="B1310" s="28" t="s">
        <v>183</v>
      </c>
      <c r="C1310" s="5" t="s">
        <v>184</v>
      </c>
      <c r="D1310" s="28">
        <v>44</v>
      </c>
      <c r="E1310" s="26" t="s">
        <v>163</v>
      </c>
      <c r="F1310" s="26" t="s">
        <v>180</v>
      </c>
      <c r="G1310" s="26" t="s">
        <v>136</v>
      </c>
      <c r="H1310" s="26" t="s">
        <v>40</v>
      </c>
      <c r="I1310" s="28">
        <v>2</v>
      </c>
      <c r="J1310" s="28">
        <v>24.1</v>
      </c>
      <c r="K1310" s="28">
        <v>45.1</v>
      </c>
      <c r="L1310" s="28">
        <v>5</v>
      </c>
      <c r="M1310" s="26" t="s">
        <v>36</v>
      </c>
      <c r="N1310" s="28">
        <v>95.4</v>
      </c>
      <c r="O1310" s="28">
        <v>8</v>
      </c>
      <c r="P1310" s="28">
        <v>8</v>
      </c>
      <c r="Q1310" s="28">
        <v>1</v>
      </c>
      <c r="R1310" s="28">
        <v>1</v>
      </c>
      <c r="S1310" s="28">
        <v>0</v>
      </c>
      <c r="Y1310" s="26" t="s">
        <v>166</v>
      </c>
      <c r="Z1310" s="23"/>
      <c r="AA1310" s="3" t="str">
        <f t="shared" si="11"/>
        <v>ANO_016_44_T4-C1_vm</v>
      </c>
      <c r="AB1310" s="3" t="str">
        <f t="shared" si="10"/>
        <v>ANO_016_44_T4-C1_vm_2</v>
      </c>
      <c r="AC1310" s="3" t="s">
        <v>37</v>
      </c>
    </row>
    <row r="1311" spans="1:29" ht="14">
      <c r="A1311" s="3">
        <v>1310</v>
      </c>
      <c r="B1311" s="28"/>
      <c r="C1311" s="5"/>
      <c r="D1311" s="28"/>
      <c r="E1311" s="26"/>
      <c r="F1311" s="26"/>
      <c r="G1311" s="26"/>
      <c r="H1311" s="26"/>
      <c r="I1311" s="28"/>
      <c r="J1311" s="28"/>
      <c r="K1311" s="28"/>
      <c r="L1311" s="28"/>
      <c r="M1311" s="26" t="s">
        <v>38</v>
      </c>
      <c r="N1311" s="28">
        <v>84.6</v>
      </c>
      <c r="O1311" s="28">
        <v>0</v>
      </c>
      <c r="P1311" s="28">
        <v>4</v>
      </c>
      <c r="Q1311" s="28">
        <v>3</v>
      </c>
      <c r="R1311" s="28">
        <v>3</v>
      </c>
      <c r="S1311" s="28">
        <v>0</v>
      </c>
      <c r="Y1311" s="26"/>
      <c r="Z1311" s="23"/>
      <c r="AA1311" s="3" t="str">
        <f t="shared" si="11"/>
        <v>___</v>
      </c>
      <c r="AB1311" s="3" t="str">
        <f t="shared" si="10"/>
        <v>____</v>
      </c>
    </row>
    <row r="1312" spans="1:29" ht="14">
      <c r="A1312" s="3">
        <v>1311</v>
      </c>
      <c r="B1312" s="29"/>
      <c r="C1312" s="30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 t="s">
        <v>39</v>
      </c>
      <c r="N1312" s="31">
        <v>110.3</v>
      </c>
      <c r="O1312" s="31">
        <v>0</v>
      </c>
      <c r="P1312" s="31">
        <v>2</v>
      </c>
      <c r="Q1312" s="31">
        <v>2</v>
      </c>
      <c r="R1312" s="31">
        <v>9</v>
      </c>
      <c r="S1312" s="31">
        <v>0</v>
      </c>
      <c r="Y1312" s="29"/>
      <c r="Z1312" s="23"/>
      <c r="AA1312" s="3" t="str">
        <f t="shared" si="11"/>
        <v>___</v>
      </c>
      <c r="AB1312" s="3" t="str">
        <f t="shared" si="10"/>
        <v>____</v>
      </c>
    </row>
    <row r="1313" spans="1:29" ht="14">
      <c r="A1313" s="3">
        <v>1312</v>
      </c>
      <c r="B1313" s="28" t="s">
        <v>183</v>
      </c>
      <c r="C1313" s="5" t="s">
        <v>184</v>
      </c>
      <c r="D1313" s="28">
        <v>44</v>
      </c>
      <c r="E1313" s="26" t="s">
        <v>163</v>
      </c>
      <c r="F1313" s="26" t="s">
        <v>180</v>
      </c>
      <c r="G1313" s="26" t="s">
        <v>136</v>
      </c>
      <c r="H1313" s="26" t="s">
        <v>40</v>
      </c>
      <c r="I1313" s="28">
        <v>3</v>
      </c>
      <c r="J1313" s="28">
        <v>25.5</v>
      </c>
      <c r="K1313" s="28">
        <v>29.8</v>
      </c>
      <c r="L1313" s="28">
        <v>4</v>
      </c>
      <c r="M1313" s="26" t="s">
        <v>36</v>
      </c>
      <c r="N1313" s="28">
        <v>100.2</v>
      </c>
      <c r="O1313" s="28">
        <v>8</v>
      </c>
      <c r="P1313" s="28">
        <v>8</v>
      </c>
      <c r="Q1313" s="28">
        <v>1</v>
      </c>
      <c r="R1313" s="28">
        <v>1</v>
      </c>
      <c r="S1313" s="28">
        <v>0</v>
      </c>
      <c r="Y1313" s="26" t="s">
        <v>166</v>
      </c>
      <c r="Z1313" s="23"/>
      <c r="AA1313" s="3" t="str">
        <f t="shared" si="11"/>
        <v>ANO_016_44_T4-C1_vm</v>
      </c>
      <c r="AB1313" s="3" t="str">
        <f t="shared" si="10"/>
        <v>ANO_016_44_T4-C1_vm_3</v>
      </c>
      <c r="AC1313" s="3" t="s">
        <v>37</v>
      </c>
    </row>
    <row r="1314" spans="1:29" ht="14">
      <c r="A1314" s="3">
        <v>1313</v>
      </c>
      <c r="B1314" s="26"/>
      <c r="C1314" s="5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 t="s">
        <v>38</v>
      </c>
      <c r="N1314" s="28">
        <v>152.5</v>
      </c>
      <c r="O1314" s="28">
        <v>0</v>
      </c>
      <c r="P1314" s="28">
        <v>2</v>
      </c>
      <c r="Q1314" s="28">
        <v>3</v>
      </c>
      <c r="R1314" s="28">
        <v>3</v>
      </c>
      <c r="S1314" s="28">
        <v>0</v>
      </c>
      <c r="Y1314" s="26"/>
      <c r="Z1314" s="23"/>
      <c r="AA1314" s="3" t="str">
        <f t="shared" si="11"/>
        <v>___</v>
      </c>
      <c r="AB1314" s="3" t="str">
        <f t="shared" si="10"/>
        <v>____</v>
      </c>
    </row>
    <row r="1315" spans="1:29" ht="14">
      <c r="A1315" s="3">
        <v>1314</v>
      </c>
      <c r="B1315" s="29"/>
      <c r="C1315" s="30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 t="s">
        <v>39</v>
      </c>
      <c r="N1315" s="31">
        <v>75.400000000000006</v>
      </c>
      <c r="O1315" s="31">
        <v>0</v>
      </c>
      <c r="P1315" s="31">
        <v>2</v>
      </c>
      <c r="Q1315" s="31">
        <v>1</v>
      </c>
      <c r="R1315" s="31">
        <v>0</v>
      </c>
      <c r="S1315" s="31">
        <v>0</v>
      </c>
      <c r="Y1315" s="29"/>
      <c r="Z1315" s="23"/>
      <c r="AA1315" s="3" t="str">
        <f t="shared" si="11"/>
        <v>___</v>
      </c>
      <c r="AB1315" s="3" t="str">
        <f t="shared" si="10"/>
        <v>____</v>
      </c>
    </row>
    <row r="1316" spans="1:29" ht="14">
      <c r="A1316" s="3">
        <v>1315</v>
      </c>
      <c r="B1316" s="28" t="s">
        <v>183</v>
      </c>
      <c r="C1316" s="5" t="s">
        <v>184</v>
      </c>
      <c r="D1316" s="28">
        <v>55</v>
      </c>
      <c r="E1316" s="26" t="s">
        <v>163</v>
      </c>
      <c r="F1316" s="26" t="s">
        <v>34</v>
      </c>
      <c r="G1316" s="26" t="s">
        <v>146</v>
      </c>
      <c r="H1316" s="26" t="s">
        <v>40</v>
      </c>
      <c r="I1316" s="28">
        <v>1</v>
      </c>
      <c r="J1316" s="28">
        <v>21.2</v>
      </c>
      <c r="K1316" s="28">
        <v>38.6</v>
      </c>
      <c r="L1316" s="28">
        <v>4</v>
      </c>
      <c r="M1316" s="26" t="s">
        <v>36</v>
      </c>
      <c r="N1316" s="28">
        <v>45</v>
      </c>
      <c r="O1316" s="28">
        <v>0</v>
      </c>
      <c r="P1316" s="28">
        <v>3</v>
      </c>
      <c r="Q1316" s="28">
        <v>4</v>
      </c>
      <c r="R1316" s="28">
        <v>9</v>
      </c>
      <c r="S1316" s="28">
        <v>0</v>
      </c>
      <c r="Y1316" s="26" t="s">
        <v>166</v>
      </c>
      <c r="Z1316" s="23"/>
      <c r="AA1316" s="3" t="str">
        <f t="shared" si="11"/>
        <v>ANO_016_55_V2-C1_vm</v>
      </c>
      <c r="AB1316" s="3" t="str">
        <f t="shared" si="10"/>
        <v>ANO_016_55_V2-C1_vm_1</v>
      </c>
      <c r="AC1316" s="3" t="s">
        <v>37</v>
      </c>
    </row>
    <row r="1317" spans="1:29" ht="14">
      <c r="A1317" s="3">
        <v>1316</v>
      </c>
      <c r="B1317" s="28"/>
      <c r="C1317" s="5"/>
      <c r="D1317" s="28"/>
      <c r="E1317" s="26"/>
      <c r="F1317" s="26"/>
      <c r="G1317" s="26"/>
      <c r="H1317" s="26"/>
      <c r="I1317" s="28"/>
      <c r="J1317" s="28"/>
      <c r="K1317" s="28"/>
      <c r="L1317" s="28"/>
      <c r="M1317" s="26" t="s">
        <v>38</v>
      </c>
      <c r="N1317" s="28">
        <v>72.2</v>
      </c>
      <c r="O1317" s="28">
        <v>0</v>
      </c>
      <c r="P1317" s="28">
        <v>2</v>
      </c>
      <c r="Q1317" s="28">
        <v>2</v>
      </c>
      <c r="R1317" s="28">
        <v>6</v>
      </c>
      <c r="S1317" s="28">
        <v>0</v>
      </c>
      <c r="Y1317" s="26"/>
      <c r="Z1317" s="23"/>
      <c r="AA1317" s="3" t="str">
        <f t="shared" si="11"/>
        <v>___</v>
      </c>
      <c r="AB1317" s="3" t="str">
        <f t="shared" si="10"/>
        <v>____</v>
      </c>
    </row>
    <row r="1318" spans="1:29" ht="14">
      <c r="A1318" s="3">
        <v>1317</v>
      </c>
      <c r="B1318" s="29"/>
      <c r="C1318" s="30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 t="s">
        <v>39</v>
      </c>
      <c r="N1318" s="31">
        <v>60</v>
      </c>
      <c r="O1318" s="31">
        <v>0</v>
      </c>
      <c r="P1318" s="31">
        <v>2</v>
      </c>
      <c r="Q1318" s="31">
        <v>3</v>
      </c>
      <c r="R1318" s="31">
        <v>31</v>
      </c>
      <c r="S1318" s="31">
        <v>0</v>
      </c>
      <c r="Y1318" s="29"/>
      <c r="Z1318" s="23"/>
      <c r="AA1318" s="3" t="str">
        <f t="shared" si="11"/>
        <v>___</v>
      </c>
      <c r="AB1318" s="3" t="str">
        <f t="shared" si="10"/>
        <v>____</v>
      </c>
    </row>
    <row r="1319" spans="1:29" ht="14">
      <c r="A1319" s="3">
        <v>1318</v>
      </c>
      <c r="B1319" s="28" t="s">
        <v>183</v>
      </c>
      <c r="C1319" s="5" t="s">
        <v>184</v>
      </c>
      <c r="D1319" s="28">
        <v>55</v>
      </c>
      <c r="E1319" s="26" t="s">
        <v>163</v>
      </c>
      <c r="F1319" s="26" t="s">
        <v>34</v>
      </c>
      <c r="G1319" s="26" t="s">
        <v>146</v>
      </c>
      <c r="H1319" s="26" t="s">
        <v>40</v>
      </c>
      <c r="I1319" s="28">
        <v>2</v>
      </c>
      <c r="J1319" s="28">
        <v>24.3</v>
      </c>
      <c r="K1319" s="28">
        <v>26.8</v>
      </c>
      <c r="L1319" s="28">
        <v>4</v>
      </c>
      <c r="M1319" s="26" t="s">
        <v>36</v>
      </c>
      <c r="N1319" s="28">
        <v>42.5</v>
      </c>
      <c r="O1319" s="28">
        <v>3</v>
      </c>
      <c r="P1319" s="28">
        <v>4</v>
      </c>
      <c r="Q1319" s="28">
        <v>0</v>
      </c>
      <c r="R1319" s="28">
        <v>0</v>
      </c>
      <c r="S1319" s="28">
        <v>0</v>
      </c>
      <c r="Y1319" s="26"/>
      <c r="Z1319" s="23"/>
      <c r="AA1319" s="3" t="str">
        <f t="shared" si="11"/>
        <v>ANO_016_55_V2-C1_vm</v>
      </c>
      <c r="AB1319" s="3" t="str">
        <f t="shared" si="10"/>
        <v>ANO_016_55_V2-C1_vm_2</v>
      </c>
      <c r="AC1319" s="3" t="s">
        <v>37</v>
      </c>
    </row>
    <row r="1320" spans="1:29" ht="14">
      <c r="A1320" s="3">
        <v>1319</v>
      </c>
      <c r="B1320" s="28"/>
      <c r="C1320" s="5"/>
      <c r="D1320" s="28"/>
      <c r="E1320" s="26"/>
      <c r="F1320" s="26"/>
      <c r="G1320" s="26"/>
      <c r="H1320" s="26"/>
      <c r="I1320" s="28"/>
      <c r="J1320" s="28"/>
      <c r="K1320" s="28"/>
      <c r="L1320" s="28"/>
      <c r="M1320" s="26" t="s">
        <v>38</v>
      </c>
      <c r="N1320" s="28">
        <v>76.7</v>
      </c>
      <c r="O1320" s="28">
        <v>0</v>
      </c>
      <c r="P1320" s="28">
        <v>3</v>
      </c>
      <c r="Q1320" s="28">
        <v>3</v>
      </c>
      <c r="R1320" s="28">
        <v>12</v>
      </c>
      <c r="S1320" s="28">
        <v>0</v>
      </c>
      <c r="Y1320" s="26"/>
      <c r="Z1320" s="23"/>
      <c r="AA1320" s="3" t="str">
        <f t="shared" si="11"/>
        <v>___</v>
      </c>
      <c r="AB1320" s="3" t="str">
        <f t="shared" si="10"/>
        <v>____</v>
      </c>
    </row>
    <row r="1321" spans="1:29" ht="14">
      <c r="A1321" s="3">
        <v>1320</v>
      </c>
      <c r="B1321" s="29"/>
      <c r="C1321" s="30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 t="s">
        <v>39</v>
      </c>
      <c r="N1321" s="31">
        <v>95.2</v>
      </c>
      <c r="O1321" s="31">
        <v>0</v>
      </c>
      <c r="P1321" s="31">
        <v>6</v>
      </c>
      <c r="Q1321" s="31">
        <v>4</v>
      </c>
      <c r="R1321" s="31">
        <v>4</v>
      </c>
      <c r="S1321" s="31">
        <v>0</v>
      </c>
      <c r="Y1321" s="29"/>
      <c r="Z1321" s="23"/>
      <c r="AA1321" s="3" t="str">
        <f t="shared" si="11"/>
        <v>___</v>
      </c>
      <c r="AB1321" s="3" t="str">
        <f t="shared" si="10"/>
        <v>____</v>
      </c>
    </row>
    <row r="1322" spans="1:29" ht="14">
      <c r="A1322" s="3">
        <v>1321</v>
      </c>
      <c r="B1322" s="28" t="s">
        <v>183</v>
      </c>
      <c r="C1322" s="5" t="s">
        <v>184</v>
      </c>
      <c r="D1322" s="28">
        <v>55</v>
      </c>
      <c r="E1322" s="26" t="s">
        <v>163</v>
      </c>
      <c r="F1322" s="26" t="s">
        <v>34</v>
      </c>
      <c r="G1322" s="26" t="s">
        <v>146</v>
      </c>
      <c r="H1322" s="26" t="s">
        <v>40</v>
      </c>
      <c r="I1322" s="28">
        <v>3</v>
      </c>
      <c r="J1322" s="28">
        <v>29.1</v>
      </c>
      <c r="K1322" s="28">
        <v>35.700000000000003</v>
      </c>
      <c r="L1322" s="28">
        <v>5</v>
      </c>
      <c r="M1322" s="26" t="s">
        <v>36</v>
      </c>
      <c r="N1322" s="28">
        <v>56.6</v>
      </c>
      <c r="O1322" s="28">
        <v>6</v>
      </c>
      <c r="P1322" s="28">
        <v>6</v>
      </c>
      <c r="Q1322" s="28">
        <v>0</v>
      </c>
      <c r="R1322" s="28">
        <v>0</v>
      </c>
      <c r="S1322" s="28">
        <v>0</v>
      </c>
      <c r="Y1322" s="26"/>
      <c r="Z1322" s="23"/>
      <c r="AA1322" s="3" t="str">
        <f t="shared" si="11"/>
        <v>ANO_016_55_V2-C1_vm</v>
      </c>
      <c r="AB1322" s="3" t="str">
        <f t="shared" si="10"/>
        <v>ANO_016_55_V2-C1_vm_3</v>
      </c>
      <c r="AC1322" s="3" t="s">
        <v>37</v>
      </c>
    </row>
    <row r="1323" spans="1:29" ht="14">
      <c r="A1323" s="3">
        <v>1322</v>
      </c>
      <c r="B1323" s="28"/>
      <c r="C1323" s="5"/>
      <c r="D1323" s="28"/>
      <c r="E1323" s="26"/>
      <c r="F1323" s="26"/>
      <c r="G1323" s="26"/>
      <c r="H1323" s="26"/>
      <c r="I1323" s="28"/>
      <c r="J1323" s="28"/>
      <c r="K1323" s="28"/>
      <c r="L1323" s="28"/>
      <c r="M1323" s="26" t="s">
        <v>38</v>
      </c>
      <c r="N1323" s="28">
        <v>97.4</v>
      </c>
      <c r="O1323" s="28">
        <v>0</v>
      </c>
      <c r="P1323" s="28">
        <v>4</v>
      </c>
      <c r="Q1323" s="28">
        <v>2</v>
      </c>
      <c r="R1323" s="28">
        <v>2</v>
      </c>
      <c r="S1323" s="28">
        <v>0</v>
      </c>
      <c r="Y1323" s="26"/>
      <c r="Z1323" s="23"/>
      <c r="AA1323" s="3" t="str">
        <f t="shared" si="11"/>
        <v>___</v>
      </c>
      <c r="AB1323" s="3" t="str">
        <f t="shared" si="10"/>
        <v>____</v>
      </c>
    </row>
    <row r="1324" spans="1:29" ht="14">
      <c r="A1324" s="3">
        <v>1323</v>
      </c>
      <c r="B1324" s="29"/>
      <c r="C1324" s="30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 t="s">
        <v>39</v>
      </c>
      <c r="N1324" s="31">
        <v>115.3</v>
      </c>
      <c r="O1324" s="31">
        <v>0</v>
      </c>
      <c r="P1324" s="31">
        <v>6</v>
      </c>
      <c r="Q1324" s="31">
        <v>3</v>
      </c>
      <c r="R1324" s="31">
        <v>7</v>
      </c>
      <c r="S1324" s="31">
        <v>0</v>
      </c>
      <c r="Y1324" s="29"/>
      <c r="Z1324" s="23"/>
      <c r="AA1324" s="3" t="str">
        <f t="shared" si="11"/>
        <v>___</v>
      </c>
      <c r="AB1324" s="3" t="str">
        <f t="shared" si="10"/>
        <v>____</v>
      </c>
    </row>
    <row r="1325" spans="1:29" ht="14">
      <c r="A1325" s="3">
        <v>1324</v>
      </c>
      <c r="B1325" s="28" t="s">
        <v>183</v>
      </c>
      <c r="C1325" s="5" t="s">
        <v>184</v>
      </c>
      <c r="D1325" s="28">
        <v>26</v>
      </c>
      <c r="E1325" s="26" t="s">
        <v>163</v>
      </c>
      <c r="F1325" s="26" t="s">
        <v>34</v>
      </c>
      <c r="G1325" s="26" t="s">
        <v>185</v>
      </c>
      <c r="H1325" s="26" t="s">
        <v>40</v>
      </c>
      <c r="I1325" s="28">
        <v>1</v>
      </c>
      <c r="J1325" s="28">
        <v>15.5</v>
      </c>
      <c r="K1325" s="28">
        <v>16.899999999999999</v>
      </c>
      <c r="L1325" s="28">
        <v>4</v>
      </c>
      <c r="M1325" s="26" t="s">
        <v>36</v>
      </c>
      <c r="N1325" s="28">
        <v>90</v>
      </c>
      <c r="O1325" s="28">
        <v>3</v>
      </c>
      <c r="P1325" s="28">
        <v>6</v>
      </c>
      <c r="Q1325" s="28">
        <v>3</v>
      </c>
      <c r="R1325" s="28">
        <v>3</v>
      </c>
      <c r="S1325" s="28">
        <v>0</v>
      </c>
      <c r="Y1325" s="26" t="s">
        <v>166</v>
      </c>
      <c r="Z1325" s="23"/>
      <c r="AA1325" s="3" t="str">
        <f t="shared" si="11"/>
        <v>ANO_016_26_V3-C2_vm</v>
      </c>
      <c r="AB1325" s="3" t="str">
        <f t="shared" si="10"/>
        <v>ANO_016_26_V3-C2_vm_1</v>
      </c>
      <c r="AC1325" s="3" t="s">
        <v>37</v>
      </c>
    </row>
    <row r="1326" spans="1:29" ht="14">
      <c r="A1326" s="3">
        <v>1325</v>
      </c>
      <c r="B1326" s="28"/>
      <c r="C1326" s="5"/>
      <c r="D1326" s="28"/>
      <c r="E1326" s="26"/>
      <c r="F1326" s="26"/>
      <c r="G1326" s="26"/>
      <c r="H1326" s="26"/>
      <c r="I1326" s="28"/>
      <c r="J1326" s="28"/>
      <c r="K1326" s="28"/>
      <c r="L1326" s="28"/>
      <c r="M1326" s="26" t="s">
        <v>38</v>
      </c>
      <c r="N1326" s="28">
        <v>40.9</v>
      </c>
      <c r="O1326" s="28">
        <v>0</v>
      </c>
      <c r="P1326" s="28">
        <v>2</v>
      </c>
      <c r="Q1326" s="28">
        <v>2</v>
      </c>
      <c r="R1326" s="28">
        <v>5</v>
      </c>
      <c r="S1326" s="28">
        <v>0</v>
      </c>
      <c r="Y1326" s="26"/>
      <c r="Z1326" s="23"/>
      <c r="AA1326" s="3" t="str">
        <f t="shared" si="11"/>
        <v>___</v>
      </c>
      <c r="AB1326" s="3" t="str">
        <f t="shared" si="10"/>
        <v>____</v>
      </c>
    </row>
    <row r="1327" spans="1:29" ht="14">
      <c r="A1327" s="3">
        <v>1326</v>
      </c>
      <c r="B1327" s="29"/>
      <c r="C1327" s="30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 t="s">
        <v>39</v>
      </c>
      <c r="N1327" s="31">
        <v>19.8</v>
      </c>
      <c r="O1327" s="31">
        <v>0</v>
      </c>
      <c r="P1327" s="31">
        <v>0</v>
      </c>
      <c r="Q1327" s="31">
        <v>1</v>
      </c>
      <c r="R1327" s="31">
        <v>0</v>
      </c>
      <c r="S1327" s="31">
        <v>0</v>
      </c>
      <c r="Y1327" s="29"/>
      <c r="Z1327" s="23"/>
      <c r="AA1327" s="3" t="str">
        <f t="shared" si="11"/>
        <v>___</v>
      </c>
      <c r="AB1327" s="3" t="str">
        <f t="shared" si="10"/>
        <v>____</v>
      </c>
    </row>
    <row r="1328" spans="1:29" ht="14">
      <c r="A1328" s="3">
        <v>1327</v>
      </c>
      <c r="B1328" s="28" t="s">
        <v>183</v>
      </c>
      <c r="C1328" s="5" t="s">
        <v>184</v>
      </c>
      <c r="D1328" s="28">
        <v>26</v>
      </c>
      <c r="E1328" s="26" t="s">
        <v>163</v>
      </c>
      <c r="F1328" s="26" t="s">
        <v>34</v>
      </c>
      <c r="G1328" s="26" t="s">
        <v>185</v>
      </c>
      <c r="H1328" s="26" t="s">
        <v>40</v>
      </c>
      <c r="I1328" s="28">
        <v>2</v>
      </c>
      <c r="J1328" s="28">
        <v>22</v>
      </c>
      <c r="K1328" s="28">
        <v>22</v>
      </c>
      <c r="L1328" s="28">
        <v>6</v>
      </c>
      <c r="M1328" s="26" t="s">
        <v>36</v>
      </c>
      <c r="N1328" s="28">
        <v>80.2</v>
      </c>
      <c r="O1328" s="28">
        <v>0</v>
      </c>
      <c r="P1328" s="28">
        <v>2</v>
      </c>
      <c r="Q1328" s="28">
        <v>4</v>
      </c>
      <c r="R1328" s="28">
        <v>5</v>
      </c>
      <c r="S1328" s="28">
        <v>1</v>
      </c>
      <c r="Y1328" s="26" t="s">
        <v>166</v>
      </c>
      <c r="Z1328" s="23"/>
      <c r="AA1328" s="3" t="str">
        <f t="shared" si="11"/>
        <v>ANO_016_26_V3-C2_vm</v>
      </c>
      <c r="AB1328" s="3" t="str">
        <f t="shared" si="10"/>
        <v>ANO_016_26_V3-C2_vm_2</v>
      </c>
      <c r="AC1328" s="3" t="s">
        <v>37</v>
      </c>
    </row>
    <row r="1329" spans="1:29" ht="14">
      <c r="A1329" s="3">
        <v>1328</v>
      </c>
      <c r="B1329" s="28"/>
      <c r="C1329" s="5"/>
      <c r="D1329" s="28"/>
      <c r="E1329" s="26"/>
      <c r="F1329" s="26"/>
      <c r="G1329" s="26"/>
      <c r="H1329" s="26"/>
      <c r="I1329" s="28"/>
      <c r="J1329" s="28"/>
      <c r="K1329" s="28"/>
      <c r="L1329" s="28"/>
      <c r="M1329" s="26" t="s">
        <v>38</v>
      </c>
      <c r="N1329" s="28">
        <v>52.5</v>
      </c>
      <c r="O1329" s="28">
        <v>0</v>
      </c>
      <c r="P1329" s="28">
        <v>4</v>
      </c>
      <c r="Q1329" s="28">
        <v>1</v>
      </c>
      <c r="R1329" s="28">
        <v>5</v>
      </c>
      <c r="S1329" s="28">
        <v>1</v>
      </c>
      <c r="Y1329" s="26"/>
      <c r="Z1329" s="23"/>
      <c r="AA1329" s="3" t="str">
        <f t="shared" si="11"/>
        <v>___</v>
      </c>
      <c r="AB1329" s="3" t="str">
        <f t="shared" si="10"/>
        <v>____</v>
      </c>
    </row>
    <row r="1330" spans="1:29" ht="14">
      <c r="A1330" s="3">
        <v>1329</v>
      </c>
      <c r="B1330" s="29"/>
      <c r="C1330" s="30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 t="s">
        <v>39</v>
      </c>
      <c r="N1330" s="31">
        <v>45</v>
      </c>
      <c r="O1330" s="31">
        <v>0</v>
      </c>
      <c r="P1330" s="31">
        <v>3</v>
      </c>
      <c r="Q1330" s="31">
        <v>0</v>
      </c>
      <c r="R1330" s="31">
        <v>0</v>
      </c>
      <c r="S1330" s="31">
        <v>0</v>
      </c>
      <c r="Y1330" s="29"/>
      <c r="Z1330" s="23"/>
      <c r="AA1330" s="3" t="str">
        <f t="shared" si="11"/>
        <v>___</v>
      </c>
      <c r="AB1330" s="3" t="str">
        <f t="shared" si="10"/>
        <v>____</v>
      </c>
    </row>
    <row r="1331" spans="1:29" ht="14">
      <c r="A1331" s="3">
        <v>1330</v>
      </c>
      <c r="B1331" s="28" t="s">
        <v>183</v>
      </c>
      <c r="C1331" s="5" t="s">
        <v>184</v>
      </c>
      <c r="D1331" s="28">
        <v>26</v>
      </c>
      <c r="E1331" s="26" t="s">
        <v>163</v>
      </c>
      <c r="F1331" s="26" t="s">
        <v>34</v>
      </c>
      <c r="G1331" s="26" t="s">
        <v>185</v>
      </c>
      <c r="H1331" s="26" t="s">
        <v>40</v>
      </c>
      <c r="I1331" s="28">
        <v>3</v>
      </c>
      <c r="J1331" s="28">
        <v>21</v>
      </c>
      <c r="K1331" s="28">
        <v>23.7</v>
      </c>
      <c r="L1331" s="28">
        <v>4</v>
      </c>
      <c r="M1331" s="26" t="s">
        <v>36</v>
      </c>
      <c r="N1331" s="28">
        <v>61.3</v>
      </c>
      <c r="O1331" s="28">
        <v>5</v>
      </c>
      <c r="P1331" s="28">
        <v>6</v>
      </c>
      <c r="Q1331" s="28">
        <v>1</v>
      </c>
      <c r="R1331" s="28">
        <v>1</v>
      </c>
      <c r="S1331" s="28">
        <v>0</v>
      </c>
      <c r="Y1331" s="26" t="s">
        <v>166</v>
      </c>
      <c r="Z1331" s="23"/>
      <c r="AA1331" s="3" t="str">
        <f t="shared" si="11"/>
        <v>ANO_016_26_V3-C2_vm</v>
      </c>
      <c r="AB1331" s="3" t="str">
        <f t="shared" si="10"/>
        <v>ANO_016_26_V3-C2_vm_3</v>
      </c>
      <c r="AC1331" s="3" t="s">
        <v>37</v>
      </c>
    </row>
    <row r="1332" spans="1:29" ht="14">
      <c r="A1332" s="3">
        <v>1331</v>
      </c>
      <c r="B1332" s="28"/>
      <c r="C1332" s="5"/>
      <c r="D1332" s="28"/>
      <c r="E1332" s="26"/>
      <c r="F1332" s="26"/>
      <c r="G1332" s="26"/>
      <c r="H1332" s="26"/>
      <c r="I1332" s="28"/>
      <c r="J1332" s="28"/>
      <c r="K1332" s="28"/>
      <c r="L1332" s="28"/>
      <c r="M1332" s="26" t="s">
        <v>38</v>
      </c>
      <c r="N1332" s="28">
        <v>42.2</v>
      </c>
      <c r="O1332" s="28">
        <v>0</v>
      </c>
      <c r="P1332" s="28">
        <v>2</v>
      </c>
      <c r="Q1332" s="28">
        <v>2</v>
      </c>
      <c r="R1332" s="28">
        <v>3</v>
      </c>
      <c r="S1332" s="28">
        <v>0</v>
      </c>
      <c r="Y1332" s="26"/>
      <c r="Z1332" s="23"/>
      <c r="AA1332" s="3" t="str">
        <f t="shared" si="11"/>
        <v>___</v>
      </c>
      <c r="AB1332" s="3" t="str">
        <f t="shared" si="10"/>
        <v>____</v>
      </c>
    </row>
    <row r="1333" spans="1:29" ht="14">
      <c r="A1333" s="3">
        <v>1332</v>
      </c>
      <c r="B1333" s="29"/>
      <c r="C1333" s="30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 t="s">
        <v>39</v>
      </c>
      <c r="N1333" s="31">
        <v>43.3</v>
      </c>
      <c r="O1333" s="31">
        <v>0</v>
      </c>
      <c r="P1333" s="31">
        <v>2</v>
      </c>
      <c r="Q1333" s="31">
        <v>2</v>
      </c>
      <c r="R1333" s="31">
        <v>4</v>
      </c>
      <c r="S1333" s="31">
        <v>0</v>
      </c>
      <c r="Y1333" s="29"/>
      <c r="Z1333" s="23"/>
      <c r="AA1333" s="3" t="str">
        <f t="shared" si="11"/>
        <v>___</v>
      </c>
      <c r="AB1333" s="3" t="str">
        <f t="shared" si="10"/>
        <v>____</v>
      </c>
    </row>
    <row r="1334" spans="1:29" ht="14">
      <c r="A1334" s="3">
        <v>1333</v>
      </c>
      <c r="B1334" s="28" t="s">
        <v>183</v>
      </c>
      <c r="C1334" s="5" t="s">
        <v>184</v>
      </c>
      <c r="D1334" s="28">
        <v>53</v>
      </c>
      <c r="E1334" s="26" t="s">
        <v>163</v>
      </c>
      <c r="F1334" s="26" t="s">
        <v>34</v>
      </c>
      <c r="G1334" s="26" t="s">
        <v>185</v>
      </c>
      <c r="H1334" s="26" t="s">
        <v>40</v>
      </c>
      <c r="I1334" s="28">
        <v>1</v>
      </c>
      <c r="J1334" s="28">
        <v>17.399999999999999</v>
      </c>
      <c r="K1334" s="28">
        <v>23.8</v>
      </c>
      <c r="L1334" s="28">
        <v>4</v>
      </c>
      <c r="M1334" s="26" t="s">
        <v>36</v>
      </c>
      <c r="N1334" s="28">
        <v>100.2</v>
      </c>
      <c r="O1334" s="28">
        <v>4</v>
      </c>
      <c r="P1334" s="28">
        <v>8</v>
      </c>
      <c r="Q1334" s="28">
        <v>4</v>
      </c>
      <c r="R1334" s="28">
        <v>7</v>
      </c>
      <c r="S1334" s="28">
        <v>0</v>
      </c>
      <c r="Y1334" s="26"/>
      <c r="Z1334" s="23"/>
      <c r="AA1334" s="3" t="str">
        <f t="shared" si="11"/>
        <v>ANO_016_53_V3-C2_vm</v>
      </c>
      <c r="AB1334" s="3" t="str">
        <f t="shared" si="10"/>
        <v>ANO_016_53_V3-C2_vm_1</v>
      </c>
      <c r="AC1334" s="3" t="s">
        <v>37</v>
      </c>
    </row>
    <row r="1335" spans="1:29" ht="14">
      <c r="A1335" s="3">
        <v>1334</v>
      </c>
      <c r="B1335" s="28"/>
      <c r="C1335" s="5"/>
      <c r="D1335" s="28"/>
      <c r="E1335" s="26"/>
      <c r="F1335" s="26"/>
      <c r="G1335" s="26"/>
      <c r="H1335" s="26"/>
      <c r="I1335" s="28"/>
      <c r="J1335" s="28"/>
      <c r="K1335" s="28"/>
      <c r="L1335" s="28"/>
      <c r="M1335" s="26" t="s">
        <v>38</v>
      </c>
      <c r="N1335" s="28">
        <v>35</v>
      </c>
      <c r="O1335" s="28">
        <v>0</v>
      </c>
      <c r="P1335" s="28">
        <v>2</v>
      </c>
      <c r="Q1335" s="28">
        <v>3</v>
      </c>
      <c r="R1335" s="28">
        <v>10</v>
      </c>
      <c r="S1335" s="28">
        <v>0</v>
      </c>
      <c r="Y1335" s="26"/>
      <c r="Z1335" s="23"/>
      <c r="AA1335" s="3" t="str">
        <f t="shared" si="11"/>
        <v>___</v>
      </c>
      <c r="AB1335" s="3" t="str">
        <f t="shared" si="10"/>
        <v>____</v>
      </c>
    </row>
    <row r="1336" spans="1:29" ht="14">
      <c r="A1336" s="3">
        <v>1335</v>
      </c>
      <c r="B1336" s="29"/>
      <c r="C1336" s="30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 t="s">
        <v>39</v>
      </c>
      <c r="N1336" s="31">
        <v>20.9</v>
      </c>
      <c r="O1336" s="31">
        <v>0</v>
      </c>
      <c r="P1336" s="31">
        <v>2</v>
      </c>
      <c r="Q1336" s="31">
        <v>1</v>
      </c>
      <c r="R1336" s="31">
        <v>0</v>
      </c>
      <c r="S1336" s="31">
        <v>0</v>
      </c>
      <c r="Y1336" s="29"/>
      <c r="Z1336" s="23"/>
      <c r="AA1336" s="3" t="str">
        <f t="shared" si="11"/>
        <v>___</v>
      </c>
      <c r="AB1336" s="3" t="str">
        <f t="shared" si="10"/>
        <v>____</v>
      </c>
    </row>
    <row r="1337" spans="1:29" ht="14">
      <c r="A1337" s="3">
        <v>1336</v>
      </c>
      <c r="B1337" s="28" t="s">
        <v>183</v>
      </c>
      <c r="C1337" s="5" t="s">
        <v>184</v>
      </c>
      <c r="D1337" s="28">
        <v>53</v>
      </c>
      <c r="E1337" s="26" t="s">
        <v>163</v>
      </c>
      <c r="F1337" s="26" t="s">
        <v>34</v>
      </c>
      <c r="G1337" s="26" t="s">
        <v>185</v>
      </c>
      <c r="H1337" s="26" t="s">
        <v>40</v>
      </c>
      <c r="I1337" s="28">
        <v>2</v>
      </c>
      <c r="J1337" s="28">
        <v>26.4</v>
      </c>
      <c r="K1337" s="28">
        <v>32.200000000000003</v>
      </c>
      <c r="L1337" s="28">
        <v>5</v>
      </c>
      <c r="M1337" s="26" t="s">
        <v>36</v>
      </c>
      <c r="N1337" s="28">
        <v>115.1</v>
      </c>
      <c r="O1337" s="28">
        <v>2</v>
      </c>
      <c r="P1337" s="28">
        <v>6</v>
      </c>
      <c r="Q1337" s="28">
        <v>2</v>
      </c>
      <c r="R1337" s="28">
        <v>2</v>
      </c>
      <c r="S1337" s="28">
        <v>1</v>
      </c>
      <c r="Y1337" s="26"/>
      <c r="Z1337" s="23"/>
      <c r="AA1337" s="3" t="str">
        <f t="shared" si="11"/>
        <v>ANO_016_53_V3-C2_vm</v>
      </c>
      <c r="AB1337" s="3" t="str">
        <f t="shared" si="10"/>
        <v>ANO_016_53_V3-C2_vm_2</v>
      </c>
      <c r="AC1337" s="3" t="s">
        <v>37</v>
      </c>
    </row>
    <row r="1338" spans="1:29" ht="14">
      <c r="A1338" s="3">
        <v>1337</v>
      </c>
      <c r="B1338" s="28"/>
      <c r="C1338" s="5"/>
      <c r="D1338" s="28"/>
      <c r="E1338" s="26"/>
      <c r="F1338" s="26"/>
      <c r="G1338" s="26"/>
      <c r="H1338" s="26"/>
      <c r="I1338" s="28"/>
      <c r="J1338" s="28"/>
      <c r="K1338" s="28"/>
      <c r="L1338" s="28"/>
      <c r="M1338" s="26" t="s">
        <v>38</v>
      </c>
      <c r="N1338" s="28">
        <v>70.5</v>
      </c>
      <c r="O1338" s="28">
        <v>0</v>
      </c>
      <c r="P1338" s="28">
        <v>4</v>
      </c>
      <c r="Q1338" s="28">
        <v>3</v>
      </c>
      <c r="R1338" s="28">
        <v>11</v>
      </c>
      <c r="S1338" s="28">
        <v>0</v>
      </c>
      <c r="Y1338" s="26"/>
      <c r="Z1338" s="23"/>
      <c r="AA1338" s="3" t="str">
        <f t="shared" si="11"/>
        <v>___</v>
      </c>
      <c r="AB1338" s="3" t="str">
        <f t="shared" si="10"/>
        <v>____</v>
      </c>
    </row>
    <row r="1339" spans="1:29" ht="14">
      <c r="A1339" s="3">
        <v>1338</v>
      </c>
      <c r="B1339" s="29"/>
      <c r="C1339" s="30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 t="s">
        <v>39</v>
      </c>
      <c r="N1339" s="31">
        <v>70.2</v>
      </c>
      <c r="O1339" s="31">
        <v>0</v>
      </c>
      <c r="P1339" s="31">
        <v>3</v>
      </c>
      <c r="Q1339" s="31">
        <v>0</v>
      </c>
      <c r="R1339" s="31">
        <v>0</v>
      </c>
      <c r="S1339" s="31">
        <v>0</v>
      </c>
      <c r="Y1339" s="29"/>
      <c r="Z1339" s="23"/>
      <c r="AA1339" s="3" t="str">
        <f t="shared" si="11"/>
        <v>___</v>
      </c>
      <c r="AB1339" s="3" t="str">
        <f t="shared" si="10"/>
        <v>____</v>
      </c>
    </row>
    <row r="1340" spans="1:29" ht="14">
      <c r="A1340" s="3">
        <v>1339</v>
      </c>
      <c r="B1340" s="28" t="s">
        <v>183</v>
      </c>
      <c r="C1340" s="5" t="s">
        <v>184</v>
      </c>
      <c r="D1340" s="28">
        <v>53</v>
      </c>
      <c r="E1340" s="26" t="s">
        <v>163</v>
      </c>
      <c r="F1340" s="26" t="s">
        <v>34</v>
      </c>
      <c r="G1340" s="26" t="s">
        <v>185</v>
      </c>
      <c r="H1340" s="26" t="s">
        <v>40</v>
      </c>
      <c r="I1340" s="28">
        <v>3</v>
      </c>
      <c r="J1340" s="28">
        <v>22</v>
      </c>
      <c r="K1340" s="28">
        <v>37.4</v>
      </c>
      <c r="L1340" s="28">
        <v>5</v>
      </c>
      <c r="M1340" s="26" t="s">
        <v>36</v>
      </c>
      <c r="N1340" s="28">
        <v>150.30000000000001</v>
      </c>
      <c r="O1340" s="28">
        <v>5</v>
      </c>
      <c r="P1340" s="28">
        <v>12</v>
      </c>
      <c r="Q1340" s="28">
        <v>3</v>
      </c>
      <c r="R1340" s="28">
        <v>3</v>
      </c>
      <c r="S1340" s="28">
        <v>0</v>
      </c>
      <c r="Y1340" s="26"/>
      <c r="Z1340" s="23"/>
      <c r="AA1340" s="3" t="str">
        <f t="shared" si="11"/>
        <v>ANO_016_53_V3-C2_vm</v>
      </c>
      <c r="AB1340" s="3" t="str">
        <f t="shared" si="10"/>
        <v>ANO_016_53_V3-C2_vm_3</v>
      </c>
      <c r="AC1340" s="3" t="s">
        <v>37</v>
      </c>
    </row>
    <row r="1341" spans="1:29" ht="14">
      <c r="A1341" s="3">
        <v>1340</v>
      </c>
      <c r="B1341" s="28"/>
      <c r="C1341" s="5"/>
      <c r="D1341" s="28"/>
      <c r="E1341" s="26"/>
      <c r="F1341" s="26"/>
      <c r="G1341" s="26"/>
      <c r="H1341" s="26"/>
      <c r="I1341" s="28"/>
      <c r="J1341" s="28"/>
      <c r="K1341" s="28"/>
      <c r="L1341" s="28"/>
      <c r="M1341" s="26" t="s">
        <v>38</v>
      </c>
      <c r="N1341" s="28">
        <v>65.400000000000006</v>
      </c>
      <c r="O1341" s="28">
        <v>0</v>
      </c>
      <c r="P1341" s="28">
        <v>2</v>
      </c>
      <c r="Q1341" s="28">
        <v>2</v>
      </c>
      <c r="R1341" s="28">
        <v>8</v>
      </c>
      <c r="S1341" s="28">
        <v>1</v>
      </c>
      <c r="Y1341" s="26"/>
      <c r="Z1341" s="23"/>
      <c r="AA1341" s="3" t="str">
        <f t="shared" si="11"/>
        <v>___</v>
      </c>
      <c r="AB1341" s="3" t="str">
        <f t="shared" si="10"/>
        <v>____</v>
      </c>
    </row>
    <row r="1342" spans="1:29" ht="14">
      <c r="A1342" s="3">
        <v>1341</v>
      </c>
      <c r="B1342" s="29"/>
      <c r="C1342" s="30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 t="s">
        <v>39</v>
      </c>
      <c r="N1342" s="31">
        <v>55.6</v>
      </c>
      <c r="O1342" s="31">
        <v>0</v>
      </c>
      <c r="P1342" s="31">
        <v>4</v>
      </c>
      <c r="Q1342" s="31">
        <v>2</v>
      </c>
      <c r="R1342" s="31">
        <v>5</v>
      </c>
      <c r="S1342" s="31">
        <v>0</v>
      </c>
      <c r="Y1342" s="29"/>
      <c r="Z1342" s="23"/>
      <c r="AA1342" s="3" t="str">
        <f t="shared" si="11"/>
        <v>___</v>
      </c>
      <c r="AB1342" s="3" t="str">
        <f t="shared" si="10"/>
        <v>____</v>
      </c>
    </row>
    <row r="1343" spans="1:29" ht="14">
      <c r="A1343" s="3">
        <v>1342</v>
      </c>
      <c r="B1343" s="28" t="s">
        <v>183</v>
      </c>
      <c r="C1343" s="5" t="s">
        <v>186</v>
      </c>
      <c r="D1343" s="28">
        <v>26</v>
      </c>
      <c r="E1343" s="26" t="s">
        <v>163</v>
      </c>
      <c r="F1343" s="26" t="s">
        <v>34</v>
      </c>
      <c r="G1343" s="26" t="s">
        <v>144</v>
      </c>
      <c r="H1343" s="26" t="s">
        <v>40</v>
      </c>
      <c r="I1343" s="28">
        <v>1</v>
      </c>
      <c r="J1343" s="28">
        <v>24.5</v>
      </c>
      <c r="K1343" s="28">
        <v>29.8</v>
      </c>
      <c r="L1343" s="28">
        <v>5</v>
      </c>
      <c r="M1343" s="26" t="s">
        <v>36</v>
      </c>
      <c r="N1343" s="28">
        <v>100.5</v>
      </c>
      <c r="O1343" s="28">
        <v>0</v>
      </c>
      <c r="P1343" s="28">
        <v>7</v>
      </c>
      <c r="Q1343" s="28">
        <v>5</v>
      </c>
      <c r="R1343" s="28">
        <v>5</v>
      </c>
      <c r="S1343" s="28">
        <v>1</v>
      </c>
      <c r="Y1343" s="26" t="s">
        <v>166</v>
      </c>
      <c r="Z1343" s="32"/>
      <c r="AA1343" s="3" t="str">
        <f t="shared" si="11"/>
        <v>ANO_1393_26_V1-C5_vm</v>
      </c>
      <c r="AB1343" s="3" t="str">
        <f t="shared" si="10"/>
        <v>ANO_1393_26_V1-C5_vm_1</v>
      </c>
      <c r="AC1343" s="3" t="s">
        <v>37</v>
      </c>
    </row>
    <row r="1344" spans="1:29" ht="14">
      <c r="A1344" s="3">
        <v>1343</v>
      </c>
      <c r="B1344" s="28"/>
      <c r="C1344" s="5"/>
      <c r="D1344" s="28"/>
      <c r="E1344" s="26"/>
      <c r="F1344" s="26"/>
      <c r="G1344" s="26"/>
      <c r="H1344" s="26"/>
      <c r="I1344" s="28"/>
      <c r="J1344" s="28"/>
      <c r="K1344" s="28"/>
      <c r="L1344" s="28"/>
      <c r="M1344" s="26" t="s">
        <v>38</v>
      </c>
      <c r="N1344" s="28">
        <v>110.9</v>
      </c>
      <c r="O1344" s="28">
        <v>0</v>
      </c>
      <c r="P1344" s="28">
        <v>6</v>
      </c>
      <c r="Q1344" s="28">
        <v>2</v>
      </c>
      <c r="R1344" s="28">
        <v>11</v>
      </c>
      <c r="S1344" s="28">
        <v>0</v>
      </c>
      <c r="Y1344" s="26"/>
      <c r="Z1344" s="23"/>
      <c r="AA1344" s="3" t="str">
        <f t="shared" si="11"/>
        <v>___</v>
      </c>
      <c r="AB1344" s="3" t="str">
        <f t="shared" si="10"/>
        <v>____</v>
      </c>
    </row>
    <row r="1345" spans="1:29" ht="14">
      <c r="A1345" s="3">
        <v>1344</v>
      </c>
      <c r="B1345" s="29"/>
      <c r="C1345" s="30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 t="s">
        <v>39</v>
      </c>
      <c r="N1345" s="31">
        <v>45.5</v>
      </c>
      <c r="O1345" s="31">
        <v>0</v>
      </c>
      <c r="P1345" s="31">
        <v>2</v>
      </c>
      <c r="Q1345" s="31">
        <v>0</v>
      </c>
      <c r="R1345" s="31">
        <v>0</v>
      </c>
      <c r="S1345" s="31">
        <v>0</v>
      </c>
      <c r="Y1345" s="29"/>
      <c r="Z1345" s="23"/>
      <c r="AA1345" s="3" t="str">
        <f t="shared" si="11"/>
        <v>___</v>
      </c>
      <c r="AB1345" s="3" t="str">
        <f t="shared" si="10"/>
        <v>____</v>
      </c>
    </row>
    <row r="1346" spans="1:29" ht="14">
      <c r="A1346" s="3">
        <v>1345</v>
      </c>
      <c r="B1346" s="28" t="s">
        <v>183</v>
      </c>
      <c r="C1346" s="5" t="s">
        <v>186</v>
      </c>
      <c r="D1346" s="28">
        <v>26</v>
      </c>
      <c r="E1346" s="26" t="s">
        <v>163</v>
      </c>
      <c r="F1346" s="26" t="s">
        <v>34</v>
      </c>
      <c r="G1346" s="26" t="s">
        <v>144</v>
      </c>
      <c r="H1346" s="26" t="s">
        <v>40</v>
      </c>
      <c r="I1346" s="28">
        <v>2</v>
      </c>
      <c r="J1346" s="28">
        <v>16</v>
      </c>
      <c r="K1346" s="28">
        <v>25.8</v>
      </c>
      <c r="L1346" s="28">
        <v>4</v>
      </c>
      <c r="M1346" s="26" t="s">
        <v>36</v>
      </c>
      <c r="N1346" s="28">
        <v>70.8</v>
      </c>
      <c r="O1346" s="28">
        <v>0</v>
      </c>
      <c r="P1346" s="28">
        <v>2</v>
      </c>
      <c r="Q1346" s="28">
        <v>4</v>
      </c>
      <c r="R1346" s="28">
        <v>4</v>
      </c>
      <c r="S1346" s="28">
        <v>0</v>
      </c>
      <c r="Y1346" s="26" t="s">
        <v>187</v>
      </c>
      <c r="Z1346" s="23"/>
      <c r="AA1346" s="3" t="str">
        <f t="shared" si="11"/>
        <v>ANO_1393_26_V1-C5_vm</v>
      </c>
      <c r="AB1346" s="3" t="str">
        <f t="shared" si="10"/>
        <v>ANO_1393_26_V1-C5_vm_2</v>
      </c>
      <c r="AC1346" s="3" t="s">
        <v>37</v>
      </c>
    </row>
    <row r="1347" spans="1:29" ht="14">
      <c r="A1347" s="3">
        <v>1346</v>
      </c>
      <c r="B1347" s="28"/>
      <c r="C1347" s="5"/>
      <c r="D1347" s="28"/>
      <c r="E1347" s="26"/>
      <c r="F1347" s="26"/>
      <c r="G1347" s="26"/>
      <c r="H1347" s="26"/>
      <c r="I1347" s="28"/>
      <c r="J1347" s="28"/>
      <c r="K1347" s="28"/>
      <c r="L1347" s="28"/>
      <c r="M1347" s="26" t="s">
        <v>38</v>
      </c>
      <c r="N1347" s="28">
        <v>104.5</v>
      </c>
      <c r="O1347" s="28">
        <v>0</v>
      </c>
      <c r="P1347" s="28">
        <v>2</v>
      </c>
      <c r="Q1347" s="28">
        <v>7</v>
      </c>
      <c r="R1347" s="28">
        <v>22</v>
      </c>
      <c r="S1347" s="28">
        <v>0</v>
      </c>
      <c r="Y1347" s="26"/>
      <c r="Z1347" s="23"/>
      <c r="AA1347" s="3" t="str">
        <f t="shared" si="11"/>
        <v>___</v>
      </c>
      <c r="AB1347" s="3" t="str">
        <f t="shared" si="10"/>
        <v>____</v>
      </c>
    </row>
    <row r="1348" spans="1:29" ht="14">
      <c r="A1348" s="3">
        <v>1347</v>
      </c>
      <c r="B1348" s="29"/>
      <c r="C1348" s="30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 t="s">
        <v>39</v>
      </c>
      <c r="N1348" s="31">
        <v>25.1</v>
      </c>
      <c r="O1348" s="31">
        <v>0</v>
      </c>
      <c r="P1348" s="31">
        <v>1</v>
      </c>
      <c r="Q1348" s="31">
        <v>0</v>
      </c>
      <c r="R1348" s="31">
        <v>0</v>
      </c>
      <c r="S1348" s="31">
        <v>0</v>
      </c>
      <c r="Y1348" s="29"/>
      <c r="Z1348" s="23"/>
      <c r="AA1348" s="3" t="str">
        <f t="shared" si="11"/>
        <v>___</v>
      </c>
      <c r="AB1348" s="3" t="str">
        <f t="shared" si="10"/>
        <v>____</v>
      </c>
    </row>
    <row r="1349" spans="1:29" ht="14">
      <c r="A1349" s="3">
        <v>1348</v>
      </c>
      <c r="B1349" s="28" t="s">
        <v>183</v>
      </c>
      <c r="C1349" s="5" t="s">
        <v>186</v>
      </c>
      <c r="D1349" s="28">
        <v>26</v>
      </c>
      <c r="E1349" s="26" t="s">
        <v>163</v>
      </c>
      <c r="F1349" s="26" t="s">
        <v>34</v>
      </c>
      <c r="G1349" s="26" t="s">
        <v>144</v>
      </c>
      <c r="H1349" s="26" t="s">
        <v>40</v>
      </c>
      <c r="I1349" s="28">
        <v>3</v>
      </c>
      <c r="J1349" s="28">
        <v>29.2</v>
      </c>
      <c r="K1349" s="28">
        <v>31.3</v>
      </c>
      <c r="L1349" s="28">
        <v>4</v>
      </c>
      <c r="M1349" s="26" t="s">
        <v>36</v>
      </c>
      <c r="N1349" s="28">
        <v>150.19999999999999</v>
      </c>
      <c r="O1349" s="28">
        <v>6</v>
      </c>
      <c r="P1349" s="28">
        <v>8</v>
      </c>
      <c r="Q1349" s="28">
        <v>4</v>
      </c>
      <c r="R1349" s="28">
        <v>4</v>
      </c>
      <c r="S1349" s="28">
        <v>0</v>
      </c>
      <c r="Y1349" s="26" t="s">
        <v>188</v>
      </c>
      <c r="Z1349" s="23"/>
      <c r="AA1349" s="3" t="str">
        <f t="shared" si="11"/>
        <v>ANO_1393_26_V1-C5_vm</v>
      </c>
      <c r="AB1349" s="3" t="str">
        <f t="shared" si="10"/>
        <v>ANO_1393_26_V1-C5_vm_3</v>
      </c>
      <c r="AC1349" s="3" t="s">
        <v>49</v>
      </c>
    </row>
    <row r="1350" spans="1:29" ht="14">
      <c r="A1350" s="3">
        <v>1349</v>
      </c>
      <c r="B1350" s="28"/>
      <c r="C1350" s="5"/>
      <c r="D1350" s="28"/>
      <c r="E1350" s="26"/>
      <c r="F1350" s="26"/>
      <c r="G1350" s="26"/>
      <c r="H1350" s="26"/>
      <c r="I1350" s="28"/>
      <c r="J1350" s="28"/>
      <c r="K1350" s="28"/>
      <c r="L1350" s="28"/>
      <c r="M1350" s="26" t="s">
        <v>38</v>
      </c>
      <c r="N1350" s="28">
        <v>70.900000000000006</v>
      </c>
      <c r="O1350" s="28">
        <v>0</v>
      </c>
      <c r="P1350" s="28">
        <v>5</v>
      </c>
      <c r="Q1350" s="28">
        <v>4</v>
      </c>
      <c r="R1350" s="28">
        <v>12</v>
      </c>
      <c r="S1350" s="28">
        <v>0</v>
      </c>
      <c r="Y1350" s="26"/>
      <c r="Z1350" s="23"/>
      <c r="AA1350" s="3" t="str">
        <f t="shared" si="11"/>
        <v>___</v>
      </c>
      <c r="AB1350" s="3" t="str">
        <f t="shared" si="10"/>
        <v>____</v>
      </c>
    </row>
    <row r="1351" spans="1:29" ht="14">
      <c r="A1351" s="3">
        <v>1350</v>
      </c>
      <c r="B1351" s="29"/>
      <c r="C1351" s="30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 t="s">
        <v>39</v>
      </c>
      <c r="N1351" s="31">
        <v>29.8</v>
      </c>
      <c r="O1351" s="31">
        <v>0</v>
      </c>
      <c r="P1351" s="31">
        <v>0</v>
      </c>
      <c r="Q1351" s="31">
        <v>1</v>
      </c>
      <c r="R1351" s="31">
        <v>0</v>
      </c>
      <c r="S1351" s="31">
        <v>0</v>
      </c>
      <c r="Y1351" s="29"/>
      <c r="Z1351" s="23"/>
      <c r="AA1351" s="3" t="str">
        <f t="shared" si="11"/>
        <v>___</v>
      </c>
      <c r="AB1351" s="3" t="str">
        <f t="shared" si="10"/>
        <v>____</v>
      </c>
    </row>
    <row r="1352" spans="1:29" ht="14">
      <c r="A1352" s="3">
        <v>1351</v>
      </c>
      <c r="B1352" s="28" t="s">
        <v>183</v>
      </c>
      <c r="C1352" s="5" t="s">
        <v>186</v>
      </c>
      <c r="D1352" s="28">
        <v>15</v>
      </c>
      <c r="E1352" s="26" t="s">
        <v>163</v>
      </c>
      <c r="F1352" s="26" t="s">
        <v>180</v>
      </c>
      <c r="G1352" s="26" t="s">
        <v>136</v>
      </c>
      <c r="H1352" s="26" t="s">
        <v>40</v>
      </c>
      <c r="I1352" s="28">
        <v>1</v>
      </c>
      <c r="J1352" s="28">
        <v>22</v>
      </c>
      <c r="K1352" s="28">
        <v>23.5</v>
      </c>
      <c r="L1352" s="28">
        <v>4</v>
      </c>
      <c r="M1352" s="26" t="s">
        <v>36</v>
      </c>
      <c r="N1352" s="28">
        <v>55.5</v>
      </c>
      <c r="O1352" s="28">
        <v>0</v>
      </c>
      <c r="P1352" s="28">
        <v>1</v>
      </c>
      <c r="Q1352" s="28">
        <v>4</v>
      </c>
      <c r="R1352" s="28">
        <v>4</v>
      </c>
      <c r="S1352" s="28">
        <v>0</v>
      </c>
      <c r="Y1352" s="26" t="s">
        <v>166</v>
      </c>
      <c r="Z1352" s="23"/>
      <c r="AA1352" s="3" t="str">
        <f t="shared" si="11"/>
        <v>ANO_1393_15_T4-C1_vm</v>
      </c>
      <c r="AB1352" s="3" t="str">
        <f t="shared" si="10"/>
        <v>ANO_1393_15_T4-C1_vm_1</v>
      </c>
      <c r="AC1352" s="3" t="s">
        <v>37</v>
      </c>
    </row>
    <row r="1353" spans="1:29" ht="14">
      <c r="A1353" s="3">
        <v>1352</v>
      </c>
      <c r="B1353" s="28"/>
      <c r="C1353" s="5"/>
      <c r="D1353" s="28"/>
      <c r="E1353" s="26"/>
      <c r="F1353" s="26"/>
      <c r="G1353" s="26"/>
      <c r="H1353" s="26"/>
      <c r="I1353" s="28"/>
      <c r="J1353" s="28"/>
      <c r="K1353" s="28"/>
      <c r="L1353" s="28"/>
      <c r="M1353" s="26" t="s">
        <v>38</v>
      </c>
      <c r="N1353" s="28">
        <v>55.2</v>
      </c>
      <c r="O1353" s="28">
        <v>0</v>
      </c>
      <c r="P1353" s="28">
        <v>2</v>
      </c>
      <c r="Q1353" s="28">
        <v>2</v>
      </c>
      <c r="R1353" s="28">
        <v>2</v>
      </c>
      <c r="S1353" s="28">
        <v>0</v>
      </c>
      <c r="Y1353" s="26"/>
      <c r="Z1353" s="23"/>
      <c r="AA1353" s="3" t="str">
        <f t="shared" si="11"/>
        <v>___</v>
      </c>
      <c r="AB1353" s="3" t="str">
        <f t="shared" si="10"/>
        <v>____</v>
      </c>
    </row>
    <row r="1354" spans="1:29" ht="14">
      <c r="A1354" s="3">
        <v>1353</v>
      </c>
      <c r="B1354" s="29"/>
      <c r="C1354" s="30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 t="s">
        <v>39</v>
      </c>
      <c r="N1354" s="31">
        <v>59.8</v>
      </c>
      <c r="O1354" s="31">
        <v>0</v>
      </c>
      <c r="P1354" s="31">
        <v>5</v>
      </c>
      <c r="Q1354" s="31">
        <v>5</v>
      </c>
      <c r="R1354" s="31">
        <v>17</v>
      </c>
      <c r="S1354" s="31">
        <v>0</v>
      </c>
      <c r="Y1354" s="29"/>
      <c r="Z1354" s="23"/>
      <c r="AA1354" s="3" t="str">
        <f t="shared" si="11"/>
        <v>___</v>
      </c>
      <c r="AB1354" s="3" t="str">
        <f t="shared" si="10"/>
        <v>____</v>
      </c>
    </row>
    <row r="1355" spans="1:29" ht="14">
      <c r="A1355" s="3">
        <v>1354</v>
      </c>
      <c r="B1355" s="28" t="s">
        <v>183</v>
      </c>
      <c r="C1355" s="5" t="s">
        <v>186</v>
      </c>
      <c r="D1355" s="28">
        <v>15</v>
      </c>
      <c r="E1355" s="26" t="s">
        <v>163</v>
      </c>
      <c r="F1355" s="26" t="s">
        <v>180</v>
      </c>
      <c r="G1355" s="26" t="s">
        <v>136</v>
      </c>
      <c r="H1355" s="26" t="s">
        <v>40</v>
      </c>
      <c r="I1355" s="28">
        <v>2</v>
      </c>
      <c r="J1355" s="28">
        <v>29.4</v>
      </c>
      <c r="K1355" s="28">
        <v>33.799999999999997</v>
      </c>
      <c r="L1355" s="28">
        <v>4</v>
      </c>
      <c r="M1355" s="26" t="s">
        <v>36</v>
      </c>
      <c r="N1355" s="28">
        <v>62.3</v>
      </c>
      <c r="O1355" s="28">
        <v>0</v>
      </c>
      <c r="P1355" s="28">
        <v>2</v>
      </c>
      <c r="Q1355" s="28">
        <v>3</v>
      </c>
      <c r="R1355" s="28">
        <v>3</v>
      </c>
      <c r="S1355" s="28">
        <v>0</v>
      </c>
      <c r="Y1355" s="26" t="s">
        <v>166</v>
      </c>
      <c r="Z1355" s="23"/>
      <c r="AA1355" s="3" t="str">
        <f t="shared" si="11"/>
        <v>ANO_1393_15_T4-C1_vm</v>
      </c>
      <c r="AB1355" s="3" t="str">
        <f t="shared" si="10"/>
        <v>ANO_1393_15_T4-C1_vm_2</v>
      </c>
      <c r="AC1355" s="3" t="s">
        <v>37</v>
      </c>
    </row>
    <row r="1356" spans="1:29" ht="14">
      <c r="A1356" s="3">
        <v>1355</v>
      </c>
      <c r="B1356" s="28"/>
      <c r="C1356" s="5"/>
      <c r="D1356" s="28"/>
      <c r="E1356" s="26"/>
      <c r="F1356" s="26"/>
      <c r="G1356" s="26"/>
      <c r="H1356" s="26"/>
      <c r="I1356" s="28"/>
      <c r="J1356" s="28"/>
      <c r="K1356" s="28"/>
      <c r="L1356" s="28"/>
      <c r="M1356" s="26" t="s">
        <v>38</v>
      </c>
      <c r="N1356" s="28">
        <v>84.2</v>
      </c>
      <c r="O1356" s="28">
        <v>0</v>
      </c>
      <c r="P1356" s="28">
        <v>4</v>
      </c>
      <c r="Q1356" s="28">
        <v>5</v>
      </c>
      <c r="R1356" s="28">
        <v>30</v>
      </c>
      <c r="S1356" s="28">
        <v>0</v>
      </c>
      <c r="Y1356" s="26"/>
      <c r="Z1356" s="23"/>
      <c r="AA1356" s="3" t="str">
        <f t="shared" si="11"/>
        <v>___</v>
      </c>
      <c r="AB1356" s="3" t="str">
        <f t="shared" si="10"/>
        <v>____</v>
      </c>
    </row>
    <row r="1357" spans="1:29" ht="14">
      <c r="A1357" s="3">
        <v>1356</v>
      </c>
      <c r="B1357" s="29"/>
      <c r="C1357" s="30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 t="s">
        <v>39</v>
      </c>
      <c r="N1357" s="31">
        <v>92.4</v>
      </c>
      <c r="O1357" s="31">
        <v>0</v>
      </c>
      <c r="P1357" s="31">
        <v>2</v>
      </c>
      <c r="Q1357" s="31">
        <v>3</v>
      </c>
      <c r="R1357" s="31">
        <v>19</v>
      </c>
      <c r="S1357" s="31">
        <v>0</v>
      </c>
      <c r="Y1357" s="29"/>
      <c r="Z1357" s="23"/>
      <c r="AA1357" s="3" t="str">
        <f t="shared" si="11"/>
        <v>___</v>
      </c>
      <c r="AB1357" s="3" t="str">
        <f t="shared" si="10"/>
        <v>____</v>
      </c>
    </row>
    <row r="1358" spans="1:29" ht="14">
      <c r="A1358" s="3">
        <v>1357</v>
      </c>
      <c r="B1358" s="28" t="s">
        <v>183</v>
      </c>
      <c r="C1358" s="5" t="s">
        <v>186</v>
      </c>
      <c r="D1358" s="28">
        <v>15</v>
      </c>
      <c r="E1358" s="26" t="s">
        <v>163</v>
      </c>
      <c r="F1358" s="26" t="s">
        <v>180</v>
      </c>
      <c r="G1358" s="26" t="s">
        <v>136</v>
      </c>
      <c r="H1358" s="26" t="s">
        <v>40</v>
      </c>
      <c r="I1358" s="28">
        <v>3</v>
      </c>
      <c r="J1358" s="28">
        <v>26.3</v>
      </c>
      <c r="K1358" s="28">
        <v>30</v>
      </c>
      <c r="L1358" s="28">
        <v>4</v>
      </c>
      <c r="M1358" s="26" t="s">
        <v>36</v>
      </c>
      <c r="N1358" s="28">
        <v>140.5</v>
      </c>
      <c r="O1358" s="28">
        <v>7</v>
      </c>
      <c r="P1358" s="28">
        <v>11</v>
      </c>
      <c r="Q1358" s="28">
        <v>4</v>
      </c>
      <c r="R1358" s="28">
        <v>4</v>
      </c>
      <c r="S1358" s="28">
        <v>0</v>
      </c>
      <c r="Y1358" s="26" t="s">
        <v>166</v>
      </c>
      <c r="Z1358" s="23"/>
      <c r="AA1358" s="3" t="str">
        <f t="shared" si="11"/>
        <v>ANO_1393_15_T4-C1_vm</v>
      </c>
      <c r="AB1358" s="3" t="str">
        <f t="shared" si="10"/>
        <v>ANO_1393_15_T4-C1_vm_3</v>
      </c>
      <c r="AC1358" s="3" t="s">
        <v>37</v>
      </c>
    </row>
    <row r="1359" spans="1:29" ht="14">
      <c r="A1359" s="3">
        <v>1358</v>
      </c>
      <c r="B1359" s="28"/>
      <c r="C1359" s="5"/>
      <c r="D1359" s="28"/>
      <c r="E1359" s="26"/>
      <c r="F1359" s="26"/>
      <c r="G1359" s="26"/>
      <c r="H1359" s="26"/>
      <c r="I1359" s="28"/>
      <c r="J1359" s="28"/>
      <c r="K1359" s="28"/>
      <c r="L1359" s="28"/>
      <c r="M1359" s="26" t="s">
        <v>38</v>
      </c>
      <c r="N1359" s="28">
        <v>80.900000000000006</v>
      </c>
      <c r="O1359" s="28">
        <v>0</v>
      </c>
      <c r="P1359" s="28">
        <v>2</v>
      </c>
      <c r="Q1359" s="28">
        <v>3</v>
      </c>
      <c r="R1359" s="28">
        <v>17</v>
      </c>
      <c r="S1359" s="28">
        <v>0</v>
      </c>
      <c r="Y1359" s="26"/>
      <c r="Z1359" s="23"/>
      <c r="AA1359" s="3" t="str">
        <f t="shared" si="11"/>
        <v>___</v>
      </c>
      <c r="AB1359" s="3" t="str">
        <f t="shared" si="10"/>
        <v>____</v>
      </c>
    </row>
    <row r="1360" spans="1:29" ht="14">
      <c r="A1360" s="3">
        <v>1359</v>
      </c>
      <c r="B1360" s="29"/>
      <c r="C1360" s="30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 t="s">
        <v>39</v>
      </c>
      <c r="N1360" s="31">
        <v>24.5</v>
      </c>
      <c r="O1360" s="31">
        <v>0</v>
      </c>
      <c r="P1360" s="31">
        <v>0</v>
      </c>
      <c r="Q1360" s="31">
        <v>0</v>
      </c>
      <c r="R1360" s="31">
        <v>0</v>
      </c>
      <c r="S1360" s="31">
        <v>0</v>
      </c>
      <c r="Y1360" s="29"/>
      <c r="Z1360" s="23"/>
      <c r="AA1360" s="3" t="str">
        <f t="shared" si="11"/>
        <v>___</v>
      </c>
      <c r="AB1360" s="3" t="str">
        <f t="shared" si="10"/>
        <v>____</v>
      </c>
    </row>
    <row r="1361" spans="1:29" ht="14">
      <c r="A1361" s="3">
        <v>1360</v>
      </c>
      <c r="B1361" s="28" t="s">
        <v>183</v>
      </c>
      <c r="C1361" s="5" t="s">
        <v>186</v>
      </c>
      <c r="D1361" s="28">
        <v>26</v>
      </c>
      <c r="E1361" s="26" t="s">
        <v>163</v>
      </c>
      <c r="F1361" s="26" t="s">
        <v>34</v>
      </c>
      <c r="G1361" s="26" t="s">
        <v>144</v>
      </c>
      <c r="H1361" s="26" t="s">
        <v>35</v>
      </c>
      <c r="I1361" s="28">
        <v>1</v>
      </c>
      <c r="J1361" s="28">
        <v>6.5</v>
      </c>
      <c r="K1361" s="28">
        <v>13.5</v>
      </c>
      <c r="L1361" s="28">
        <v>4</v>
      </c>
      <c r="M1361" s="26" t="s">
        <v>36</v>
      </c>
      <c r="N1361" s="28">
        <v>35.4</v>
      </c>
      <c r="O1361" s="28">
        <v>16</v>
      </c>
      <c r="P1361" s="28">
        <v>16</v>
      </c>
      <c r="Q1361" s="28">
        <v>0</v>
      </c>
      <c r="R1361" s="28">
        <v>0</v>
      </c>
      <c r="S1361" s="28">
        <v>0</v>
      </c>
      <c r="Y1361" s="26"/>
      <c r="Z1361" s="23"/>
      <c r="AA1361" s="3" t="str">
        <f t="shared" si="11"/>
        <v>ANO_1393_26_V1-C5_vv</v>
      </c>
      <c r="AB1361" s="3" t="str">
        <f t="shared" si="10"/>
        <v>ANO_1393_26_V1-C5_vv_1</v>
      </c>
      <c r="AC1361" s="3" t="s">
        <v>37</v>
      </c>
    </row>
    <row r="1362" spans="1:29" ht="14">
      <c r="A1362" s="3">
        <v>1361</v>
      </c>
      <c r="B1362" s="28"/>
      <c r="C1362" s="5"/>
      <c r="D1362" s="28"/>
      <c r="E1362" s="26"/>
      <c r="F1362" s="26"/>
      <c r="G1362" s="26"/>
      <c r="H1362" s="26"/>
      <c r="I1362" s="28"/>
      <c r="J1362" s="28"/>
      <c r="K1362" s="28"/>
      <c r="L1362" s="28"/>
      <c r="M1362" s="26" t="s">
        <v>38</v>
      </c>
      <c r="N1362" s="28">
        <v>45.7</v>
      </c>
      <c r="O1362" s="28">
        <v>9</v>
      </c>
      <c r="P1362" s="28">
        <v>10</v>
      </c>
      <c r="Q1362" s="28">
        <v>0</v>
      </c>
      <c r="R1362" s="28">
        <v>0</v>
      </c>
      <c r="S1362" s="28">
        <v>0</v>
      </c>
      <c r="Y1362" s="26"/>
      <c r="Z1362" s="23"/>
      <c r="AA1362" s="3" t="str">
        <f t="shared" si="11"/>
        <v>___</v>
      </c>
      <c r="AB1362" s="3" t="str">
        <f t="shared" si="10"/>
        <v>____</v>
      </c>
    </row>
    <row r="1363" spans="1:29" ht="14">
      <c r="A1363" s="3">
        <v>1362</v>
      </c>
      <c r="B1363" s="29"/>
      <c r="C1363" s="30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 t="s">
        <v>39</v>
      </c>
      <c r="N1363" s="31">
        <v>29.9</v>
      </c>
      <c r="O1363" s="31">
        <v>2</v>
      </c>
      <c r="P1363" s="31">
        <v>4</v>
      </c>
      <c r="Q1363" s="31">
        <v>0</v>
      </c>
      <c r="R1363" s="31">
        <v>0</v>
      </c>
      <c r="S1363" s="31">
        <v>0</v>
      </c>
      <c r="Y1363" s="29"/>
      <c r="Z1363" s="23"/>
      <c r="AA1363" s="3" t="str">
        <f t="shared" si="11"/>
        <v>___</v>
      </c>
      <c r="AB1363" s="3" t="str">
        <f t="shared" si="10"/>
        <v>____</v>
      </c>
    </row>
    <row r="1364" spans="1:29" ht="14">
      <c r="A1364" s="3">
        <v>1363</v>
      </c>
      <c r="B1364" s="28" t="s">
        <v>183</v>
      </c>
      <c r="C1364" s="5" t="s">
        <v>186</v>
      </c>
      <c r="D1364" s="28">
        <v>26</v>
      </c>
      <c r="E1364" s="26" t="s">
        <v>163</v>
      </c>
      <c r="F1364" s="26" t="s">
        <v>34</v>
      </c>
      <c r="G1364" s="26" t="s">
        <v>144</v>
      </c>
      <c r="H1364" s="26" t="s">
        <v>35</v>
      </c>
      <c r="I1364" s="28">
        <v>2</v>
      </c>
      <c r="J1364" s="28">
        <v>19.2</v>
      </c>
      <c r="K1364" s="28">
        <v>21.3</v>
      </c>
      <c r="L1364" s="28">
        <v>5</v>
      </c>
      <c r="M1364" s="26" t="s">
        <v>36</v>
      </c>
      <c r="N1364" s="28">
        <v>40.299999999999997</v>
      </c>
      <c r="O1364" s="28">
        <v>15</v>
      </c>
      <c r="P1364" s="28">
        <v>16</v>
      </c>
      <c r="Q1364" s="28">
        <v>0</v>
      </c>
      <c r="R1364" s="28">
        <v>0</v>
      </c>
      <c r="S1364" s="28">
        <v>1</v>
      </c>
      <c r="Y1364" s="26"/>
      <c r="Z1364" s="23"/>
      <c r="AA1364" s="3" t="str">
        <f t="shared" si="11"/>
        <v>ANO_1393_26_V1-C5_vv</v>
      </c>
      <c r="AB1364" s="3" t="str">
        <f t="shared" si="10"/>
        <v>ANO_1393_26_V1-C5_vv_2</v>
      </c>
      <c r="AC1364" s="3" t="s">
        <v>37</v>
      </c>
    </row>
    <row r="1365" spans="1:29" ht="14">
      <c r="A1365" s="3">
        <v>1364</v>
      </c>
      <c r="B1365" s="28"/>
      <c r="C1365" s="5"/>
      <c r="D1365" s="28"/>
      <c r="E1365" s="26"/>
      <c r="F1365" s="26"/>
      <c r="G1365" s="26"/>
      <c r="H1365" s="26"/>
      <c r="I1365" s="28"/>
      <c r="J1365" s="28"/>
      <c r="K1365" s="28"/>
      <c r="L1365" s="28"/>
      <c r="M1365" s="26" t="s">
        <v>38</v>
      </c>
      <c r="N1365" s="28">
        <v>60.9</v>
      </c>
      <c r="O1365" s="28">
        <v>12</v>
      </c>
      <c r="P1365" s="28">
        <v>13</v>
      </c>
      <c r="Q1365" s="28">
        <v>1</v>
      </c>
      <c r="R1365" s="28">
        <v>1</v>
      </c>
      <c r="S1365" s="28">
        <v>0</v>
      </c>
      <c r="Y1365" s="26"/>
      <c r="Z1365" s="23"/>
      <c r="AA1365" s="3" t="str">
        <f t="shared" si="11"/>
        <v>___</v>
      </c>
      <c r="AB1365" s="3" t="str">
        <f t="shared" si="10"/>
        <v>____</v>
      </c>
    </row>
    <row r="1366" spans="1:29" ht="14">
      <c r="A1366" s="3">
        <v>1365</v>
      </c>
      <c r="B1366" s="29"/>
      <c r="C1366" s="30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 t="s">
        <v>39</v>
      </c>
      <c r="N1366" s="31">
        <v>15.1</v>
      </c>
      <c r="O1366" s="31">
        <v>0</v>
      </c>
      <c r="P1366" s="31">
        <v>2</v>
      </c>
      <c r="Q1366" s="31">
        <v>0</v>
      </c>
      <c r="R1366" s="31">
        <v>0</v>
      </c>
      <c r="S1366" s="31">
        <v>0</v>
      </c>
      <c r="Y1366" s="29"/>
      <c r="Z1366" s="23"/>
      <c r="AA1366" s="3" t="str">
        <f t="shared" si="11"/>
        <v>___</v>
      </c>
      <c r="AB1366" s="3" t="str">
        <f t="shared" si="10"/>
        <v>____</v>
      </c>
    </row>
    <row r="1367" spans="1:29" ht="14">
      <c r="A1367" s="3">
        <v>1366</v>
      </c>
      <c r="B1367" s="28" t="s">
        <v>183</v>
      </c>
      <c r="C1367" s="5" t="s">
        <v>186</v>
      </c>
      <c r="D1367" s="28">
        <v>26</v>
      </c>
      <c r="E1367" s="26" t="s">
        <v>163</v>
      </c>
      <c r="F1367" s="26" t="s">
        <v>34</v>
      </c>
      <c r="G1367" s="26" t="s">
        <v>144</v>
      </c>
      <c r="H1367" s="26" t="s">
        <v>35</v>
      </c>
      <c r="I1367" s="28">
        <v>3</v>
      </c>
      <c r="J1367" s="28">
        <v>6</v>
      </c>
      <c r="K1367" s="28">
        <v>11.4</v>
      </c>
      <c r="L1367" s="28">
        <v>4</v>
      </c>
      <c r="M1367" s="26" t="s">
        <v>36</v>
      </c>
      <c r="N1367" s="28">
        <v>35.200000000000003</v>
      </c>
      <c r="O1367" s="28">
        <v>11</v>
      </c>
      <c r="P1367" s="28">
        <v>12</v>
      </c>
      <c r="Q1367" s="28">
        <v>0</v>
      </c>
      <c r="R1367" s="28">
        <v>0</v>
      </c>
      <c r="S1367" s="28">
        <v>1</v>
      </c>
      <c r="Y1367" s="26"/>
      <c r="Z1367" s="23"/>
      <c r="AA1367" s="3" t="str">
        <f t="shared" si="11"/>
        <v>ANO_1393_26_V1-C5_vv</v>
      </c>
      <c r="AB1367" s="3" t="str">
        <f t="shared" si="10"/>
        <v>ANO_1393_26_V1-C5_vv_3</v>
      </c>
      <c r="AC1367" s="3" t="s">
        <v>37</v>
      </c>
    </row>
    <row r="1368" spans="1:29" ht="14">
      <c r="A1368" s="3">
        <v>1367</v>
      </c>
      <c r="B1368" s="28"/>
      <c r="C1368" s="5"/>
      <c r="D1368" s="28"/>
      <c r="E1368" s="26"/>
      <c r="F1368" s="26"/>
      <c r="G1368" s="26"/>
      <c r="H1368" s="26"/>
      <c r="I1368" s="28"/>
      <c r="J1368" s="28"/>
      <c r="K1368" s="28"/>
      <c r="L1368" s="28"/>
      <c r="M1368" s="26" t="s">
        <v>38</v>
      </c>
      <c r="N1368" s="28">
        <v>27.3</v>
      </c>
      <c r="O1368" s="28">
        <v>6</v>
      </c>
      <c r="P1368" s="28">
        <v>6</v>
      </c>
      <c r="Q1368" s="28">
        <v>2</v>
      </c>
      <c r="R1368" s="28">
        <v>2</v>
      </c>
      <c r="S1368" s="28">
        <v>0</v>
      </c>
      <c r="Y1368" s="26"/>
      <c r="Z1368" s="23"/>
      <c r="AA1368" s="3" t="str">
        <f t="shared" si="11"/>
        <v>___</v>
      </c>
      <c r="AB1368" s="3" t="str">
        <f t="shared" si="10"/>
        <v>____</v>
      </c>
    </row>
    <row r="1369" spans="1:29" ht="14">
      <c r="A1369" s="3">
        <v>1368</v>
      </c>
      <c r="B1369" s="29"/>
      <c r="C1369" s="30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 t="s">
        <v>39</v>
      </c>
      <c r="N1369" s="31">
        <v>28.6</v>
      </c>
      <c r="O1369" s="31">
        <v>2</v>
      </c>
      <c r="P1369" s="31">
        <v>4</v>
      </c>
      <c r="Q1369" s="31">
        <v>1</v>
      </c>
      <c r="R1369" s="31">
        <v>1</v>
      </c>
      <c r="S1369" s="31">
        <v>0</v>
      </c>
      <c r="Y1369" s="29"/>
      <c r="Z1369" s="23"/>
      <c r="AA1369" s="3" t="str">
        <f t="shared" si="11"/>
        <v>___</v>
      </c>
      <c r="AB1369" s="3" t="str">
        <f t="shared" si="10"/>
        <v>____</v>
      </c>
    </row>
    <row r="1370" spans="1:29" ht="14">
      <c r="A1370" s="3">
        <v>1369</v>
      </c>
      <c r="B1370" s="28" t="s">
        <v>183</v>
      </c>
      <c r="C1370" s="5" t="s">
        <v>186</v>
      </c>
      <c r="D1370" s="28">
        <v>15</v>
      </c>
      <c r="E1370" s="26" t="s">
        <v>163</v>
      </c>
      <c r="F1370" s="26" t="s">
        <v>180</v>
      </c>
      <c r="G1370" s="26" t="s">
        <v>136</v>
      </c>
      <c r="H1370" s="26" t="s">
        <v>35</v>
      </c>
      <c r="I1370" s="28">
        <v>1</v>
      </c>
      <c r="J1370" s="28">
        <v>14.7</v>
      </c>
      <c r="K1370" s="28">
        <v>17.899999999999999</v>
      </c>
      <c r="L1370" s="28">
        <v>4</v>
      </c>
      <c r="M1370" s="26" t="s">
        <v>36</v>
      </c>
      <c r="N1370" s="28">
        <v>80.2</v>
      </c>
      <c r="O1370" s="28">
        <v>14</v>
      </c>
      <c r="P1370" s="28">
        <v>15</v>
      </c>
      <c r="Q1370" s="28">
        <v>0</v>
      </c>
      <c r="R1370" s="28">
        <v>0</v>
      </c>
      <c r="S1370" s="28">
        <v>0</v>
      </c>
      <c r="Y1370" s="26"/>
      <c r="Z1370" s="23"/>
      <c r="AA1370" s="3" t="str">
        <f t="shared" si="11"/>
        <v>ANO_1393_15_T4-C1_vv</v>
      </c>
      <c r="AB1370" s="3" t="str">
        <f t="shared" si="10"/>
        <v>ANO_1393_15_T4-C1_vv_1</v>
      </c>
      <c r="AC1370" s="3" t="s">
        <v>37</v>
      </c>
    </row>
    <row r="1371" spans="1:29" ht="14">
      <c r="A1371" s="3">
        <v>1370</v>
      </c>
      <c r="B1371" s="28"/>
      <c r="C1371" s="5"/>
      <c r="D1371" s="28"/>
      <c r="E1371" s="26"/>
      <c r="F1371" s="26"/>
      <c r="G1371" s="26"/>
      <c r="H1371" s="26"/>
      <c r="I1371" s="28"/>
      <c r="J1371" s="28"/>
      <c r="K1371" s="28"/>
      <c r="L1371" s="28"/>
      <c r="M1371" s="26" t="s">
        <v>38</v>
      </c>
      <c r="N1371" s="28">
        <v>35.799999999999997</v>
      </c>
      <c r="O1371" s="28">
        <v>2</v>
      </c>
      <c r="P1371" s="28">
        <v>4</v>
      </c>
      <c r="Q1371" s="28">
        <v>0</v>
      </c>
      <c r="R1371" s="28">
        <v>0</v>
      </c>
      <c r="S1371" s="28">
        <v>0</v>
      </c>
      <c r="Y1371" s="26"/>
      <c r="Z1371" s="23"/>
      <c r="AA1371" s="3" t="str">
        <f t="shared" si="11"/>
        <v>___</v>
      </c>
      <c r="AB1371" s="3" t="str">
        <f t="shared" si="10"/>
        <v>____</v>
      </c>
    </row>
    <row r="1372" spans="1:29" ht="14">
      <c r="A1372" s="3">
        <v>1371</v>
      </c>
      <c r="B1372" s="31"/>
      <c r="C1372" s="30"/>
      <c r="D1372" s="31"/>
      <c r="E1372" s="29"/>
      <c r="F1372" s="29"/>
      <c r="G1372" s="29"/>
      <c r="H1372" s="29"/>
      <c r="I1372" s="29"/>
      <c r="J1372" s="31"/>
      <c r="K1372" s="31"/>
      <c r="L1372" s="31"/>
      <c r="M1372" s="29" t="s">
        <v>39</v>
      </c>
      <c r="N1372" s="31">
        <v>21.6</v>
      </c>
      <c r="O1372" s="31">
        <v>0</v>
      </c>
      <c r="P1372" s="31">
        <v>2</v>
      </c>
      <c r="Q1372" s="31">
        <v>0</v>
      </c>
      <c r="R1372" s="31">
        <v>0</v>
      </c>
      <c r="S1372" s="31">
        <v>0</v>
      </c>
      <c r="Y1372" s="29"/>
      <c r="Z1372" s="23"/>
      <c r="AA1372" s="3" t="str">
        <f t="shared" si="11"/>
        <v>___</v>
      </c>
      <c r="AB1372" s="3" t="str">
        <f t="shared" si="10"/>
        <v>____</v>
      </c>
    </row>
    <row r="1373" spans="1:29" ht="14">
      <c r="A1373" s="3">
        <v>1372</v>
      </c>
      <c r="B1373" s="28" t="s">
        <v>183</v>
      </c>
      <c r="C1373" s="5" t="s">
        <v>186</v>
      </c>
      <c r="D1373" s="28">
        <v>15</v>
      </c>
      <c r="E1373" s="26" t="s">
        <v>163</v>
      </c>
      <c r="F1373" s="26" t="s">
        <v>180</v>
      </c>
      <c r="G1373" s="26" t="s">
        <v>136</v>
      </c>
      <c r="H1373" s="26" t="s">
        <v>35</v>
      </c>
      <c r="I1373" s="28">
        <v>2</v>
      </c>
      <c r="J1373" s="28">
        <v>8.4</v>
      </c>
      <c r="K1373" s="28">
        <v>19.7</v>
      </c>
      <c r="L1373" s="28">
        <v>5</v>
      </c>
      <c r="M1373" s="26" t="s">
        <v>36</v>
      </c>
      <c r="N1373" s="28">
        <v>72.2</v>
      </c>
      <c r="O1373" s="28">
        <v>12</v>
      </c>
      <c r="P1373" s="28">
        <v>14</v>
      </c>
      <c r="Q1373" s="28">
        <v>0</v>
      </c>
      <c r="R1373" s="28">
        <v>0</v>
      </c>
      <c r="S1373" s="28">
        <v>0</v>
      </c>
      <c r="Y1373" s="26"/>
      <c r="Z1373" s="23"/>
      <c r="AA1373" s="3" t="str">
        <f t="shared" si="11"/>
        <v>ANO_1393_15_T4-C1_vv</v>
      </c>
      <c r="AB1373" s="3" t="str">
        <f t="shared" si="10"/>
        <v>ANO_1393_15_T4-C1_vv_2</v>
      </c>
      <c r="AC1373" s="3" t="s">
        <v>37</v>
      </c>
    </row>
    <row r="1374" spans="1:29" ht="14">
      <c r="A1374" s="3">
        <v>1373</v>
      </c>
      <c r="B1374" s="28"/>
      <c r="C1374" s="5"/>
      <c r="D1374" s="28"/>
      <c r="E1374" s="26"/>
      <c r="F1374" s="26"/>
      <c r="G1374" s="26"/>
      <c r="H1374" s="26"/>
      <c r="I1374" s="28"/>
      <c r="J1374" s="28"/>
      <c r="K1374" s="28"/>
      <c r="L1374" s="28"/>
      <c r="M1374" s="26" t="s">
        <v>38</v>
      </c>
      <c r="N1374" s="28">
        <v>15</v>
      </c>
      <c r="O1374" s="28">
        <v>1</v>
      </c>
      <c r="P1374" s="28">
        <v>2</v>
      </c>
      <c r="Q1374" s="28">
        <v>0</v>
      </c>
      <c r="R1374" s="28">
        <v>0</v>
      </c>
      <c r="S1374" s="28">
        <v>0</v>
      </c>
      <c r="Y1374" s="26"/>
      <c r="Z1374" s="23"/>
      <c r="AA1374" s="3" t="str">
        <f t="shared" si="11"/>
        <v>___</v>
      </c>
      <c r="AB1374" s="3" t="str">
        <f t="shared" si="10"/>
        <v>____</v>
      </c>
    </row>
    <row r="1375" spans="1:29" ht="14">
      <c r="A1375" s="3">
        <v>1374</v>
      </c>
      <c r="B1375" s="31"/>
      <c r="C1375" s="30"/>
      <c r="D1375" s="31"/>
      <c r="E1375" s="29"/>
      <c r="F1375" s="29"/>
      <c r="G1375" s="29"/>
      <c r="H1375" s="29"/>
      <c r="I1375" s="29"/>
      <c r="J1375" s="31"/>
      <c r="K1375" s="31"/>
      <c r="L1375" s="31"/>
      <c r="M1375" s="29" t="s">
        <v>39</v>
      </c>
      <c r="N1375" s="31">
        <v>35.200000000000003</v>
      </c>
      <c r="O1375" s="31">
        <v>5</v>
      </c>
      <c r="P1375" s="31">
        <v>6</v>
      </c>
      <c r="Q1375" s="31">
        <v>1</v>
      </c>
      <c r="R1375" s="31">
        <v>0</v>
      </c>
      <c r="S1375" s="31">
        <v>0</v>
      </c>
      <c r="Y1375" s="29"/>
      <c r="Z1375" s="23"/>
      <c r="AA1375" s="3" t="str">
        <f t="shared" si="11"/>
        <v>___</v>
      </c>
      <c r="AB1375" s="3" t="str">
        <f t="shared" si="10"/>
        <v>____</v>
      </c>
    </row>
    <row r="1376" spans="1:29" ht="14">
      <c r="A1376" s="3">
        <v>1375</v>
      </c>
      <c r="B1376" s="28" t="s">
        <v>183</v>
      </c>
      <c r="C1376" s="5" t="s">
        <v>186</v>
      </c>
      <c r="D1376" s="28">
        <v>15</v>
      </c>
      <c r="E1376" s="26" t="s">
        <v>163</v>
      </c>
      <c r="F1376" s="26" t="s">
        <v>180</v>
      </c>
      <c r="G1376" s="26" t="s">
        <v>136</v>
      </c>
      <c r="H1376" s="26" t="s">
        <v>35</v>
      </c>
      <c r="I1376" s="28">
        <v>3</v>
      </c>
      <c r="J1376" s="28">
        <v>6.8</v>
      </c>
      <c r="K1376" s="28">
        <v>16.5</v>
      </c>
      <c r="L1376" s="28">
        <v>6</v>
      </c>
      <c r="M1376" s="26" t="s">
        <v>36</v>
      </c>
      <c r="N1376" s="28">
        <v>41.2</v>
      </c>
      <c r="O1376" s="28">
        <v>12</v>
      </c>
      <c r="P1376" s="28">
        <v>14</v>
      </c>
      <c r="Q1376" s="28">
        <v>0</v>
      </c>
      <c r="R1376" s="28">
        <v>0</v>
      </c>
      <c r="S1376" s="28">
        <v>0</v>
      </c>
      <c r="Y1376" s="26"/>
      <c r="Z1376" s="23"/>
      <c r="AA1376" s="3" t="str">
        <f t="shared" si="11"/>
        <v>ANO_1393_15_T4-C1_vv</v>
      </c>
      <c r="AB1376" s="3" t="str">
        <f t="shared" si="10"/>
        <v>ANO_1393_15_T4-C1_vv_3</v>
      </c>
      <c r="AC1376" s="3" t="s">
        <v>37</v>
      </c>
    </row>
    <row r="1377" spans="1:29" ht="14">
      <c r="A1377" s="3">
        <v>1376</v>
      </c>
      <c r="B1377" s="28"/>
      <c r="C1377" s="5"/>
      <c r="D1377" s="28"/>
      <c r="E1377" s="26"/>
      <c r="F1377" s="26"/>
      <c r="G1377" s="26"/>
      <c r="H1377" s="26"/>
      <c r="I1377" s="28"/>
      <c r="J1377" s="28"/>
      <c r="K1377" s="28"/>
      <c r="L1377" s="28"/>
      <c r="M1377" s="26" t="s">
        <v>38</v>
      </c>
      <c r="N1377" s="28">
        <v>63.7</v>
      </c>
      <c r="O1377" s="28">
        <v>9</v>
      </c>
      <c r="P1377" s="28">
        <v>10</v>
      </c>
      <c r="Q1377" s="28">
        <v>0</v>
      </c>
      <c r="R1377" s="28">
        <v>0</v>
      </c>
      <c r="S1377" s="28">
        <v>0</v>
      </c>
      <c r="Y1377" s="26"/>
      <c r="Z1377" s="23"/>
      <c r="AA1377" s="3" t="str">
        <f t="shared" si="11"/>
        <v>___</v>
      </c>
      <c r="AB1377" s="3" t="str">
        <f t="shared" si="10"/>
        <v>____</v>
      </c>
    </row>
    <row r="1378" spans="1:29" ht="14">
      <c r="A1378" s="3">
        <v>1377</v>
      </c>
      <c r="B1378" s="31"/>
      <c r="C1378" s="30"/>
      <c r="D1378" s="31"/>
      <c r="E1378" s="29"/>
      <c r="F1378" s="29"/>
      <c r="G1378" s="29"/>
      <c r="H1378" s="29"/>
      <c r="I1378" s="31"/>
      <c r="J1378" s="31"/>
      <c r="K1378" s="31"/>
      <c r="L1378" s="31"/>
      <c r="M1378" s="29" t="s">
        <v>39</v>
      </c>
      <c r="N1378" s="31">
        <v>31.3</v>
      </c>
      <c r="O1378" s="31">
        <v>0</v>
      </c>
      <c r="P1378" s="31">
        <v>4</v>
      </c>
      <c r="Q1378" s="31">
        <v>0</v>
      </c>
      <c r="R1378" s="31">
        <v>0</v>
      </c>
      <c r="S1378" s="31">
        <v>0</v>
      </c>
      <c r="Y1378" s="29"/>
      <c r="Z1378" s="23"/>
      <c r="AA1378" s="3" t="str">
        <f t="shared" si="11"/>
        <v>___</v>
      </c>
      <c r="AB1378" s="3" t="str">
        <f t="shared" si="10"/>
        <v>____</v>
      </c>
    </row>
    <row r="1379" spans="1:29" ht="14">
      <c r="A1379" s="3">
        <v>1378</v>
      </c>
      <c r="B1379" s="28" t="s">
        <v>183</v>
      </c>
      <c r="C1379" s="5" t="s">
        <v>184</v>
      </c>
      <c r="D1379" s="28">
        <v>26</v>
      </c>
      <c r="E1379" s="26" t="s">
        <v>163</v>
      </c>
      <c r="F1379" s="26" t="s">
        <v>34</v>
      </c>
      <c r="G1379" s="26" t="s">
        <v>185</v>
      </c>
      <c r="H1379" s="26" t="s">
        <v>35</v>
      </c>
      <c r="I1379" s="28">
        <v>1</v>
      </c>
      <c r="J1379" s="28">
        <v>6.4</v>
      </c>
      <c r="K1379" s="28">
        <v>8</v>
      </c>
      <c r="L1379" s="28">
        <v>4</v>
      </c>
      <c r="M1379" s="26" t="s">
        <v>36</v>
      </c>
      <c r="N1379" s="28">
        <v>16.2</v>
      </c>
      <c r="O1379" s="28">
        <v>7</v>
      </c>
      <c r="P1379" s="28">
        <v>8</v>
      </c>
      <c r="Q1379" s="28">
        <v>0</v>
      </c>
      <c r="R1379" s="28">
        <v>0</v>
      </c>
      <c r="S1379" s="28">
        <v>0</v>
      </c>
      <c r="Y1379" s="26"/>
      <c r="Z1379" s="23"/>
      <c r="AA1379" s="3" t="str">
        <f t="shared" si="11"/>
        <v>ANO_016_26_V3-C2_vv</v>
      </c>
      <c r="AB1379" s="3" t="str">
        <f t="shared" si="10"/>
        <v>ANO_016_26_V3-C2_vv_1</v>
      </c>
      <c r="AC1379" s="3" t="s">
        <v>37</v>
      </c>
    </row>
    <row r="1380" spans="1:29" ht="14">
      <c r="A1380" s="3">
        <v>1379</v>
      </c>
      <c r="B1380" s="28"/>
      <c r="C1380" s="5"/>
      <c r="D1380" s="28"/>
      <c r="E1380" s="26"/>
      <c r="F1380" s="26"/>
      <c r="G1380" s="26"/>
      <c r="H1380" s="26"/>
      <c r="I1380" s="28"/>
      <c r="J1380" s="28"/>
      <c r="K1380" s="28"/>
      <c r="L1380" s="28"/>
      <c r="M1380" s="26" t="s">
        <v>38</v>
      </c>
      <c r="N1380" s="28">
        <v>16</v>
      </c>
      <c r="O1380" s="28">
        <v>7</v>
      </c>
      <c r="P1380" s="28">
        <v>8</v>
      </c>
      <c r="Q1380" s="28">
        <v>0</v>
      </c>
      <c r="R1380" s="28">
        <v>0</v>
      </c>
      <c r="S1380" s="28">
        <v>0</v>
      </c>
      <c r="Y1380" s="26"/>
      <c r="Z1380" s="23"/>
      <c r="AA1380" s="3" t="str">
        <f t="shared" si="11"/>
        <v>___</v>
      </c>
      <c r="AB1380" s="3" t="str">
        <f t="shared" si="10"/>
        <v>____</v>
      </c>
    </row>
    <row r="1381" spans="1:29" ht="14">
      <c r="A1381" s="3">
        <v>1380</v>
      </c>
      <c r="B1381" s="31"/>
      <c r="C1381" s="30"/>
      <c r="D1381" s="31"/>
      <c r="E1381" s="29"/>
      <c r="F1381" s="29"/>
      <c r="G1381" s="29"/>
      <c r="H1381" s="29"/>
      <c r="I1381" s="29"/>
      <c r="J1381" s="31"/>
      <c r="K1381" s="31"/>
      <c r="L1381" s="31"/>
      <c r="M1381" s="29" t="s">
        <v>39</v>
      </c>
      <c r="N1381" s="31">
        <v>20.100000000000001</v>
      </c>
      <c r="O1381" s="31">
        <v>4</v>
      </c>
      <c r="P1381" s="31">
        <v>6</v>
      </c>
      <c r="Q1381" s="31">
        <v>0</v>
      </c>
      <c r="R1381" s="31">
        <v>0</v>
      </c>
      <c r="S1381" s="31">
        <v>0</v>
      </c>
      <c r="Y1381" s="29"/>
      <c r="Z1381" s="23"/>
      <c r="AA1381" s="3" t="str">
        <f t="shared" si="11"/>
        <v>___</v>
      </c>
      <c r="AB1381" s="3" t="str">
        <f t="shared" si="10"/>
        <v>____</v>
      </c>
    </row>
    <row r="1382" spans="1:29" ht="14">
      <c r="A1382" s="3">
        <v>1381</v>
      </c>
      <c r="B1382" s="28" t="s">
        <v>183</v>
      </c>
      <c r="C1382" s="5" t="s">
        <v>184</v>
      </c>
      <c r="D1382" s="28">
        <v>26</v>
      </c>
      <c r="E1382" s="26" t="s">
        <v>163</v>
      </c>
      <c r="F1382" s="26" t="s">
        <v>34</v>
      </c>
      <c r="G1382" s="26" t="s">
        <v>185</v>
      </c>
      <c r="H1382" s="26" t="s">
        <v>35</v>
      </c>
      <c r="I1382" s="28">
        <v>2</v>
      </c>
      <c r="J1382" s="28">
        <v>13</v>
      </c>
      <c r="K1382" s="28">
        <v>13.3</v>
      </c>
      <c r="L1382" s="28">
        <v>4</v>
      </c>
      <c r="M1382" s="26" t="s">
        <v>36</v>
      </c>
      <c r="N1382" s="28">
        <v>30.3</v>
      </c>
      <c r="O1382" s="28">
        <v>8</v>
      </c>
      <c r="P1382" s="28">
        <v>9</v>
      </c>
      <c r="Q1382" s="28">
        <v>0</v>
      </c>
      <c r="R1382" s="28">
        <v>0</v>
      </c>
      <c r="S1382" s="28">
        <v>0</v>
      </c>
      <c r="Y1382" s="26"/>
      <c r="Z1382" s="23"/>
      <c r="AA1382" s="3" t="str">
        <f t="shared" si="11"/>
        <v>ANO_016_26_V3-C2_vv</v>
      </c>
      <c r="AB1382" s="3" t="str">
        <f t="shared" si="10"/>
        <v>ANO_016_26_V3-C2_vv_2</v>
      </c>
      <c r="AC1382" s="3" t="s">
        <v>37</v>
      </c>
    </row>
    <row r="1383" spans="1:29" ht="14">
      <c r="A1383" s="3">
        <v>1382</v>
      </c>
      <c r="B1383" s="28"/>
      <c r="C1383" s="5"/>
      <c r="D1383" s="28"/>
      <c r="E1383" s="26"/>
      <c r="F1383" s="26"/>
      <c r="G1383" s="26"/>
      <c r="H1383" s="26"/>
      <c r="I1383" s="28"/>
      <c r="J1383" s="28"/>
      <c r="K1383" s="28"/>
      <c r="L1383" s="28"/>
      <c r="M1383" s="26" t="s">
        <v>38</v>
      </c>
      <c r="N1383" s="28">
        <v>46.1</v>
      </c>
      <c r="O1383" s="28">
        <v>12</v>
      </c>
      <c r="P1383" s="28">
        <v>13</v>
      </c>
      <c r="Q1383" s="28">
        <v>0</v>
      </c>
      <c r="R1383" s="28">
        <v>0</v>
      </c>
      <c r="S1383" s="28">
        <v>0</v>
      </c>
      <c r="Y1383" s="26"/>
      <c r="Z1383" s="23"/>
      <c r="AA1383" s="3" t="str">
        <f t="shared" si="11"/>
        <v>___</v>
      </c>
      <c r="AB1383" s="3" t="str">
        <f t="shared" si="10"/>
        <v>____</v>
      </c>
    </row>
    <row r="1384" spans="1:29" ht="14">
      <c r="A1384" s="3">
        <v>1383</v>
      </c>
      <c r="B1384" s="31"/>
      <c r="C1384" s="30"/>
      <c r="D1384" s="31"/>
      <c r="E1384" s="29"/>
      <c r="F1384" s="29"/>
      <c r="G1384" s="29"/>
      <c r="H1384" s="29"/>
      <c r="I1384" s="29"/>
      <c r="J1384" s="31"/>
      <c r="K1384" s="31"/>
      <c r="L1384" s="31"/>
      <c r="M1384" s="29" t="s">
        <v>39</v>
      </c>
      <c r="N1384" s="31">
        <v>31.2</v>
      </c>
      <c r="O1384" s="31">
        <v>0</v>
      </c>
      <c r="P1384" s="31">
        <v>6</v>
      </c>
      <c r="Q1384" s="31">
        <v>0</v>
      </c>
      <c r="R1384" s="31">
        <v>0</v>
      </c>
      <c r="S1384" s="31">
        <v>0</v>
      </c>
      <c r="Y1384" s="29"/>
      <c r="Z1384" s="23"/>
      <c r="AA1384" s="3" t="str">
        <f t="shared" si="11"/>
        <v>___</v>
      </c>
      <c r="AB1384" s="3" t="str">
        <f t="shared" si="10"/>
        <v>____</v>
      </c>
    </row>
    <row r="1385" spans="1:29" ht="14">
      <c r="A1385" s="3">
        <v>1384</v>
      </c>
      <c r="B1385" s="28" t="s">
        <v>183</v>
      </c>
      <c r="C1385" s="5" t="s">
        <v>184</v>
      </c>
      <c r="D1385" s="28">
        <v>26</v>
      </c>
      <c r="E1385" s="26" t="s">
        <v>163</v>
      </c>
      <c r="F1385" s="26" t="s">
        <v>34</v>
      </c>
      <c r="G1385" s="26" t="s">
        <v>185</v>
      </c>
      <c r="H1385" s="26" t="s">
        <v>35</v>
      </c>
      <c r="I1385" s="28">
        <v>3</v>
      </c>
      <c r="J1385" s="28">
        <v>10.199999999999999</v>
      </c>
      <c r="K1385" s="28">
        <v>10.5</v>
      </c>
      <c r="L1385" s="28">
        <v>4</v>
      </c>
      <c r="M1385" s="26" t="s">
        <v>36</v>
      </c>
      <c r="N1385" s="28">
        <v>49.8</v>
      </c>
      <c r="O1385" s="28">
        <v>10</v>
      </c>
      <c r="P1385" s="28">
        <v>12</v>
      </c>
      <c r="Q1385" s="28">
        <v>0</v>
      </c>
      <c r="R1385" s="28">
        <v>0</v>
      </c>
      <c r="S1385" s="28">
        <v>0</v>
      </c>
      <c r="Y1385" s="26"/>
      <c r="Z1385" s="23"/>
      <c r="AA1385" s="3" t="str">
        <f t="shared" si="11"/>
        <v>ANO_016_26_V3-C2_vv</v>
      </c>
      <c r="AB1385" s="3" t="str">
        <f t="shared" si="10"/>
        <v>ANO_016_26_V3-C2_vv_3</v>
      </c>
      <c r="AC1385" s="3" t="s">
        <v>37</v>
      </c>
    </row>
    <row r="1386" spans="1:29" ht="14">
      <c r="A1386" s="3">
        <v>1385</v>
      </c>
      <c r="B1386" s="28"/>
      <c r="C1386" s="5"/>
      <c r="D1386" s="28"/>
      <c r="E1386" s="26"/>
      <c r="F1386" s="26"/>
      <c r="G1386" s="26"/>
      <c r="H1386" s="26"/>
      <c r="I1386" s="28"/>
      <c r="J1386" s="28"/>
      <c r="K1386" s="28"/>
      <c r="L1386" s="28"/>
      <c r="M1386" s="26" t="s">
        <v>38</v>
      </c>
      <c r="N1386" s="28">
        <v>20</v>
      </c>
      <c r="O1386" s="28">
        <v>0</v>
      </c>
      <c r="P1386" s="28">
        <v>5</v>
      </c>
      <c r="Q1386" s="28">
        <v>0</v>
      </c>
      <c r="R1386" s="28">
        <v>0</v>
      </c>
      <c r="S1386" s="28">
        <v>0</v>
      </c>
      <c r="Y1386" s="26"/>
      <c r="Z1386" s="23"/>
      <c r="AA1386" s="3" t="str">
        <f t="shared" si="11"/>
        <v>___</v>
      </c>
      <c r="AB1386" s="3" t="str">
        <f t="shared" si="10"/>
        <v>____</v>
      </c>
    </row>
    <row r="1387" spans="1:29" ht="14">
      <c r="A1387" s="3">
        <v>1386</v>
      </c>
      <c r="B1387" s="31"/>
      <c r="C1387" s="30"/>
      <c r="D1387" s="31"/>
      <c r="E1387" s="29"/>
      <c r="F1387" s="29"/>
      <c r="G1387" s="29"/>
      <c r="H1387" s="29"/>
      <c r="I1387" s="31"/>
      <c r="J1387" s="31"/>
      <c r="K1387" s="31"/>
      <c r="L1387" s="31"/>
      <c r="M1387" s="29" t="s">
        <v>39</v>
      </c>
      <c r="N1387" s="31">
        <v>29.7</v>
      </c>
      <c r="O1387" s="31">
        <v>0</v>
      </c>
      <c r="P1387" s="31">
        <v>6</v>
      </c>
      <c r="Q1387" s="31">
        <v>0</v>
      </c>
      <c r="R1387" s="31">
        <v>0</v>
      </c>
      <c r="S1387" s="31">
        <v>0</v>
      </c>
      <c r="Y1387" s="29"/>
      <c r="Z1387" s="23"/>
      <c r="AA1387" s="3" t="str">
        <f t="shared" si="11"/>
        <v>___</v>
      </c>
      <c r="AB1387" s="3" t="str">
        <f t="shared" si="10"/>
        <v>____</v>
      </c>
    </row>
    <row r="1388" spans="1:29" ht="14">
      <c r="A1388" s="3">
        <v>1387</v>
      </c>
      <c r="B1388" s="28" t="s">
        <v>183</v>
      </c>
      <c r="C1388" s="5" t="s">
        <v>184</v>
      </c>
      <c r="D1388" s="28">
        <v>44</v>
      </c>
      <c r="E1388" s="26" t="s">
        <v>163</v>
      </c>
      <c r="F1388" s="26" t="s">
        <v>180</v>
      </c>
      <c r="G1388" s="26" t="s">
        <v>136</v>
      </c>
      <c r="H1388" s="26" t="s">
        <v>35</v>
      </c>
      <c r="I1388" s="28">
        <v>1</v>
      </c>
      <c r="J1388" s="28">
        <v>11.5</v>
      </c>
      <c r="K1388" s="28">
        <v>13.3</v>
      </c>
      <c r="L1388" s="28">
        <v>4</v>
      </c>
      <c r="M1388" s="26" t="s">
        <v>36</v>
      </c>
      <c r="N1388" s="28">
        <v>56.3</v>
      </c>
      <c r="O1388" s="28">
        <v>11</v>
      </c>
      <c r="P1388" s="28">
        <v>11</v>
      </c>
      <c r="Q1388" s="28">
        <v>0</v>
      </c>
      <c r="R1388" s="28">
        <v>0</v>
      </c>
      <c r="S1388" s="28">
        <v>0</v>
      </c>
      <c r="Y1388" s="26"/>
      <c r="Z1388" s="23"/>
      <c r="AA1388" s="3" t="str">
        <f t="shared" si="11"/>
        <v>ANO_016_44_T4-C1_vv</v>
      </c>
      <c r="AB1388" s="3" t="str">
        <f t="shared" si="10"/>
        <v>ANO_016_44_T4-C1_vv_1</v>
      </c>
      <c r="AC1388" s="3" t="s">
        <v>37</v>
      </c>
    </row>
    <row r="1389" spans="1:29" ht="14">
      <c r="A1389" s="3">
        <v>1388</v>
      </c>
      <c r="B1389" s="28"/>
      <c r="C1389" s="5"/>
      <c r="D1389" s="28"/>
      <c r="E1389" s="26"/>
      <c r="F1389" s="26"/>
      <c r="G1389" s="26"/>
      <c r="H1389" s="26"/>
      <c r="I1389" s="28"/>
      <c r="J1389" s="28"/>
      <c r="K1389" s="28"/>
      <c r="L1389" s="28"/>
      <c r="M1389" s="26" t="s">
        <v>38</v>
      </c>
      <c r="N1389" s="28">
        <v>29.4</v>
      </c>
      <c r="O1389" s="28">
        <v>5</v>
      </c>
      <c r="P1389" s="28">
        <v>6</v>
      </c>
      <c r="Q1389" s="28">
        <v>0</v>
      </c>
      <c r="R1389" s="28">
        <v>0</v>
      </c>
      <c r="S1389" s="28">
        <v>0</v>
      </c>
      <c r="Y1389" s="26"/>
      <c r="Z1389" s="23"/>
      <c r="AA1389" s="3" t="str">
        <f t="shared" si="11"/>
        <v>___</v>
      </c>
      <c r="AB1389" s="3" t="str">
        <f t="shared" si="10"/>
        <v>____</v>
      </c>
    </row>
    <row r="1390" spans="1:29" ht="14">
      <c r="A1390" s="3">
        <v>1389</v>
      </c>
      <c r="B1390" s="31"/>
      <c r="C1390" s="30"/>
      <c r="D1390" s="31"/>
      <c r="E1390" s="29"/>
      <c r="F1390" s="29"/>
      <c r="G1390" s="29"/>
      <c r="H1390" s="29"/>
      <c r="I1390" s="29"/>
      <c r="J1390" s="31"/>
      <c r="K1390" s="31"/>
      <c r="L1390" s="31"/>
      <c r="M1390" s="29" t="s">
        <v>39</v>
      </c>
      <c r="N1390" s="31">
        <v>28</v>
      </c>
      <c r="O1390" s="31">
        <v>2</v>
      </c>
      <c r="P1390" s="31">
        <v>3</v>
      </c>
      <c r="Q1390" s="31">
        <v>0</v>
      </c>
      <c r="R1390" s="31">
        <v>0</v>
      </c>
      <c r="S1390" s="31">
        <v>0</v>
      </c>
      <c r="Y1390" s="29"/>
      <c r="Z1390" s="23"/>
      <c r="AA1390" s="3" t="str">
        <f t="shared" si="11"/>
        <v>___</v>
      </c>
      <c r="AB1390" s="3" t="str">
        <f t="shared" si="10"/>
        <v>____</v>
      </c>
    </row>
    <row r="1391" spans="1:29" ht="14">
      <c r="A1391" s="3">
        <v>1390</v>
      </c>
      <c r="B1391" s="28" t="s">
        <v>183</v>
      </c>
      <c r="C1391" s="5" t="s">
        <v>184</v>
      </c>
      <c r="D1391" s="28">
        <v>44</v>
      </c>
      <c r="E1391" s="26" t="s">
        <v>163</v>
      </c>
      <c r="F1391" s="26" t="s">
        <v>180</v>
      </c>
      <c r="G1391" s="26" t="s">
        <v>136</v>
      </c>
      <c r="H1391" s="26" t="s">
        <v>35</v>
      </c>
      <c r="I1391" s="28">
        <v>2</v>
      </c>
      <c r="J1391" s="28">
        <v>5.8</v>
      </c>
      <c r="K1391" s="28">
        <v>13.1</v>
      </c>
      <c r="L1391" s="28">
        <v>4</v>
      </c>
      <c r="M1391" s="26" t="s">
        <v>36</v>
      </c>
      <c r="N1391" s="28">
        <v>55.5</v>
      </c>
      <c r="O1391" s="28">
        <v>17</v>
      </c>
      <c r="P1391" s="28">
        <v>19</v>
      </c>
      <c r="Q1391" s="28">
        <v>0</v>
      </c>
      <c r="R1391" s="28">
        <v>0</v>
      </c>
      <c r="S1391" s="28">
        <v>0</v>
      </c>
      <c r="Y1391" s="26"/>
      <c r="Z1391" s="23"/>
      <c r="AA1391" s="3" t="str">
        <f t="shared" si="11"/>
        <v>ANO_016_44_T4-C1_vv</v>
      </c>
      <c r="AB1391" s="3" t="str">
        <f t="shared" si="10"/>
        <v>ANO_016_44_T4-C1_vv_2</v>
      </c>
      <c r="AC1391" s="3" t="s">
        <v>37</v>
      </c>
    </row>
    <row r="1392" spans="1:29" ht="14">
      <c r="A1392" s="3">
        <v>1391</v>
      </c>
      <c r="B1392" s="28"/>
      <c r="C1392" s="5"/>
      <c r="D1392" s="28"/>
      <c r="E1392" s="26"/>
      <c r="F1392" s="26"/>
      <c r="G1392" s="26"/>
      <c r="H1392" s="26"/>
      <c r="I1392" s="28"/>
      <c r="J1392" s="28"/>
      <c r="K1392" s="28"/>
      <c r="L1392" s="28"/>
      <c r="M1392" s="26" t="s">
        <v>38</v>
      </c>
      <c r="N1392" s="28">
        <v>22.1</v>
      </c>
      <c r="O1392" s="28">
        <v>2</v>
      </c>
      <c r="P1392" s="28">
        <v>4</v>
      </c>
      <c r="Q1392" s="28">
        <v>0</v>
      </c>
      <c r="R1392" s="28">
        <v>0</v>
      </c>
      <c r="S1392" s="28">
        <v>0</v>
      </c>
      <c r="Y1392" s="26"/>
      <c r="Z1392" s="23"/>
      <c r="AA1392" s="3" t="str">
        <f t="shared" si="11"/>
        <v>___</v>
      </c>
      <c r="AB1392" s="3" t="str">
        <f t="shared" si="10"/>
        <v>____</v>
      </c>
    </row>
    <row r="1393" spans="1:29" ht="14">
      <c r="A1393" s="3">
        <v>1392</v>
      </c>
      <c r="B1393" s="31"/>
      <c r="C1393" s="30"/>
      <c r="D1393" s="31"/>
      <c r="E1393" s="29"/>
      <c r="F1393" s="29"/>
      <c r="G1393" s="29"/>
      <c r="H1393" s="29"/>
      <c r="I1393" s="29"/>
      <c r="J1393" s="31"/>
      <c r="K1393" s="31"/>
      <c r="L1393" s="31"/>
      <c r="M1393" s="29" t="s">
        <v>39</v>
      </c>
      <c r="N1393" s="31">
        <v>9.9</v>
      </c>
      <c r="O1393" s="31">
        <v>0</v>
      </c>
      <c r="P1393" s="31">
        <v>2</v>
      </c>
      <c r="Q1393" s="31">
        <v>0</v>
      </c>
      <c r="R1393" s="31">
        <v>0</v>
      </c>
      <c r="S1393" s="31">
        <v>0</v>
      </c>
      <c r="Y1393" s="29"/>
      <c r="Z1393" s="23"/>
      <c r="AA1393" s="3" t="str">
        <f t="shared" si="11"/>
        <v>___</v>
      </c>
      <c r="AB1393" s="3" t="str">
        <f t="shared" si="10"/>
        <v>____</v>
      </c>
    </row>
    <row r="1394" spans="1:29" ht="14">
      <c r="A1394" s="3">
        <v>1393</v>
      </c>
      <c r="B1394" s="28" t="s">
        <v>183</v>
      </c>
      <c r="C1394" s="5" t="s">
        <v>184</v>
      </c>
      <c r="D1394" s="28">
        <v>44</v>
      </c>
      <c r="E1394" s="26" t="s">
        <v>163</v>
      </c>
      <c r="F1394" s="26" t="s">
        <v>180</v>
      </c>
      <c r="G1394" s="26" t="s">
        <v>136</v>
      </c>
      <c r="H1394" s="26" t="s">
        <v>35</v>
      </c>
      <c r="I1394" s="28">
        <v>3</v>
      </c>
      <c r="J1394" s="28">
        <v>12</v>
      </c>
      <c r="K1394" s="28">
        <v>12.2</v>
      </c>
      <c r="L1394" s="28">
        <v>4</v>
      </c>
      <c r="M1394" s="26" t="s">
        <v>36</v>
      </c>
      <c r="N1394" s="28">
        <v>41.3</v>
      </c>
      <c r="O1394" s="28">
        <v>11</v>
      </c>
      <c r="P1394" s="28">
        <v>12</v>
      </c>
      <c r="Q1394" s="28">
        <v>0</v>
      </c>
      <c r="R1394" s="28">
        <v>0</v>
      </c>
      <c r="S1394" s="28">
        <v>0</v>
      </c>
      <c r="Y1394" s="26"/>
      <c r="Z1394" s="23"/>
      <c r="AA1394" s="3" t="str">
        <f t="shared" si="11"/>
        <v>ANO_016_44_T4-C1_vv</v>
      </c>
      <c r="AB1394" s="3" t="str">
        <f t="shared" si="10"/>
        <v>ANO_016_44_T4-C1_vv_3</v>
      </c>
      <c r="AC1394" s="3" t="s">
        <v>37</v>
      </c>
    </row>
    <row r="1395" spans="1:29" ht="14">
      <c r="A1395" s="3">
        <v>1394</v>
      </c>
      <c r="B1395" s="28"/>
      <c r="C1395" s="5"/>
      <c r="D1395" s="28"/>
      <c r="E1395" s="26"/>
      <c r="F1395" s="26"/>
      <c r="G1395" s="26"/>
      <c r="H1395" s="26"/>
      <c r="I1395" s="28"/>
      <c r="J1395" s="28"/>
      <c r="K1395" s="28"/>
      <c r="L1395" s="28"/>
      <c r="M1395" s="26" t="s">
        <v>38</v>
      </c>
      <c r="N1395" s="28">
        <v>26</v>
      </c>
      <c r="O1395" s="28">
        <v>3</v>
      </c>
      <c r="P1395" s="28">
        <v>6</v>
      </c>
      <c r="Q1395" s="28">
        <v>0</v>
      </c>
      <c r="R1395" s="28">
        <v>0</v>
      </c>
      <c r="S1395" s="28">
        <v>0</v>
      </c>
      <c r="Y1395" s="26"/>
      <c r="Z1395" s="23"/>
      <c r="AA1395" s="3" t="str">
        <f t="shared" si="11"/>
        <v>___</v>
      </c>
      <c r="AB1395" s="3" t="str">
        <f t="shared" si="10"/>
        <v>____</v>
      </c>
    </row>
    <row r="1396" spans="1:29" ht="14">
      <c r="A1396" s="3">
        <v>1395</v>
      </c>
      <c r="B1396" s="31"/>
      <c r="C1396" s="30"/>
      <c r="D1396" s="31"/>
      <c r="E1396" s="29"/>
      <c r="F1396" s="29"/>
      <c r="G1396" s="29"/>
      <c r="H1396" s="29"/>
      <c r="I1396" s="31"/>
      <c r="J1396" s="31"/>
      <c r="K1396" s="31"/>
      <c r="L1396" s="31"/>
      <c r="M1396" s="29" t="s">
        <v>39</v>
      </c>
      <c r="N1396" s="31">
        <v>19.899999999999999</v>
      </c>
      <c r="O1396" s="31">
        <v>0</v>
      </c>
      <c r="P1396" s="31">
        <v>4</v>
      </c>
      <c r="Q1396" s="31">
        <v>0</v>
      </c>
      <c r="R1396" s="31">
        <v>0</v>
      </c>
      <c r="S1396" s="31">
        <v>0</v>
      </c>
      <c r="Y1396" s="29"/>
      <c r="Z1396" s="23"/>
      <c r="AA1396" s="3" t="str">
        <f t="shared" si="11"/>
        <v>___</v>
      </c>
      <c r="AB1396" s="3" t="str">
        <f t="shared" si="10"/>
        <v>____</v>
      </c>
    </row>
    <row r="1397" spans="1:29" ht="14">
      <c r="A1397" s="3">
        <v>1396</v>
      </c>
      <c r="B1397" s="28" t="s">
        <v>183</v>
      </c>
      <c r="C1397" s="5" t="s">
        <v>184</v>
      </c>
      <c r="D1397" s="28">
        <v>55</v>
      </c>
      <c r="E1397" s="26" t="s">
        <v>163</v>
      </c>
      <c r="F1397" s="26" t="s">
        <v>34</v>
      </c>
      <c r="G1397" s="26" t="s">
        <v>146</v>
      </c>
      <c r="H1397" s="26" t="s">
        <v>35</v>
      </c>
      <c r="I1397" s="28">
        <v>1</v>
      </c>
      <c r="J1397" s="28">
        <v>12.5</v>
      </c>
      <c r="K1397" s="28">
        <v>17.5</v>
      </c>
      <c r="L1397" s="28">
        <v>6</v>
      </c>
      <c r="M1397" s="26" t="s">
        <v>36</v>
      </c>
      <c r="N1397" s="28">
        <v>29.2</v>
      </c>
      <c r="O1397" s="28">
        <v>10</v>
      </c>
      <c r="P1397" s="28">
        <v>11</v>
      </c>
      <c r="Q1397" s="28">
        <v>0</v>
      </c>
      <c r="R1397" s="28">
        <v>0</v>
      </c>
      <c r="S1397" s="28">
        <v>0</v>
      </c>
      <c r="Y1397" s="26"/>
      <c r="Z1397" s="23"/>
      <c r="AA1397" s="3" t="str">
        <f t="shared" si="11"/>
        <v>ANO_016_55_V2-C1_vv</v>
      </c>
      <c r="AB1397" s="3" t="str">
        <f t="shared" si="10"/>
        <v>ANO_016_55_V2-C1_vv_1</v>
      </c>
      <c r="AC1397" s="3" t="s">
        <v>49</v>
      </c>
    </row>
    <row r="1398" spans="1:29" ht="14">
      <c r="A1398" s="3">
        <v>1397</v>
      </c>
      <c r="B1398" s="28"/>
      <c r="C1398" s="5"/>
      <c r="D1398" s="28"/>
      <c r="E1398" s="26"/>
      <c r="F1398" s="26"/>
      <c r="G1398" s="26"/>
      <c r="H1398" s="26"/>
      <c r="I1398" s="28"/>
      <c r="J1398" s="28"/>
      <c r="K1398" s="28"/>
      <c r="L1398" s="28"/>
      <c r="M1398" s="26" t="s">
        <v>38</v>
      </c>
      <c r="N1398" s="28">
        <v>32.299999999999997</v>
      </c>
      <c r="O1398" s="28">
        <v>7</v>
      </c>
      <c r="P1398" s="28">
        <v>8</v>
      </c>
      <c r="Q1398" s="28">
        <v>0</v>
      </c>
      <c r="R1398" s="28">
        <v>0</v>
      </c>
      <c r="S1398" s="28">
        <v>0</v>
      </c>
      <c r="Y1398" s="26"/>
      <c r="Z1398" s="23"/>
      <c r="AA1398" s="3" t="str">
        <f t="shared" si="11"/>
        <v>___</v>
      </c>
      <c r="AB1398" s="3" t="str">
        <f t="shared" si="10"/>
        <v>____</v>
      </c>
    </row>
    <row r="1399" spans="1:29" ht="14">
      <c r="A1399" s="3">
        <v>1398</v>
      </c>
      <c r="B1399" s="31"/>
      <c r="C1399" s="30"/>
      <c r="D1399" s="31"/>
      <c r="E1399" s="29"/>
      <c r="F1399" s="29"/>
      <c r="G1399" s="29"/>
      <c r="H1399" s="29"/>
      <c r="I1399" s="31"/>
      <c r="J1399" s="31"/>
      <c r="K1399" s="31"/>
      <c r="L1399" s="31"/>
      <c r="M1399" s="29" t="s">
        <v>39</v>
      </c>
      <c r="N1399" s="31">
        <v>33.9</v>
      </c>
      <c r="O1399" s="31">
        <v>4</v>
      </c>
      <c r="P1399" s="31">
        <v>6</v>
      </c>
      <c r="Q1399" s="31">
        <v>0</v>
      </c>
      <c r="R1399" s="31">
        <v>0</v>
      </c>
      <c r="S1399" s="31">
        <v>0</v>
      </c>
      <c r="Y1399" s="29"/>
      <c r="Z1399" s="23"/>
      <c r="AA1399" s="3" t="str">
        <f t="shared" si="11"/>
        <v>___</v>
      </c>
      <c r="AB1399" s="3" t="str">
        <f t="shared" si="10"/>
        <v>____</v>
      </c>
    </row>
    <row r="1400" spans="1:29" ht="14">
      <c r="A1400" s="3">
        <v>1399</v>
      </c>
      <c r="B1400" s="28" t="s">
        <v>183</v>
      </c>
      <c r="C1400" s="5" t="s">
        <v>184</v>
      </c>
      <c r="D1400" s="28">
        <v>55</v>
      </c>
      <c r="E1400" s="26" t="s">
        <v>163</v>
      </c>
      <c r="F1400" s="26" t="s">
        <v>34</v>
      </c>
      <c r="G1400" s="26" t="s">
        <v>146</v>
      </c>
      <c r="H1400" s="26" t="s">
        <v>35</v>
      </c>
      <c r="I1400" s="28">
        <v>2</v>
      </c>
      <c r="J1400" s="28">
        <v>21</v>
      </c>
      <c r="K1400" s="28">
        <v>21.5</v>
      </c>
      <c r="L1400" s="28">
        <v>5</v>
      </c>
      <c r="M1400" s="26" t="s">
        <v>36</v>
      </c>
      <c r="N1400" s="28">
        <v>41.5</v>
      </c>
      <c r="O1400" s="28">
        <v>13</v>
      </c>
      <c r="P1400" s="28">
        <v>14</v>
      </c>
      <c r="Q1400" s="28">
        <v>1</v>
      </c>
      <c r="R1400" s="28">
        <v>1</v>
      </c>
      <c r="S1400" s="28">
        <v>0</v>
      </c>
      <c r="Y1400" s="32" t="s">
        <v>189</v>
      </c>
      <c r="AA1400" s="3" t="str">
        <f t="shared" si="11"/>
        <v>ANO_016_55_V2-C1_vv</v>
      </c>
      <c r="AB1400" s="3" t="str">
        <f t="shared" si="10"/>
        <v>ANO_016_55_V2-C1_vv_2</v>
      </c>
      <c r="AC1400" s="3" t="s">
        <v>49</v>
      </c>
    </row>
    <row r="1401" spans="1:29" ht="14">
      <c r="A1401" s="3">
        <v>1400</v>
      </c>
      <c r="B1401" s="28"/>
      <c r="C1401" s="5"/>
      <c r="D1401" s="28"/>
      <c r="E1401" s="26"/>
      <c r="F1401" s="26"/>
      <c r="G1401" s="26"/>
      <c r="H1401" s="26"/>
      <c r="I1401" s="28"/>
      <c r="J1401" s="28"/>
      <c r="K1401" s="28"/>
      <c r="L1401" s="28"/>
      <c r="M1401" s="26" t="s">
        <v>38</v>
      </c>
      <c r="N1401" s="28">
        <v>40.9</v>
      </c>
      <c r="O1401" s="28">
        <v>4</v>
      </c>
      <c r="P1401" s="28">
        <v>5</v>
      </c>
      <c r="Q1401" s="28">
        <v>0</v>
      </c>
      <c r="R1401" s="28">
        <v>0</v>
      </c>
      <c r="S1401" s="28">
        <v>0</v>
      </c>
      <c r="Y1401" s="23"/>
      <c r="AA1401" s="3" t="str">
        <f t="shared" si="11"/>
        <v>___</v>
      </c>
      <c r="AB1401" s="3" t="str">
        <f t="shared" si="10"/>
        <v>____</v>
      </c>
    </row>
    <row r="1402" spans="1:29" ht="14">
      <c r="A1402" s="3">
        <v>1401</v>
      </c>
      <c r="B1402" s="31"/>
      <c r="C1402" s="30"/>
      <c r="D1402" s="31"/>
      <c r="E1402" s="29"/>
      <c r="F1402" s="29"/>
      <c r="G1402" s="29"/>
      <c r="H1402" s="29"/>
      <c r="I1402" s="31"/>
      <c r="J1402" s="31"/>
      <c r="K1402" s="31"/>
      <c r="L1402" s="31"/>
      <c r="M1402" s="29" t="s">
        <v>39</v>
      </c>
      <c r="N1402" s="31">
        <v>25</v>
      </c>
      <c r="O1402" s="31">
        <v>3</v>
      </c>
      <c r="P1402" s="31">
        <v>4</v>
      </c>
      <c r="Q1402" s="31">
        <v>0</v>
      </c>
      <c r="R1402" s="31">
        <v>0</v>
      </c>
      <c r="S1402" s="31">
        <v>0</v>
      </c>
      <c r="Y1402" s="23"/>
      <c r="AA1402" s="3" t="str">
        <f t="shared" si="11"/>
        <v>___</v>
      </c>
      <c r="AB1402" s="3" t="str">
        <f t="shared" si="10"/>
        <v>____</v>
      </c>
    </row>
    <row r="1403" spans="1:29" ht="14">
      <c r="A1403" s="3">
        <v>1402</v>
      </c>
      <c r="B1403" s="28" t="s">
        <v>183</v>
      </c>
      <c r="C1403" s="5" t="s">
        <v>184</v>
      </c>
      <c r="D1403" s="28">
        <v>55</v>
      </c>
      <c r="E1403" s="26" t="s">
        <v>163</v>
      </c>
      <c r="F1403" s="26" t="s">
        <v>34</v>
      </c>
      <c r="G1403" s="26" t="s">
        <v>146</v>
      </c>
      <c r="H1403" s="26" t="s">
        <v>35</v>
      </c>
      <c r="I1403" s="28">
        <v>3</v>
      </c>
      <c r="J1403" s="28">
        <v>15.1</v>
      </c>
      <c r="K1403" s="28">
        <v>16.3</v>
      </c>
      <c r="L1403" s="28">
        <v>4</v>
      </c>
      <c r="M1403" s="26" t="s">
        <v>36</v>
      </c>
      <c r="N1403" s="28">
        <v>45.1</v>
      </c>
      <c r="O1403" s="28">
        <v>11</v>
      </c>
      <c r="P1403" s="28">
        <v>12</v>
      </c>
      <c r="Q1403" s="28">
        <v>1</v>
      </c>
      <c r="R1403" s="28">
        <v>1</v>
      </c>
      <c r="S1403" s="28">
        <v>0</v>
      </c>
      <c r="Y1403" s="32" t="s">
        <v>166</v>
      </c>
      <c r="AA1403" s="3" t="str">
        <f t="shared" si="11"/>
        <v>ANO_016_55_V2-C1_vv</v>
      </c>
      <c r="AB1403" s="3" t="str">
        <f t="shared" si="10"/>
        <v>ANO_016_55_V2-C1_vv_3</v>
      </c>
      <c r="AC1403" s="3" t="s">
        <v>49</v>
      </c>
    </row>
    <row r="1404" spans="1:29" ht="14">
      <c r="A1404" s="3">
        <v>1403</v>
      </c>
      <c r="B1404" s="28"/>
      <c r="C1404" s="5"/>
      <c r="D1404" s="28"/>
      <c r="E1404" s="26"/>
      <c r="F1404" s="26"/>
      <c r="G1404" s="26"/>
      <c r="H1404" s="26"/>
      <c r="I1404" s="28"/>
      <c r="J1404" s="28"/>
      <c r="K1404" s="28"/>
      <c r="L1404" s="28"/>
      <c r="M1404" s="26" t="s">
        <v>38</v>
      </c>
      <c r="N1404" s="28">
        <v>44.2</v>
      </c>
      <c r="O1404" s="28">
        <v>2</v>
      </c>
      <c r="P1404" s="28">
        <v>4</v>
      </c>
      <c r="Q1404" s="28">
        <v>0</v>
      </c>
      <c r="R1404" s="28">
        <v>0</v>
      </c>
      <c r="S1404" s="28">
        <v>0</v>
      </c>
      <c r="Y1404" s="23"/>
      <c r="AA1404" s="3" t="str">
        <f t="shared" si="11"/>
        <v>___</v>
      </c>
      <c r="AB1404" s="3" t="str">
        <f t="shared" si="10"/>
        <v>____</v>
      </c>
    </row>
    <row r="1405" spans="1:29" ht="14">
      <c r="A1405" s="3">
        <v>1404</v>
      </c>
      <c r="B1405" s="31"/>
      <c r="C1405" s="30"/>
      <c r="D1405" s="31"/>
      <c r="E1405" s="29"/>
      <c r="F1405" s="29"/>
      <c r="G1405" s="29"/>
      <c r="H1405" s="29"/>
      <c r="I1405" s="31"/>
      <c r="J1405" s="31"/>
      <c r="K1405" s="31"/>
      <c r="L1405" s="31"/>
      <c r="M1405" s="29" t="s">
        <v>39</v>
      </c>
      <c r="N1405" s="31">
        <v>35</v>
      </c>
      <c r="O1405" s="31">
        <v>0</v>
      </c>
      <c r="P1405" s="31">
        <v>5</v>
      </c>
      <c r="Q1405" s="31">
        <v>0</v>
      </c>
      <c r="R1405" s="31">
        <v>0</v>
      </c>
      <c r="S1405" s="31">
        <v>0</v>
      </c>
      <c r="Y1405" s="23"/>
      <c r="AA1405" s="3" t="str">
        <f t="shared" si="11"/>
        <v>___</v>
      </c>
      <c r="AB1405" s="3" t="str">
        <f t="shared" si="10"/>
        <v>____</v>
      </c>
    </row>
    <row r="1406" spans="1:29" ht="14">
      <c r="A1406" s="3">
        <v>1405</v>
      </c>
      <c r="B1406" s="28" t="s">
        <v>183</v>
      </c>
      <c r="C1406" s="5" t="s">
        <v>184</v>
      </c>
      <c r="D1406" s="28">
        <v>53</v>
      </c>
      <c r="E1406" s="26" t="s">
        <v>163</v>
      </c>
      <c r="F1406" s="26" t="s">
        <v>34</v>
      </c>
      <c r="G1406" s="26" t="s">
        <v>144</v>
      </c>
      <c r="H1406" s="26" t="s">
        <v>35</v>
      </c>
      <c r="I1406" s="28">
        <v>1</v>
      </c>
      <c r="J1406" s="28">
        <v>14</v>
      </c>
      <c r="K1406" s="28">
        <v>15.1</v>
      </c>
      <c r="L1406" s="28">
        <v>4</v>
      </c>
      <c r="M1406" s="26" t="s">
        <v>36</v>
      </c>
      <c r="N1406" s="28">
        <v>69</v>
      </c>
      <c r="O1406" s="28">
        <v>14</v>
      </c>
      <c r="P1406" s="28">
        <v>16</v>
      </c>
      <c r="Q1406" s="28">
        <v>0</v>
      </c>
      <c r="R1406" s="28">
        <v>0</v>
      </c>
      <c r="S1406" s="28">
        <v>0</v>
      </c>
      <c r="Y1406" s="32"/>
      <c r="AA1406" s="3" t="str">
        <f t="shared" si="11"/>
        <v>ANO_016_53_V1-C5_vv</v>
      </c>
      <c r="AB1406" s="3" t="str">
        <f t="shared" si="10"/>
        <v>ANO_016_53_V1-C5_vv_1</v>
      </c>
    </row>
    <row r="1407" spans="1:29" ht="14">
      <c r="A1407" s="3">
        <v>1406</v>
      </c>
      <c r="B1407" s="28"/>
      <c r="C1407" s="5"/>
      <c r="D1407" s="28"/>
      <c r="E1407" s="26"/>
      <c r="F1407" s="26"/>
      <c r="G1407" s="26"/>
      <c r="H1407" s="26"/>
      <c r="I1407" s="28"/>
      <c r="J1407" s="28"/>
      <c r="K1407" s="28"/>
      <c r="L1407" s="28"/>
      <c r="M1407" s="26" t="s">
        <v>38</v>
      </c>
      <c r="N1407" s="28">
        <v>31.3</v>
      </c>
      <c r="O1407" s="28">
        <v>2</v>
      </c>
      <c r="P1407" s="28">
        <v>6</v>
      </c>
      <c r="Q1407" s="28">
        <v>0</v>
      </c>
      <c r="R1407" s="28">
        <v>0</v>
      </c>
      <c r="S1407" s="28">
        <v>0</v>
      </c>
      <c r="Y1407" s="26"/>
      <c r="Z1407" s="23"/>
      <c r="AA1407" s="3" t="str">
        <f t="shared" si="11"/>
        <v>___</v>
      </c>
      <c r="AB1407" s="3" t="str">
        <f t="shared" si="10"/>
        <v>____</v>
      </c>
    </row>
    <row r="1408" spans="1:29" ht="14">
      <c r="A1408" s="3">
        <v>1407</v>
      </c>
      <c r="B1408" s="31"/>
      <c r="C1408" s="30"/>
      <c r="D1408" s="31"/>
      <c r="E1408" s="29"/>
      <c r="F1408" s="29"/>
      <c r="G1408" s="29"/>
      <c r="H1408" s="29"/>
      <c r="I1408" s="31"/>
      <c r="J1408" s="31"/>
      <c r="K1408" s="31"/>
      <c r="L1408" s="31"/>
      <c r="M1408" s="29" t="s">
        <v>39</v>
      </c>
      <c r="N1408" s="31">
        <v>29.4</v>
      </c>
      <c r="O1408" s="31">
        <v>0</v>
      </c>
      <c r="P1408" s="31">
        <v>4</v>
      </c>
      <c r="Q1408" s="31">
        <v>0</v>
      </c>
      <c r="R1408" s="31">
        <v>0</v>
      </c>
      <c r="S1408" s="31">
        <v>0</v>
      </c>
      <c r="Y1408" s="29"/>
      <c r="Z1408" s="23"/>
      <c r="AA1408" s="3" t="str">
        <f t="shared" si="11"/>
        <v>___</v>
      </c>
      <c r="AB1408" s="3" t="str">
        <f t="shared" si="10"/>
        <v>____</v>
      </c>
    </row>
    <row r="1409" spans="1:29" ht="14">
      <c r="A1409" s="3">
        <v>1408</v>
      </c>
      <c r="B1409" s="28" t="s">
        <v>183</v>
      </c>
      <c r="C1409" s="5" t="s">
        <v>184</v>
      </c>
      <c r="D1409" s="28">
        <v>53</v>
      </c>
      <c r="E1409" s="26" t="s">
        <v>163</v>
      </c>
      <c r="F1409" s="26" t="s">
        <v>34</v>
      </c>
      <c r="G1409" s="26" t="s">
        <v>144</v>
      </c>
      <c r="H1409" s="26" t="s">
        <v>35</v>
      </c>
      <c r="I1409" s="28">
        <v>2</v>
      </c>
      <c r="J1409" s="28">
        <v>7</v>
      </c>
      <c r="K1409" s="28">
        <v>16.7</v>
      </c>
      <c r="L1409" s="28">
        <v>5</v>
      </c>
      <c r="M1409" s="26" t="s">
        <v>36</v>
      </c>
      <c r="N1409" s="28">
        <v>45.3</v>
      </c>
      <c r="O1409" s="28">
        <v>15</v>
      </c>
      <c r="P1409" s="28">
        <v>16</v>
      </c>
      <c r="Q1409" s="28">
        <v>0</v>
      </c>
      <c r="R1409" s="28">
        <v>0</v>
      </c>
      <c r="S1409" s="28">
        <v>1</v>
      </c>
      <c r="Y1409" s="26"/>
      <c r="Z1409" s="23"/>
      <c r="AA1409" s="3" t="str">
        <f t="shared" si="11"/>
        <v>ANO_016_53_V1-C5_vv</v>
      </c>
      <c r="AB1409" s="3" t="str">
        <f t="shared" si="10"/>
        <v>ANO_016_53_V1-C5_vv_2</v>
      </c>
    </row>
    <row r="1410" spans="1:29" ht="14">
      <c r="A1410" s="3">
        <v>1409</v>
      </c>
      <c r="B1410" s="28"/>
      <c r="C1410" s="5"/>
      <c r="D1410" s="28"/>
      <c r="E1410" s="26"/>
      <c r="F1410" s="26"/>
      <c r="G1410" s="26"/>
      <c r="H1410" s="26"/>
      <c r="I1410" s="28"/>
      <c r="J1410" s="28"/>
      <c r="K1410" s="28"/>
      <c r="L1410" s="28"/>
      <c r="M1410" s="26" t="s">
        <v>38</v>
      </c>
      <c r="N1410" s="28">
        <v>29.8</v>
      </c>
      <c r="O1410" s="28">
        <v>0</v>
      </c>
      <c r="P1410" s="28">
        <v>6</v>
      </c>
      <c r="Q1410" s="28">
        <v>0</v>
      </c>
      <c r="R1410" s="28">
        <v>0</v>
      </c>
      <c r="S1410" s="28">
        <v>0</v>
      </c>
      <c r="Y1410" s="26"/>
      <c r="Z1410" s="23"/>
      <c r="AA1410" s="3" t="str">
        <f t="shared" si="11"/>
        <v>___</v>
      </c>
      <c r="AB1410" s="3" t="str">
        <f t="shared" si="10"/>
        <v>____</v>
      </c>
    </row>
    <row r="1411" spans="1:29" ht="14">
      <c r="A1411" s="3">
        <v>1410</v>
      </c>
      <c r="B1411" s="31"/>
      <c r="C1411" s="30"/>
      <c r="D1411" s="31"/>
      <c r="E1411" s="29"/>
      <c r="F1411" s="29"/>
      <c r="G1411" s="29"/>
      <c r="H1411" s="29"/>
      <c r="I1411" s="31"/>
      <c r="J1411" s="31"/>
      <c r="K1411" s="31"/>
      <c r="L1411" s="31"/>
      <c r="M1411" s="29" t="s">
        <v>39</v>
      </c>
      <c r="N1411" s="31">
        <v>36.1</v>
      </c>
      <c r="O1411" s="31">
        <v>0</v>
      </c>
      <c r="P1411" s="31">
        <v>6</v>
      </c>
      <c r="Q1411" s="31">
        <v>0</v>
      </c>
      <c r="R1411" s="31">
        <v>0</v>
      </c>
      <c r="S1411" s="31">
        <v>0</v>
      </c>
      <c r="Y1411" s="29"/>
      <c r="Z1411" s="23"/>
      <c r="AA1411" s="3" t="str">
        <f t="shared" si="11"/>
        <v>___</v>
      </c>
      <c r="AB1411" s="3" t="str">
        <f t="shared" si="10"/>
        <v>____</v>
      </c>
    </row>
    <row r="1412" spans="1:29" ht="14">
      <c r="A1412" s="3">
        <v>1411</v>
      </c>
      <c r="B1412" s="28" t="s">
        <v>183</v>
      </c>
      <c r="C1412" s="5" t="s">
        <v>184</v>
      </c>
      <c r="D1412" s="28">
        <v>53</v>
      </c>
      <c r="E1412" s="26" t="s">
        <v>163</v>
      </c>
      <c r="F1412" s="26" t="s">
        <v>34</v>
      </c>
      <c r="G1412" s="26" t="s">
        <v>144</v>
      </c>
      <c r="H1412" s="26" t="s">
        <v>35</v>
      </c>
      <c r="I1412" s="28">
        <v>3</v>
      </c>
      <c r="J1412" s="28">
        <v>8</v>
      </c>
      <c r="K1412" s="28">
        <v>14.8</v>
      </c>
      <c r="L1412" s="28">
        <v>4</v>
      </c>
      <c r="M1412" s="26" t="s">
        <v>36</v>
      </c>
      <c r="N1412" s="28">
        <v>36.1</v>
      </c>
      <c r="O1412" s="28">
        <v>7</v>
      </c>
      <c r="P1412" s="28">
        <v>8</v>
      </c>
      <c r="Q1412" s="28">
        <v>0</v>
      </c>
      <c r="R1412" s="28">
        <v>0</v>
      </c>
      <c r="S1412" s="28">
        <v>0</v>
      </c>
      <c r="Y1412" s="26"/>
      <c r="Z1412" s="23"/>
      <c r="AA1412" s="3" t="str">
        <f t="shared" si="11"/>
        <v>ANO_016_53_V1-C5_vv</v>
      </c>
      <c r="AB1412" s="3" t="str">
        <f t="shared" si="10"/>
        <v>ANO_016_53_V1-C5_vv_3</v>
      </c>
    </row>
    <row r="1413" spans="1:29" ht="14">
      <c r="A1413" s="3">
        <v>1412</v>
      </c>
      <c r="B1413" s="28"/>
      <c r="C1413" s="5"/>
      <c r="D1413" s="28"/>
      <c r="E1413" s="26"/>
      <c r="F1413" s="26"/>
      <c r="G1413" s="26"/>
      <c r="H1413" s="26"/>
      <c r="I1413" s="28"/>
      <c r="J1413" s="28"/>
      <c r="K1413" s="28"/>
      <c r="L1413" s="28"/>
      <c r="M1413" s="26" t="s">
        <v>38</v>
      </c>
      <c r="N1413" s="28">
        <v>43.2</v>
      </c>
      <c r="O1413" s="28">
        <v>4</v>
      </c>
      <c r="P1413" s="28">
        <v>6</v>
      </c>
      <c r="Q1413" s="28">
        <v>0</v>
      </c>
      <c r="R1413" s="28">
        <v>0</v>
      </c>
      <c r="S1413" s="28">
        <v>0</v>
      </c>
      <c r="Y1413" s="26"/>
      <c r="Z1413" s="23"/>
      <c r="AA1413" s="3" t="str">
        <f t="shared" si="11"/>
        <v>___</v>
      </c>
      <c r="AB1413" s="3" t="str">
        <f t="shared" si="10"/>
        <v>____</v>
      </c>
    </row>
    <row r="1414" spans="1:29" ht="14">
      <c r="A1414" s="3">
        <v>1413</v>
      </c>
      <c r="B1414" s="31"/>
      <c r="C1414" s="30"/>
      <c r="D1414" s="31"/>
      <c r="E1414" s="29"/>
      <c r="F1414" s="29"/>
      <c r="G1414" s="29"/>
      <c r="H1414" s="29"/>
      <c r="I1414" s="31"/>
      <c r="J1414" s="31"/>
      <c r="K1414" s="31"/>
      <c r="L1414" s="31"/>
      <c r="M1414" s="29" t="s">
        <v>39</v>
      </c>
      <c r="N1414" s="31">
        <v>32.200000000000003</v>
      </c>
      <c r="O1414" s="31">
        <v>0</v>
      </c>
      <c r="P1414" s="31">
        <v>0</v>
      </c>
      <c r="Q1414" s="31">
        <v>0</v>
      </c>
      <c r="R1414" s="31">
        <v>0</v>
      </c>
      <c r="S1414" s="31">
        <v>0</v>
      </c>
      <c r="Y1414" s="29"/>
      <c r="Z1414" s="23"/>
      <c r="AA1414" s="3" t="str">
        <f t="shared" si="11"/>
        <v>___</v>
      </c>
      <c r="AB1414" s="3" t="str">
        <f t="shared" si="10"/>
        <v>____</v>
      </c>
    </row>
    <row r="1415" spans="1:29" ht="14">
      <c r="A1415" s="3">
        <v>1414</v>
      </c>
      <c r="B1415" s="28" t="s">
        <v>183</v>
      </c>
      <c r="C1415" s="5" t="s">
        <v>184</v>
      </c>
      <c r="D1415" s="28">
        <v>24</v>
      </c>
      <c r="E1415" s="26" t="s">
        <v>163</v>
      </c>
      <c r="F1415" s="26" t="s">
        <v>180</v>
      </c>
      <c r="G1415" s="26" t="s">
        <v>147</v>
      </c>
      <c r="H1415" s="26" t="s">
        <v>35</v>
      </c>
      <c r="I1415" s="28">
        <v>1</v>
      </c>
      <c r="J1415" s="28">
        <v>13</v>
      </c>
      <c r="K1415" s="28">
        <v>14.5</v>
      </c>
      <c r="L1415" s="28">
        <v>5</v>
      </c>
      <c r="M1415" s="26" t="s">
        <v>36</v>
      </c>
      <c r="N1415" s="28">
        <v>40.200000000000003</v>
      </c>
      <c r="O1415" s="28">
        <v>8</v>
      </c>
      <c r="P1415" s="28">
        <v>0</v>
      </c>
      <c r="Q1415" s="28">
        <v>0</v>
      </c>
      <c r="R1415" s="28">
        <v>0</v>
      </c>
      <c r="S1415" s="28">
        <v>0</v>
      </c>
      <c r="Y1415" s="26"/>
      <c r="Z1415" s="23"/>
      <c r="AA1415" s="3" t="str">
        <f t="shared" si="11"/>
        <v>ANO_016_24_T4-C5_vv</v>
      </c>
      <c r="AB1415" s="3" t="str">
        <f t="shared" si="10"/>
        <v>ANO_016_24_T4-C5_vv_1</v>
      </c>
      <c r="AC1415" s="3" t="s">
        <v>37</v>
      </c>
    </row>
    <row r="1416" spans="1:29" ht="14">
      <c r="A1416" s="3">
        <v>1415</v>
      </c>
      <c r="B1416" s="28"/>
      <c r="C1416" s="5"/>
      <c r="D1416" s="28"/>
      <c r="E1416" s="26"/>
      <c r="F1416" s="26"/>
      <c r="G1416" s="26"/>
      <c r="H1416" s="26"/>
      <c r="I1416" s="28"/>
      <c r="J1416" s="28"/>
      <c r="K1416" s="28"/>
      <c r="L1416" s="28"/>
      <c r="M1416" s="26" t="s">
        <v>38</v>
      </c>
      <c r="N1416" s="28">
        <v>45.5</v>
      </c>
      <c r="O1416" s="28">
        <v>7</v>
      </c>
      <c r="P1416" s="28">
        <v>9</v>
      </c>
      <c r="Q1416" s="28">
        <v>0</v>
      </c>
      <c r="R1416" s="28">
        <v>0</v>
      </c>
      <c r="S1416" s="28">
        <v>0</v>
      </c>
      <c r="Y1416" s="26"/>
      <c r="Z1416" s="23"/>
      <c r="AA1416" s="3" t="str">
        <f t="shared" si="11"/>
        <v>___</v>
      </c>
      <c r="AB1416" s="3" t="str">
        <f t="shared" si="10"/>
        <v>____</v>
      </c>
    </row>
    <row r="1417" spans="1:29" ht="14">
      <c r="A1417" s="3">
        <v>1416</v>
      </c>
      <c r="B1417" s="31"/>
      <c r="C1417" s="30"/>
      <c r="D1417" s="31"/>
      <c r="E1417" s="29"/>
      <c r="F1417" s="29"/>
      <c r="G1417" s="29"/>
      <c r="H1417" s="29"/>
      <c r="I1417" s="31"/>
      <c r="J1417" s="31"/>
      <c r="K1417" s="31"/>
      <c r="L1417" s="31"/>
      <c r="M1417" s="29" t="s">
        <v>39</v>
      </c>
      <c r="N1417" s="31">
        <v>25.7</v>
      </c>
      <c r="O1417" s="31">
        <v>2</v>
      </c>
      <c r="P1417" s="31">
        <v>4</v>
      </c>
      <c r="Q1417" s="31">
        <v>0</v>
      </c>
      <c r="R1417" s="31">
        <v>0</v>
      </c>
      <c r="S1417" s="31">
        <v>0</v>
      </c>
      <c r="Y1417" s="29"/>
      <c r="Z1417" s="23"/>
      <c r="AA1417" s="3" t="str">
        <f t="shared" si="11"/>
        <v>___</v>
      </c>
      <c r="AB1417" s="3" t="str">
        <f t="shared" si="10"/>
        <v>____</v>
      </c>
    </row>
    <row r="1418" spans="1:29" ht="14">
      <c r="A1418" s="3">
        <v>1417</v>
      </c>
      <c r="B1418" s="28" t="s">
        <v>183</v>
      </c>
      <c r="C1418" s="5" t="s">
        <v>184</v>
      </c>
      <c r="D1418" s="28">
        <v>24</v>
      </c>
      <c r="E1418" s="26" t="s">
        <v>163</v>
      </c>
      <c r="F1418" s="26" t="s">
        <v>42</v>
      </c>
      <c r="G1418" s="26" t="s">
        <v>147</v>
      </c>
      <c r="H1418" s="26" t="s">
        <v>35</v>
      </c>
      <c r="I1418" s="28">
        <v>2</v>
      </c>
      <c r="J1418" s="28">
        <v>9</v>
      </c>
      <c r="K1418" s="28">
        <v>10.199999999999999</v>
      </c>
      <c r="L1418" s="28">
        <v>4</v>
      </c>
      <c r="M1418" s="26" t="s">
        <v>36</v>
      </c>
      <c r="N1418" s="28">
        <v>24.6</v>
      </c>
      <c r="O1418" s="28">
        <v>8</v>
      </c>
      <c r="P1418" s="28">
        <v>8</v>
      </c>
      <c r="Q1418" s="28">
        <v>0</v>
      </c>
      <c r="R1418" s="28">
        <v>0</v>
      </c>
      <c r="S1418" s="28">
        <v>0</v>
      </c>
      <c r="Y1418" s="26"/>
      <c r="Z1418" s="23"/>
      <c r="AA1418" s="3" t="str">
        <f t="shared" si="11"/>
        <v>ANO_016_24_T4-C5_vv</v>
      </c>
      <c r="AB1418" s="3" t="str">
        <f t="shared" si="10"/>
        <v>ANO_016_24_T4-C5_vv_2</v>
      </c>
      <c r="AC1418" s="3" t="s">
        <v>37</v>
      </c>
    </row>
    <row r="1419" spans="1:29" ht="14">
      <c r="A1419" s="3">
        <v>1418</v>
      </c>
      <c r="B1419" s="26"/>
      <c r="C1419" s="5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 t="s">
        <v>38</v>
      </c>
      <c r="N1419" s="28">
        <v>22.2</v>
      </c>
      <c r="O1419" s="28">
        <v>5</v>
      </c>
      <c r="P1419" s="28">
        <v>6</v>
      </c>
      <c r="Q1419" s="28">
        <v>0</v>
      </c>
      <c r="R1419" s="28">
        <v>0</v>
      </c>
      <c r="S1419" s="28">
        <v>0</v>
      </c>
      <c r="Y1419" s="26"/>
      <c r="Z1419" s="23"/>
      <c r="AA1419" s="3" t="str">
        <f t="shared" si="11"/>
        <v>___</v>
      </c>
      <c r="AB1419" s="3" t="str">
        <f t="shared" si="10"/>
        <v>____</v>
      </c>
    </row>
    <row r="1420" spans="1:29" ht="14">
      <c r="A1420" s="3">
        <v>1419</v>
      </c>
      <c r="B1420" s="31"/>
      <c r="C1420" s="30"/>
      <c r="D1420" s="31"/>
      <c r="E1420" s="29"/>
      <c r="F1420" s="29"/>
      <c r="G1420" s="29"/>
      <c r="H1420" s="29"/>
      <c r="I1420" s="31"/>
      <c r="J1420" s="31"/>
      <c r="K1420" s="31"/>
      <c r="L1420" s="31"/>
      <c r="M1420" s="29" t="s">
        <v>39</v>
      </c>
      <c r="N1420" s="31">
        <v>23.1</v>
      </c>
      <c r="O1420" s="31">
        <v>0</v>
      </c>
      <c r="P1420" s="31">
        <v>4</v>
      </c>
      <c r="Q1420" s="31">
        <v>0</v>
      </c>
      <c r="R1420" s="31">
        <v>0</v>
      </c>
      <c r="S1420" s="31">
        <v>0</v>
      </c>
      <c r="Y1420" s="29"/>
      <c r="Z1420" s="23"/>
      <c r="AA1420" s="3" t="str">
        <f t="shared" si="11"/>
        <v>___</v>
      </c>
      <c r="AB1420" s="3" t="str">
        <f t="shared" si="10"/>
        <v>____</v>
      </c>
    </row>
    <row r="1421" spans="1:29" ht="14">
      <c r="A1421" s="3">
        <v>1420</v>
      </c>
      <c r="B1421" s="28" t="s">
        <v>183</v>
      </c>
      <c r="C1421" s="5" t="s">
        <v>184</v>
      </c>
      <c r="D1421" s="28">
        <v>24</v>
      </c>
      <c r="E1421" s="26" t="s">
        <v>163</v>
      </c>
      <c r="F1421" s="26" t="s">
        <v>180</v>
      </c>
      <c r="G1421" s="26" t="s">
        <v>147</v>
      </c>
      <c r="H1421" s="26" t="s">
        <v>35</v>
      </c>
      <c r="I1421" s="28">
        <v>3</v>
      </c>
      <c r="J1421" s="28">
        <v>10</v>
      </c>
      <c r="K1421" s="28">
        <v>12.5</v>
      </c>
      <c r="L1421" s="28">
        <v>4</v>
      </c>
      <c r="M1421" s="26" t="s">
        <v>36</v>
      </c>
      <c r="N1421" s="28">
        <v>35.4</v>
      </c>
      <c r="O1421" s="28">
        <v>10</v>
      </c>
      <c r="P1421" s="28">
        <v>10</v>
      </c>
      <c r="Q1421" s="28">
        <v>0</v>
      </c>
      <c r="R1421" s="28">
        <v>0</v>
      </c>
      <c r="S1421" s="28">
        <v>0</v>
      </c>
      <c r="Y1421" s="26"/>
      <c r="Z1421" s="23"/>
      <c r="AA1421" s="3" t="str">
        <f t="shared" si="11"/>
        <v>ANO_016_24_T4-C5_vv</v>
      </c>
      <c r="AB1421" s="3" t="str">
        <f t="shared" si="10"/>
        <v>ANO_016_24_T4-C5_vv_3</v>
      </c>
      <c r="AC1421" s="3" t="s">
        <v>37</v>
      </c>
    </row>
    <row r="1422" spans="1:29" ht="14">
      <c r="A1422" s="3">
        <v>1421</v>
      </c>
      <c r="B1422" s="26"/>
      <c r="C1422" s="5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 t="s">
        <v>38</v>
      </c>
      <c r="N1422" s="28">
        <v>30</v>
      </c>
      <c r="O1422" s="28">
        <v>5</v>
      </c>
      <c r="P1422" s="28">
        <v>6</v>
      </c>
      <c r="Q1422" s="28">
        <v>0</v>
      </c>
      <c r="R1422" s="28">
        <v>0</v>
      </c>
      <c r="S1422" s="28">
        <v>0</v>
      </c>
      <c r="Y1422" s="26"/>
      <c r="Z1422" s="23"/>
      <c r="AA1422" s="3" t="str">
        <f t="shared" si="11"/>
        <v>___</v>
      </c>
      <c r="AB1422" s="3" t="str">
        <f t="shared" si="10"/>
        <v>____</v>
      </c>
    </row>
    <row r="1423" spans="1:29" ht="14">
      <c r="A1423" s="3">
        <v>1422</v>
      </c>
      <c r="B1423" s="26"/>
      <c r="C1423" s="5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 t="s">
        <v>39</v>
      </c>
      <c r="N1423" s="28">
        <v>30.1</v>
      </c>
      <c r="O1423" s="28">
        <v>1</v>
      </c>
      <c r="P1423" s="28">
        <v>4</v>
      </c>
      <c r="Q1423" s="28">
        <v>0</v>
      </c>
      <c r="R1423" s="28">
        <v>0</v>
      </c>
      <c r="S1423" s="28">
        <v>0</v>
      </c>
      <c r="Y1423" s="26"/>
      <c r="Z1423" s="23"/>
      <c r="AA1423" s="3" t="str">
        <f t="shared" si="11"/>
        <v>___</v>
      </c>
      <c r="AB1423" s="3" t="str">
        <f t="shared" si="10"/>
        <v>____</v>
      </c>
    </row>
    <row r="1424" spans="1:29" ht="14">
      <c r="A1424" s="3">
        <v>1423</v>
      </c>
      <c r="B1424" s="24" t="s">
        <v>190</v>
      </c>
      <c r="C1424" s="25" t="s">
        <v>191</v>
      </c>
      <c r="D1424" s="24">
        <v>15</v>
      </c>
      <c r="E1424" s="27" t="s">
        <v>163</v>
      </c>
      <c r="F1424" s="27" t="s">
        <v>180</v>
      </c>
      <c r="G1424" s="27" t="s">
        <v>136</v>
      </c>
      <c r="H1424" s="27" t="s">
        <v>40</v>
      </c>
      <c r="I1424" s="24">
        <v>1</v>
      </c>
      <c r="J1424" s="24">
        <v>62</v>
      </c>
      <c r="K1424" s="24">
        <v>64.400000000000006</v>
      </c>
      <c r="L1424" s="24">
        <v>8</v>
      </c>
      <c r="M1424" s="27" t="s">
        <v>36</v>
      </c>
      <c r="N1424" s="24">
        <v>107.4</v>
      </c>
      <c r="O1424" s="24">
        <v>10</v>
      </c>
      <c r="P1424" s="24">
        <v>10</v>
      </c>
      <c r="Q1424" s="24">
        <v>0</v>
      </c>
      <c r="R1424" s="24">
        <v>0</v>
      </c>
      <c r="S1424" s="24">
        <v>0</v>
      </c>
      <c r="Y1424" s="27"/>
      <c r="Z1424" s="23"/>
      <c r="AA1424" s="3" t="str">
        <f t="shared" si="11"/>
        <v>ANO_1159_15_T4-C1_vm</v>
      </c>
      <c r="AB1424" s="3" t="str">
        <f t="shared" si="10"/>
        <v>ANO_1159_15_T4-C1_vm_1</v>
      </c>
      <c r="AC1424" s="3" t="s">
        <v>37</v>
      </c>
    </row>
    <row r="1425" spans="1:29" ht="14">
      <c r="A1425" s="3">
        <v>1424</v>
      </c>
      <c r="B1425" s="26"/>
      <c r="C1425" s="5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 t="s">
        <v>38</v>
      </c>
      <c r="N1425" s="28">
        <v>154.80000000000001</v>
      </c>
      <c r="O1425" s="28">
        <v>0</v>
      </c>
      <c r="P1425" s="28">
        <v>7</v>
      </c>
      <c r="Q1425" s="28">
        <v>5</v>
      </c>
      <c r="R1425" s="28">
        <v>5</v>
      </c>
      <c r="S1425" s="28">
        <v>0</v>
      </c>
      <c r="Y1425" s="26"/>
      <c r="Z1425" s="23"/>
      <c r="AA1425" s="3" t="str">
        <f t="shared" si="11"/>
        <v>___</v>
      </c>
      <c r="AB1425" s="3" t="str">
        <f t="shared" si="10"/>
        <v>____</v>
      </c>
    </row>
    <row r="1426" spans="1:29" ht="14">
      <c r="A1426" s="3">
        <v>1425</v>
      </c>
      <c r="B1426" s="29"/>
      <c r="C1426" s="30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 t="s">
        <v>39</v>
      </c>
      <c r="N1426" s="31">
        <v>82.7</v>
      </c>
      <c r="O1426" s="31">
        <v>0</v>
      </c>
      <c r="P1426" s="31">
        <v>4</v>
      </c>
      <c r="Q1426" s="31">
        <v>2</v>
      </c>
      <c r="R1426" s="31">
        <v>81</v>
      </c>
      <c r="S1426" s="31">
        <v>0</v>
      </c>
      <c r="Y1426" s="29" t="s">
        <v>192</v>
      </c>
      <c r="Z1426" s="23"/>
      <c r="AA1426" s="3" t="str">
        <f t="shared" si="11"/>
        <v>___</v>
      </c>
      <c r="AB1426" s="3" t="str">
        <f t="shared" si="10"/>
        <v>____</v>
      </c>
    </row>
    <row r="1427" spans="1:29" ht="14">
      <c r="A1427" s="3">
        <v>1426</v>
      </c>
      <c r="B1427" s="28" t="s">
        <v>190</v>
      </c>
      <c r="C1427" s="5" t="s">
        <v>191</v>
      </c>
      <c r="D1427" s="28">
        <v>15</v>
      </c>
      <c r="E1427" s="26" t="s">
        <v>163</v>
      </c>
      <c r="F1427" s="26" t="s">
        <v>180</v>
      </c>
      <c r="G1427" s="26" t="s">
        <v>136</v>
      </c>
      <c r="H1427" s="26" t="s">
        <v>40</v>
      </c>
      <c r="I1427" s="28">
        <v>2</v>
      </c>
      <c r="J1427" s="28">
        <v>44.5</v>
      </c>
      <c r="K1427" s="28">
        <v>46.3</v>
      </c>
      <c r="L1427" s="28">
        <v>6</v>
      </c>
      <c r="M1427" s="26" t="s">
        <v>36</v>
      </c>
      <c r="N1427" s="28">
        <v>52.9</v>
      </c>
      <c r="O1427" s="28">
        <v>5</v>
      </c>
      <c r="P1427" s="28">
        <v>6</v>
      </c>
      <c r="Q1427" s="28">
        <v>0</v>
      </c>
      <c r="R1427" s="28">
        <v>0</v>
      </c>
      <c r="S1427" s="28">
        <v>0</v>
      </c>
      <c r="Y1427" s="26" t="s">
        <v>166</v>
      </c>
      <c r="Z1427" s="23"/>
      <c r="AA1427" s="3" t="str">
        <f t="shared" si="11"/>
        <v>ANO_1159_15_T4-C1_vm</v>
      </c>
      <c r="AB1427" s="3" t="str">
        <f t="shared" si="10"/>
        <v>ANO_1159_15_T4-C1_vm_2</v>
      </c>
      <c r="AC1427" s="3" t="s">
        <v>37</v>
      </c>
    </row>
    <row r="1428" spans="1:29" ht="14">
      <c r="A1428" s="3">
        <v>1427</v>
      </c>
      <c r="B1428" s="26"/>
      <c r="C1428" s="5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 t="s">
        <v>38</v>
      </c>
      <c r="N1428" s="28">
        <v>80</v>
      </c>
      <c r="O1428" s="28">
        <v>0</v>
      </c>
      <c r="P1428" s="28">
        <v>3</v>
      </c>
      <c r="Q1428" s="28">
        <v>3</v>
      </c>
      <c r="R1428" s="28">
        <v>3</v>
      </c>
      <c r="S1428" s="28">
        <v>0</v>
      </c>
      <c r="Y1428" s="26"/>
      <c r="Z1428" s="23"/>
      <c r="AA1428" s="3" t="str">
        <f t="shared" si="11"/>
        <v>___</v>
      </c>
      <c r="AB1428" s="3" t="str">
        <f t="shared" si="10"/>
        <v>____</v>
      </c>
    </row>
    <row r="1429" spans="1:29" ht="14">
      <c r="A1429" s="3">
        <v>1428</v>
      </c>
      <c r="B1429" s="26"/>
      <c r="C1429" s="5"/>
      <c r="D1429" s="26"/>
      <c r="E1429" s="26"/>
      <c r="F1429" s="26"/>
      <c r="G1429" s="26"/>
      <c r="H1429" s="26"/>
      <c r="I1429" s="26"/>
      <c r="J1429" s="26"/>
      <c r="K1429" s="26"/>
      <c r="L1429" s="26"/>
      <c r="M1429" s="29" t="s">
        <v>39</v>
      </c>
      <c r="N1429" s="28">
        <v>68.5</v>
      </c>
      <c r="O1429" s="28">
        <v>0</v>
      </c>
      <c r="P1429" s="28">
        <v>4</v>
      </c>
      <c r="Q1429" s="28">
        <v>3</v>
      </c>
      <c r="R1429" s="28">
        <v>57</v>
      </c>
      <c r="S1429" s="28">
        <v>0</v>
      </c>
      <c r="Y1429" s="26"/>
      <c r="Z1429" s="23"/>
      <c r="AA1429" s="3" t="str">
        <f t="shared" si="11"/>
        <v>___</v>
      </c>
      <c r="AB1429" s="3" t="str">
        <f t="shared" si="10"/>
        <v>____</v>
      </c>
    </row>
    <row r="1430" spans="1:29" ht="14">
      <c r="A1430" s="3">
        <v>1429</v>
      </c>
      <c r="B1430" s="24" t="s">
        <v>190</v>
      </c>
      <c r="C1430" s="25" t="s">
        <v>191</v>
      </c>
      <c r="D1430" s="24">
        <v>15</v>
      </c>
      <c r="E1430" s="27" t="s">
        <v>163</v>
      </c>
      <c r="F1430" s="27" t="s">
        <v>180</v>
      </c>
      <c r="G1430" s="27" t="s">
        <v>136</v>
      </c>
      <c r="H1430" s="27" t="s">
        <v>40</v>
      </c>
      <c r="I1430" s="24">
        <v>3</v>
      </c>
      <c r="J1430" s="24">
        <v>56.6</v>
      </c>
      <c r="K1430" s="24">
        <v>58.8</v>
      </c>
      <c r="L1430" s="24">
        <v>6</v>
      </c>
      <c r="M1430" s="26" t="s">
        <v>36</v>
      </c>
      <c r="N1430" s="24">
        <v>95.3</v>
      </c>
      <c r="O1430" s="24">
        <v>4</v>
      </c>
      <c r="P1430" s="24">
        <v>6</v>
      </c>
      <c r="Q1430" s="24">
        <v>3</v>
      </c>
      <c r="R1430" s="24">
        <v>3</v>
      </c>
      <c r="S1430" s="24">
        <v>1</v>
      </c>
      <c r="Y1430" s="27" t="s">
        <v>166</v>
      </c>
      <c r="Z1430" s="23"/>
      <c r="AA1430" s="3" t="str">
        <f t="shared" si="11"/>
        <v>ANO_1159_15_T4-C1_vm</v>
      </c>
      <c r="AB1430" s="3" t="str">
        <f t="shared" si="10"/>
        <v>ANO_1159_15_T4-C1_vm_3</v>
      </c>
      <c r="AC1430" s="3" t="s">
        <v>37</v>
      </c>
    </row>
    <row r="1431" spans="1:29" ht="14">
      <c r="A1431" s="3">
        <v>1430</v>
      </c>
      <c r="B1431" s="26"/>
      <c r="C1431" s="5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 t="s">
        <v>38</v>
      </c>
      <c r="N1431" s="28">
        <v>71.2</v>
      </c>
      <c r="O1431" s="28">
        <v>0</v>
      </c>
      <c r="P1431" s="28">
        <v>3</v>
      </c>
      <c r="Q1431" s="28">
        <v>3</v>
      </c>
      <c r="R1431" s="28">
        <v>12</v>
      </c>
      <c r="S1431" s="28">
        <v>0</v>
      </c>
      <c r="Y1431" s="26"/>
      <c r="Z1431" s="23"/>
      <c r="AA1431" s="3" t="str">
        <f t="shared" si="11"/>
        <v>___</v>
      </c>
      <c r="AB1431" s="3" t="str">
        <f t="shared" si="10"/>
        <v>____</v>
      </c>
    </row>
    <row r="1432" spans="1:29" ht="14">
      <c r="A1432" s="3">
        <v>1431</v>
      </c>
      <c r="B1432" s="29"/>
      <c r="C1432" s="30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 t="s">
        <v>39</v>
      </c>
      <c r="N1432" s="31">
        <v>56.3</v>
      </c>
      <c r="O1432" s="31">
        <v>0</v>
      </c>
      <c r="P1432" s="31">
        <v>4</v>
      </c>
      <c r="Q1432" s="31">
        <v>0</v>
      </c>
      <c r="R1432" s="31">
        <v>0</v>
      </c>
      <c r="S1432" s="31">
        <v>0</v>
      </c>
      <c r="Y1432" s="29"/>
      <c r="Z1432" s="23"/>
      <c r="AA1432" s="3" t="str">
        <f t="shared" si="11"/>
        <v>___</v>
      </c>
      <c r="AB1432" s="3" t="str">
        <f t="shared" si="10"/>
        <v>____</v>
      </c>
    </row>
    <row r="1433" spans="1:29" ht="14">
      <c r="A1433" s="3">
        <v>1432</v>
      </c>
      <c r="B1433" s="28" t="s">
        <v>190</v>
      </c>
      <c r="C1433" s="5" t="s">
        <v>191</v>
      </c>
      <c r="D1433" s="28">
        <v>15</v>
      </c>
      <c r="E1433" s="26" t="s">
        <v>163</v>
      </c>
      <c r="F1433" s="26" t="s">
        <v>180</v>
      </c>
      <c r="G1433" s="26" t="s">
        <v>136</v>
      </c>
      <c r="H1433" s="26" t="s">
        <v>35</v>
      </c>
      <c r="I1433" s="28">
        <v>1</v>
      </c>
      <c r="J1433" s="28">
        <v>11</v>
      </c>
      <c r="K1433" s="28">
        <v>12.8</v>
      </c>
      <c r="L1433" s="28">
        <v>3</v>
      </c>
      <c r="M1433" s="26" t="s">
        <v>36</v>
      </c>
      <c r="N1433" s="28">
        <v>54.6</v>
      </c>
      <c r="O1433" s="28">
        <v>18</v>
      </c>
      <c r="P1433" s="28">
        <v>19</v>
      </c>
      <c r="Q1433" s="28">
        <v>0</v>
      </c>
      <c r="R1433" s="28">
        <v>0</v>
      </c>
      <c r="S1433" s="28">
        <v>0</v>
      </c>
      <c r="Y1433" s="26"/>
      <c r="Z1433" s="23"/>
      <c r="AA1433" s="3" t="str">
        <f t="shared" si="11"/>
        <v>ANO_1159_15_T4-C1_vv</v>
      </c>
      <c r="AB1433" s="3" t="str">
        <f t="shared" si="10"/>
        <v>ANO_1159_15_T4-C1_vv_1</v>
      </c>
      <c r="AC1433" s="3" t="s">
        <v>49</v>
      </c>
    </row>
    <row r="1434" spans="1:29" ht="14">
      <c r="A1434" s="3">
        <v>1433</v>
      </c>
      <c r="B1434" s="26"/>
      <c r="C1434" s="5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 t="s">
        <v>38</v>
      </c>
      <c r="N1434" s="28">
        <v>42.2</v>
      </c>
      <c r="O1434" s="28">
        <v>8</v>
      </c>
      <c r="P1434" s="28">
        <v>8</v>
      </c>
      <c r="Q1434" s="28">
        <v>1</v>
      </c>
      <c r="R1434" s="28">
        <v>1</v>
      </c>
      <c r="S1434" s="28">
        <v>0</v>
      </c>
      <c r="Y1434" s="26"/>
      <c r="Z1434" s="23"/>
      <c r="AA1434" s="3" t="str">
        <f t="shared" si="11"/>
        <v>___</v>
      </c>
      <c r="AB1434" s="3" t="str">
        <f t="shared" si="10"/>
        <v>____</v>
      </c>
    </row>
    <row r="1435" spans="1:29" ht="14">
      <c r="A1435" s="3">
        <v>1434</v>
      </c>
      <c r="B1435" s="26"/>
      <c r="C1435" s="5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 t="s">
        <v>39</v>
      </c>
      <c r="N1435" s="28">
        <v>28.2</v>
      </c>
      <c r="O1435" s="28">
        <v>0</v>
      </c>
      <c r="P1435" s="28">
        <v>4</v>
      </c>
      <c r="Q1435" s="28">
        <v>0</v>
      </c>
      <c r="R1435" s="28">
        <v>0</v>
      </c>
      <c r="S1435" s="28">
        <v>0</v>
      </c>
      <c r="Y1435" s="26"/>
      <c r="Z1435" s="23"/>
      <c r="AA1435" s="3" t="str">
        <f t="shared" si="11"/>
        <v>___</v>
      </c>
      <c r="AB1435" s="3" t="str">
        <f t="shared" si="10"/>
        <v>____</v>
      </c>
    </row>
    <row r="1436" spans="1:29" ht="14">
      <c r="A1436" s="3">
        <v>1435</v>
      </c>
      <c r="B1436" s="24" t="s">
        <v>190</v>
      </c>
      <c r="C1436" s="25" t="s">
        <v>191</v>
      </c>
      <c r="D1436" s="24">
        <v>15</v>
      </c>
      <c r="E1436" s="27" t="s">
        <v>163</v>
      </c>
      <c r="F1436" s="27" t="s">
        <v>180</v>
      </c>
      <c r="G1436" s="27" t="s">
        <v>136</v>
      </c>
      <c r="H1436" s="27" t="s">
        <v>35</v>
      </c>
      <c r="I1436" s="24">
        <v>2</v>
      </c>
      <c r="J1436" s="24">
        <v>13</v>
      </c>
      <c r="K1436" s="24">
        <v>13.5</v>
      </c>
      <c r="L1436" s="24">
        <v>7</v>
      </c>
      <c r="M1436" s="27" t="s">
        <v>36</v>
      </c>
      <c r="N1436" s="24">
        <v>33</v>
      </c>
      <c r="O1436" s="24">
        <v>12</v>
      </c>
      <c r="P1436" s="24">
        <v>12</v>
      </c>
      <c r="Q1436" s="24">
        <v>0</v>
      </c>
      <c r="R1436" s="24">
        <v>0</v>
      </c>
      <c r="S1436" s="24">
        <v>0</v>
      </c>
      <c r="Y1436" s="27"/>
      <c r="Z1436" s="23"/>
      <c r="AA1436" s="3" t="str">
        <f t="shared" si="11"/>
        <v>ANO_1159_15_T4-C1_vv</v>
      </c>
      <c r="AB1436" s="3" t="str">
        <f t="shared" si="10"/>
        <v>ANO_1159_15_T4-C1_vv_2</v>
      </c>
      <c r="AC1436" s="3" t="s">
        <v>37</v>
      </c>
    </row>
    <row r="1437" spans="1:29" ht="14">
      <c r="A1437" s="3">
        <v>1436</v>
      </c>
      <c r="B1437" s="26"/>
      <c r="C1437" s="5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 t="s">
        <v>38</v>
      </c>
      <c r="N1437" s="28">
        <v>34.9</v>
      </c>
      <c r="O1437" s="28">
        <v>10</v>
      </c>
      <c r="P1437" s="28">
        <v>10</v>
      </c>
      <c r="Q1437" s="28">
        <v>0</v>
      </c>
      <c r="R1437" s="28">
        <v>0</v>
      </c>
      <c r="S1437" s="28">
        <v>0</v>
      </c>
      <c r="Y1437" s="26"/>
      <c r="Z1437" s="23"/>
      <c r="AA1437" s="3" t="str">
        <f t="shared" si="11"/>
        <v>___</v>
      </c>
      <c r="AB1437" s="3" t="str">
        <f t="shared" si="10"/>
        <v>____</v>
      </c>
    </row>
    <row r="1438" spans="1:29" ht="14">
      <c r="A1438" s="3">
        <v>1437</v>
      </c>
      <c r="B1438" s="29"/>
      <c r="C1438" s="30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 t="s">
        <v>39</v>
      </c>
      <c r="N1438" s="31">
        <v>25.2</v>
      </c>
      <c r="O1438" s="31">
        <v>1</v>
      </c>
      <c r="P1438" s="31">
        <v>4</v>
      </c>
      <c r="Q1438" s="31">
        <v>0</v>
      </c>
      <c r="R1438" s="31">
        <v>0</v>
      </c>
      <c r="S1438" s="31">
        <v>0</v>
      </c>
      <c r="Y1438" s="29"/>
      <c r="Z1438" s="23"/>
      <c r="AA1438" s="3" t="str">
        <f t="shared" si="11"/>
        <v>___</v>
      </c>
      <c r="AB1438" s="3" t="str">
        <f t="shared" si="10"/>
        <v>____</v>
      </c>
    </row>
    <row r="1439" spans="1:29" ht="14">
      <c r="A1439" s="3">
        <v>1438</v>
      </c>
      <c r="B1439" s="28" t="s">
        <v>190</v>
      </c>
      <c r="C1439" s="5" t="s">
        <v>191</v>
      </c>
      <c r="D1439" s="28">
        <v>15</v>
      </c>
      <c r="E1439" s="26" t="s">
        <v>163</v>
      </c>
      <c r="F1439" s="26" t="s">
        <v>180</v>
      </c>
      <c r="G1439" s="26" t="s">
        <v>136</v>
      </c>
      <c r="H1439" s="26" t="s">
        <v>35</v>
      </c>
      <c r="I1439" s="28">
        <v>3</v>
      </c>
      <c r="J1439" s="28">
        <v>13</v>
      </c>
      <c r="K1439" s="28">
        <v>13.9</v>
      </c>
      <c r="L1439" s="26"/>
      <c r="M1439" s="26" t="s">
        <v>36</v>
      </c>
      <c r="N1439" s="28">
        <v>52.6</v>
      </c>
      <c r="O1439" s="28">
        <v>16</v>
      </c>
      <c r="P1439" s="28">
        <v>17</v>
      </c>
      <c r="Q1439" s="28">
        <v>0</v>
      </c>
      <c r="R1439" s="28">
        <v>0</v>
      </c>
      <c r="S1439" s="28">
        <v>0</v>
      </c>
      <c r="Y1439" s="26"/>
      <c r="Z1439" s="23"/>
      <c r="AA1439" s="3" t="str">
        <f t="shared" si="11"/>
        <v>ANO_1159_15_T4-C1_vv</v>
      </c>
      <c r="AB1439" s="3" t="str">
        <f t="shared" si="10"/>
        <v>ANO_1159_15_T4-C1_vv_3</v>
      </c>
      <c r="AC1439" s="3" t="s">
        <v>37</v>
      </c>
    </row>
    <row r="1440" spans="1:29" ht="14">
      <c r="A1440" s="3">
        <v>1439</v>
      </c>
      <c r="B1440" s="26"/>
      <c r="C1440" s="5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 t="s">
        <v>38</v>
      </c>
      <c r="N1440" s="28">
        <v>42.3</v>
      </c>
      <c r="O1440" s="28">
        <v>8</v>
      </c>
      <c r="P1440" s="28">
        <v>10</v>
      </c>
      <c r="Q1440" s="28">
        <v>2</v>
      </c>
      <c r="R1440" s="28">
        <v>2</v>
      </c>
      <c r="S1440" s="28">
        <v>0</v>
      </c>
      <c r="Y1440" s="26"/>
      <c r="Z1440" s="23"/>
      <c r="AA1440" s="3" t="str">
        <f t="shared" si="11"/>
        <v>___</v>
      </c>
      <c r="AB1440" s="3" t="str">
        <f t="shared" si="10"/>
        <v>____</v>
      </c>
    </row>
    <row r="1441" spans="1:29" ht="14">
      <c r="A1441" s="3">
        <v>1440</v>
      </c>
      <c r="B1441" s="29"/>
      <c r="C1441" s="30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 t="s">
        <v>39</v>
      </c>
      <c r="N1441" s="31">
        <v>22</v>
      </c>
      <c r="O1441" s="31">
        <v>0</v>
      </c>
      <c r="P1441" s="31">
        <v>2</v>
      </c>
      <c r="Q1441" s="31">
        <v>0</v>
      </c>
      <c r="R1441" s="31">
        <v>0</v>
      </c>
      <c r="S1441" s="31">
        <v>0</v>
      </c>
      <c r="Y1441" s="29"/>
      <c r="Z1441" s="23"/>
      <c r="AA1441" s="3" t="str">
        <f t="shared" si="11"/>
        <v>___</v>
      </c>
      <c r="AB1441" s="3" t="str">
        <f t="shared" si="10"/>
        <v>____</v>
      </c>
    </row>
    <row r="1442" spans="1:29" ht="14">
      <c r="A1442" s="3">
        <v>1441</v>
      </c>
      <c r="B1442" s="28" t="s">
        <v>190</v>
      </c>
      <c r="C1442" s="5" t="s">
        <v>191</v>
      </c>
      <c r="D1442" s="28">
        <v>22</v>
      </c>
      <c r="E1442" s="26" t="s">
        <v>163</v>
      </c>
      <c r="F1442" s="26" t="s">
        <v>34</v>
      </c>
      <c r="G1442" s="26" t="s">
        <v>160</v>
      </c>
      <c r="H1442" s="26" t="s">
        <v>40</v>
      </c>
      <c r="I1442" s="28">
        <v>1</v>
      </c>
      <c r="J1442" s="28">
        <v>36</v>
      </c>
      <c r="K1442" s="28">
        <v>39.5</v>
      </c>
      <c r="L1442" s="28">
        <v>5</v>
      </c>
      <c r="M1442" s="26" t="s">
        <v>36</v>
      </c>
      <c r="N1442" s="28">
        <v>120.3</v>
      </c>
      <c r="O1442" s="28">
        <v>10</v>
      </c>
      <c r="P1442" s="28">
        <v>10</v>
      </c>
      <c r="Q1442" s="28">
        <v>1</v>
      </c>
      <c r="R1442" s="28">
        <v>1</v>
      </c>
      <c r="S1442" s="28">
        <v>0</v>
      </c>
      <c r="Y1442" s="26" t="s">
        <v>166</v>
      </c>
      <c r="Z1442" s="23"/>
      <c r="AA1442" s="3" t="str">
        <f t="shared" si="11"/>
        <v>ANO_1159_22_V1-C6_vm</v>
      </c>
      <c r="AB1442" s="3" t="str">
        <f t="shared" si="10"/>
        <v>ANO_1159_22_V1-C6_vm_1</v>
      </c>
      <c r="AC1442" s="3" t="s">
        <v>37</v>
      </c>
    </row>
    <row r="1443" spans="1:29" ht="14">
      <c r="A1443" s="3">
        <v>1442</v>
      </c>
      <c r="B1443" s="26"/>
      <c r="C1443" s="5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 t="s">
        <v>38</v>
      </c>
      <c r="N1443" s="28">
        <v>68.7</v>
      </c>
      <c r="O1443" s="28">
        <v>0</v>
      </c>
      <c r="P1443" s="28">
        <v>3</v>
      </c>
      <c r="Q1443" s="28">
        <v>3</v>
      </c>
      <c r="R1443" s="28">
        <v>4</v>
      </c>
      <c r="S1443" s="28">
        <v>0</v>
      </c>
      <c r="Y1443" s="26"/>
      <c r="Z1443" s="23"/>
      <c r="AA1443" s="3" t="str">
        <f t="shared" si="11"/>
        <v>___</v>
      </c>
      <c r="AB1443" s="3" t="str">
        <f t="shared" si="10"/>
        <v>____</v>
      </c>
    </row>
    <row r="1444" spans="1:29" ht="14">
      <c r="A1444" s="3">
        <v>1443</v>
      </c>
      <c r="B1444" s="26"/>
      <c r="C1444" s="5"/>
      <c r="D1444" s="26"/>
      <c r="E1444" s="26"/>
      <c r="F1444" s="26"/>
      <c r="G1444" s="26"/>
      <c r="H1444" s="26"/>
      <c r="I1444" s="26"/>
      <c r="J1444" s="26"/>
      <c r="K1444" s="26"/>
      <c r="L1444" s="26"/>
      <c r="M1444" s="29" t="s">
        <v>39</v>
      </c>
      <c r="N1444" s="28">
        <v>45</v>
      </c>
      <c r="O1444" s="28">
        <v>0</v>
      </c>
      <c r="P1444" s="28">
        <v>2</v>
      </c>
      <c r="Q1444" s="28">
        <v>1</v>
      </c>
      <c r="R1444" s="28">
        <v>3</v>
      </c>
      <c r="S1444" s="28">
        <v>0</v>
      </c>
      <c r="Y1444" s="26"/>
      <c r="Z1444" s="23"/>
      <c r="AA1444" s="3" t="str">
        <f t="shared" si="11"/>
        <v>___</v>
      </c>
      <c r="AB1444" s="3" t="str">
        <f t="shared" si="10"/>
        <v>____</v>
      </c>
    </row>
    <row r="1445" spans="1:29" ht="14">
      <c r="A1445" s="3">
        <v>1444</v>
      </c>
      <c r="B1445" s="24" t="s">
        <v>190</v>
      </c>
      <c r="C1445" s="25" t="s">
        <v>191</v>
      </c>
      <c r="D1445" s="24">
        <v>22</v>
      </c>
      <c r="E1445" s="27" t="s">
        <v>163</v>
      </c>
      <c r="F1445" s="27" t="s">
        <v>34</v>
      </c>
      <c r="G1445" s="27" t="s">
        <v>160</v>
      </c>
      <c r="H1445" s="27" t="s">
        <v>40</v>
      </c>
      <c r="I1445" s="24">
        <v>2</v>
      </c>
      <c r="J1445" s="24">
        <v>38.9</v>
      </c>
      <c r="K1445" s="24">
        <v>41.7</v>
      </c>
      <c r="L1445" s="27"/>
      <c r="M1445" s="26" t="s">
        <v>36</v>
      </c>
      <c r="N1445" s="24">
        <v>76.8</v>
      </c>
      <c r="O1445" s="24">
        <v>9</v>
      </c>
      <c r="P1445" s="24">
        <v>9</v>
      </c>
      <c r="Q1445" s="24">
        <v>0</v>
      </c>
      <c r="R1445" s="24">
        <v>0</v>
      </c>
      <c r="S1445" s="24">
        <v>0</v>
      </c>
      <c r="Y1445" s="27"/>
      <c r="Z1445" s="23"/>
      <c r="AA1445" s="3" t="str">
        <f t="shared" si="11"/>
        <v>ANO_1159_22_V1-C6_vm</v>
      </c>
      <c r="AB1445" s="3" t="str">
        <f t="shared" si="10"/>
        <v>ANO_1159_22_V1-C6_vm_2</v>
      </c>
      <c r="AC1445" s="3" t="s">
        <v>37</v>
      </c>
    </row>
    <row r="1446" spans="1:29" ht="14">
      <c r="A1446" s="3">
        <v>1445</v>
      </c>
      <c r="B1446" s="26"/>
      <c r="C1446" s="5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 t="s">
        <v>38</v>
      </c>
      <c r="N1446" s="28">
        <v>75.7</v>
      </c>
      <c r="O1446" s="28">
        <v>0</v>
      </c>
      <c r="P1446" s="28">
        <v>4</v>
      </c>
      <c r="Q1446" s="28">
        <v>2</v>
      </c>
      <c r="R1446" s="28">
        <v>2</v>
      </c>
      <c r="S1446" s="28">
        <v>0</v>
      </c>
      <c r="Y1446" s="26"/>
      <c r="Z1446" s="23"/>
      <c r="AA1446" s="3" t="str">
        <f t="shared" si="11"/>
        <v>___</v>
      </c>
      <c r="AB1446" s="3" t="str">
        <f t="shared" si="10"/>
        <v>____</v>
      </c>
    </row>
    <row r="1447" spans="1:29" ht="14">
      <c r="A1447" s="3">
        <v>1446</v>
      </c>
      <c r="B1447" s="29"/>
      <c r="C1447" s="30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 t="s">
        <v>39</v>
      </c>
      <c r="N1447" s="31">
        <v>51.8</v>
      </c>
      <c r="O1447" s="31">
        <v>0</v>
      </c>
      <c r="P1447" s="31">
        <v>4</v>
      </c>
      <c r="Q1447" s="31">
        <v>3</v>
      </c>
      <c r="R1447" s="31">
        <v>14</v>
      </c>
      <c r="S1447" s="31">
        <v>0</v>
      </c>
      <c r="Y1447" s="29"/>
      <c r="Z1447" s="23"/>
      <c r="AA1447" s="3" t="str">
        <f t="shared" si="11"/>
        <v>___</v>
      </c>
      <c r="AB1447" s="3" t="str">
        <f t="shared" si="10"/>
        <v>____</v>
      </c>
    </row>
    <row r="1448" spans="1:29" ht="14">
      <c r="A1448" s="3">
        <v>1447</v>
      </c>
      <c r="B1448" s="28" t="s">
        <v>190</v>
      </c>
      <c r="C1448" s="5" t="s">
        <v>191</v>
      </c>
      <c r="D1448" s="28">
        <v>22</v>
      </c>
      <c r="E1448" s="26" t="s">
        <v>163</v>
      </c>
      <c r="F1448" s="26" t="s">
        <v>34</v>
      </c>
      <c r="G1448" s="26" t="s">
        <v>160</v>
      </c>
      <c r="H1448" s="26" t="s">
        <v>40</v>
      </c>
      <c r="I1448" s="28">
        <v>3</v>
      </c>
      <c r="J1448" s="28">
        <v>25</v>
      </c>
      <c r="K1448" s="28">
        <v>27.5</v>
      </c>
      <c r="L1448" s="28">
        <v>5</v>
      </c>
      <c r="M1448" s="26" t="s">
        <v>36</v>
      </c>
      <c r="N1448" s="28">
        <v>94.4</v>
      </c>
      <c r="O1448" s="28">
        <v>10</v>
      </c>
      <c r="P1448" s="28">
        <v>10</v>
      </c>
      <c r="Q1448" s="28">
        <v>0</v>
      </c>
      <c r="R1448" s="28">
        <v>0</v>
      </c>
      <c r="S1448" s="28">
        <v>0</v>
      </c>
      <c r="Y1448" s="26"/>
      <c r="Z1448" s="23"/>
      <c r="AA1448" s="3" t="str">
        <f t="shared" si="11"/>
        <v>ANO_1159_22_V1-C6_vm</v>
      </c>
      <c r="AB1448" s="3" t="str">
        <f t="shared" si="10"/>
        <v>ANO_1159_22_V1-C6_vm_3</v>
      </c>
      <c r="AC1448" s="3" t="s">
        <v>37</v>
      </c>
    </row>
    <row r="1449" spans="1:29" ht="14">
      <c r="A1449" s="3">
        <v>1448</v>
      </c>
      <c r="B1449" s="26"/>
      <c r="C1449" s="5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 t="s">
        <v>38</v>
      </c>
      <c r="N1449" s="28">
        <v>86.7</v>
      </c>
      <c r="O1449" s="28">
        <v>0</v>
      </c>
      <c r="P1449" s="28">
        <v>5</v>
      </c>
      <c r="Q1449" s="28">
        <v>2</v>
      </c>
      <c r="R1449" s="28">
        <v>2</v>
      </c>
      <c r="S1449" s="28">
        <v>0</v>
      </c>
      <c r="Y1449" s="26"/>
      <c r="Z1449" s="23"/>
      <c r="AA1449" s="3" t="str">
        <f t="shared" si="11"/>
        <v>___</v>
      </c>
      <c r="AB1449" s="3" t="str">
        <f t="shared" si="10"/>
        <v>____</v>
      </c>
    </row>
    <row r="1450" spans="1:29" ht="14">
      <c r="A1450" s="3">
        <v>1449</v>
      </c>
      <c r="B1450" s="26"/>
      <c r="C1450" s="5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 t="s">
        <v>39</v>
      </c>
      <c r="N1450" s="28">
        <v>35.9</v>
      </c>
      <c r="O1450" s="28">
        <v>0</v>
      </c>
      <c r="P1450" s="28">
        <v>2</v>
      </c>
      <c r="Q1450" s="28">
        <v>1</v>
      </c>
      <c r="R1450" s="28">
        <v>6</v>
      </c>
      <c r="S1450" s="28">
        <v>0</v>
      </c>
      <c r="Y1450" s="26"/>
      <c r="Z1450" s="23"/>
      <c r="AA1450" s="3" t="str">
        <f t="shared" si="11"/>
        <v>___</v>
      </c>
      <c r="AB1450" s="3" t="str">
        <f t="shared" si="10"/>
        <v>____</v>
      </c>
    </row>
    <row r="1451" spans="1:29" ht="14">
      <c r="A1451" s="3">
        <v>1450</v>
      </c>
      <c r="B1451" s="24" t="s">
        <v>190</v>
      </c>
      <c r="C1451" s="25" t="s">
        <v>191</v>
      </c>
      <c r="D1451" s="24">
        <v>22</v>
      </c>
      <c r="E1451" s="27" t="s">
        <v>163</v>
      </c>
      <c r="F1451" s="27" t="s">
        <v>34</v>
      </c>
      <c r="G1451" s="27" t="s">
        <v>160</v>
      </c>
      <c r="H1451" s="27" t="s">
        <v>35</v>
      </c>
      <c r="I1451" s="24">
        <v>1</v>
      </c>
      <c r="J1451" s="24">
        <v>19.5</v>
      </c>
      <c r="K1451" s="24">
        <v>19.5</v>
      </c>
      <c r="L1451" s="24">
        <v>5</v>
      </c>
      <c r="M1451" s="27" t="s">
        <v>36</v>
      </c>
      <c r="N1451" s="24">
        <v>45.6</v>
      </c>
      <c r="O1451" s="24">
        <v>12</v>
      </c>
      <c r="P1451" s="24">
        <v>12</v>
      </c>
      <c r="Q1451" s="24">
        <v>0</v>
      </c>
      <c r="R1451" s="24">
        <v>0</v>
      </c>
      <c r="S1451" s="24">
        <v>0</v>
      </c>
      <c r="Y1451" s="27"/>
      <c r="Z1451" s="23"/>
      <c r="AA1451" s="3" t="str">
        <f t="shared" si="11"/>
        <v>ANO_1159_22_V1-C6_vv</v>
      </c>
      <c r="AB1451" s="3" t="str">
        <f t="shared" si="10"/>
        <v>ANO_1159_22_V1-C6_vv_1</v>
      </c>
    </row>
    <row r="1452" spans="1:29" ht="14">
      <c r="A1452" s="3">
        <v>1451</v>
      </c>
      <c r="B1452" s="26"/>
      <c r="C1452" s="5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 t="s">
        <v>38</v>
      </c>
      <c r="N1452" s="28">
        <v>33.5</v>
      </c>
      <c r="O1452" s="28">
        <v>8</v>
      </c>
      <c r="P1452" s="28">
        <v>8</v>
      </c>
      <c r="Q1452" s="28">
        <v>1</v>
      </c>
      <c r="R1452" s="28">
        <v>1</v>
      </c>
      <c r="S1452" s="28">
        <v>0</v>
      </c>
      <c r="Y1452" s="26"/>
      <c r="Z1452" s="23"/>
      <c r="AA1452" s="3" t="str">
        <f t="shared" si="11"/>
        <v>___</v>
      </c>
      <c r="AB1452" s="3" t="str">
        <f t="shared" si="10"/>
        <v>____</v>
      </c>
    </row>
    <row r="1453" spans="1:29" ht="14">
      <c r="A1453" s="3">
        <v>1452</v>
      </c>
      <c r="B1453" s="29"/>
      <c r="C1453" s="30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 t="s">
        <v>39</v>
      </c>
      <c r="N1453" s="31">
        <v>38.700000000000003</v>
      </c>
      <c r="O1453" s="31">
        <v>5</v>
      </c>
      <c r="P1453" s="31">
        <v>5</v>
      </c>
      <c r="Q1453" s="31">
        <v>0</v>
      </c>
      <c r="R1453" s="31">
        <v>0</v>
      </c>
      <c r="S1453" s="31">
        <v>0</v>
      </c>
      <c r="Y1453" s="29"/>
      <c r="Z1453" s="23"/>
      <c r="AA1453" s="3" t="str">
        <f t="shared" si="11"/>
        <v>___</v>
      </c>
      <c r="AB1453" s="3" t="str">
        <f t="shared" si="10"/>
        <v>____</v>
      </c>
    </row>
    <row r="1454" spans="1:29" ht="14">
      <c r="A1454" s="3">
        <v>1453</v>
      </c>
      <c r="B1454" s="28" t="s">
        <v>190</v>
      </c>
      <c r="C1454" s="5" t="s">
        <v>191</v>
      </c>
      <c r="D1454" s="28">
        <v>22</v>
      </c>
      <c r="E1454" s="26" t="s">
        <v>163</v>
      </c>
      <c r="F1454" s="26" t="s">
        <v>34</v>
      </c>
      <c r="G1454" s="26" t="s">
        <v>160</v>
      </c>
      <c r="H1454" s="26" t="s">
        <v>35</v>
      </c>
      <c r="I1454" s="28">
        <v>2</v>
      </c>
      <c r="J1454" s="28">
        <v>14.4</v>
      </c>
      <c r="K1454" s="28">
        <v>14.4</v>
      </c>
      <c r="L1454" s="28">
        <v>5</v>
      </c>
      <c r="M1454" s="26" t="s">
        <v>36</v>
      </c>
      <c r="N1454" s="28">
        <v>38.6</v>
      </c>
      <c r="O1454" s="28">
        <v>12</v>
      </c>
      <c r="P1454" s="28">
        <v>12</v>
      </c>
      <c r="Q1454" s="28">
        <v>0</v>
      </c>
      <c r="R1454" s="28">
        <v>0</v>
      </c>
      <c r="S1454" s="28">
        <v>1</v>
      </c>
      <c r="Y1454" s="26"/>
      <c r="Z1454" s="23"/>
      <c r="AA1454" s="3" t="str">
        <f t="shared" si="11"/>
        <v>ANO_1159_22_V1-C6_vv</v>
      </c>
      <c r="AB1454" s="3" t="str">
        <f t="shared" si="10"/>
        <v>ANO_1159_22_V1-C6_vv_2</v>
      </c>
    </row>
    <row r="1455" spans="1:29" ht="14">
      <c r="A1455" s="3">
        <v>1454</v>
      </c>
      <c r="B1455" s="26"/>
      <c r="C1455" s="5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 t="s">
        <v>38</v>
      </c>
      <c r="N1455" s="28">
        <v>33.4</v>
      </c>
      <c r="O1455" s="28">
        <v>3</v>
      </c>
      <c r="P1455" s="28">
        <v>6</v>
      </c>
      <c r="Q1455" s="28">
        <v>0</v>
      </c>
      <c r="R1455" s="28">
        <v>0</v>
      </c>
      <c r="S1455" s="28">
        <v>0</v>
      </c>
      <c r="Y1455" s="26"/>
      <c r="Z1455" s="23"/>
      <c r="AA1455" s="3" t="str">
        <f t="shared" si="11"/>
        <v>___</v>
      </c>
      <c r="AB1455" s="3" t="str">
        <f t="shared" si="10"/>
        <v>____</v>
      </c>
    </row>
    <row r="1456" spans="1:29" ht="14">
      <c r="A1456" s="3">
        <v>1455</v>
      </c>
      <c r="B1456" s="29"/>
      <c r="C1456" s="30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 t="s">
        <v>39</v>
      </c>
      <c r="N1456" s="31">
        <v>31</v>
      </c>
      <c r="O1456" s="31">
        <v>2</v>
      </c>
      <c r="P1456" s="31">
        <v>4</v>
      </c>
      <c r="Q1456" s="31">
        <v>0</v>
      </c>
      <c r="R1456" s="31">
        <v>0</v>
      </c>
      <c r="S1456" s="31">
        <v>0</v>
      </c>
      <c r="Y1456" s="29"/>
      <c r="Z1456" s="23"/>
      <c r="AA1456" s="3" t="str">
        <f t="shared" si="11"/>
        <v>___</v>
      </c>
      <c r="AB1456" s="3" t="str">
        <f t="shared" si="10"/>
        <v>____</v>
      </c>
    </row>
    <row r="1457" spans="1:29" ht="14">
      <c r="A1457" s="3">
        <v>1456</v>
      </c>
      <c r="B1457" s="28" t="s">
        <v>190</v>
      </c>
      <c r="C1457" s="5" t="s">
        <v>191</v>
      </c>
      <c r="D1457" s="28">
        <v>22</v>
      </c>
      <c r="E1457" s="26" t="s">
        <v>163</v>
      </c>
      <c r="F1457" s="26" t="s">
        <v>34</v>
      </c>
      <c r="G1457" s="26" t="s">
        <v>160</v>
      </c>
      <c r="H1457" s="26" t="s">
        <v>35</v>
      </c>
      <c r="I1457" s="28">
        <v>3</v>
      </c>
      <c r="J1457" s="28">
        <v>18</v>
      </c>
      <c r="K1457" s="28">
        <v>19.899999999999999</v>
      </c>
      <c r="L1457" s="28">
        <v>6</v>
      </c>
      <c r="M1457" s="26" t="s">
        <v>36</v>
      </c>
      <c r="N1457" s="28">
        <v>45.8</v>
      </c>
      <c r="O1457" s="28">
        <v>13</v>
      </c>
      <c r="P1457" s="28">
        <v>13</v>
      </c>
      <c r="Q1457" s="28">
        <v>0</v>
      </c>
      <c r="R1457" s="28">
        <v>0</v>
      </c>
      <c r="S1457" s="28">
        <v>0</v>
      </c>
      <c r="Y1457" s="26"/>
      <c r="Z1457" s="23"/>
      <c r="AA1457" s="3" t="str">
        <f t="shared" si="11"/>
        <v>ANO_1159_22_V1-C6_vv</v>
      </c>
      <c r="AB1457" s="3" t="str">
        <f t="shared" si="10"/>
        <v>ANO_1159_22_V1-C6_vv_3</v>
      </c>
    </row>
    <row r="1458" spans="1:29" ht="14">
      <c r="A1458" s="3">
        <v>1457</v>
      </c>
      <c r="B1458" s="26"/>
      <c r="C1458" s="5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 t="s">
        <v>38</v>
      </c>
      <c r="N1458" s="28">
        <v>34.299999999999997</v>
      </c>
      <c r="O1458" s="28">
        <v>5</v>
      </c>
      <c r="P1458" s="28">
        <v>6</v>
      </c>
      <c r="Q1458" s="28">
        <v>0</v>
      </c>
      <c r="R1458" s="28">
        <v>0</v>
      </c>
      <c r="S1458" s="28">
        <v>0</v>
      </c>
      <c r="Y1458" s="26"/>
      <c r="Z1458" s="23"/>
      <c r="AA1458" s="3" t="str">
        <f t="shared" si="11"/>
        <v>___</v>
      </c>
      <c r="AB1458" s="3" t="str">
        <f t="shared" si="10"/>
        <v>____</v>
      </c>
    </row>
    <row r="1459" spans="1:29" ht="14">
      <c r="A1459" s="3">
        <v>1458</v>
      </c>
      <c r="B1459" s="26"/>
      <c r="C1459" s="5"/>
      <c r="D1459" s="26"/>
      <c r="E1459" s="26"/>
      <c r="F1459" s="26"/>
      <c r="G1459" s="26"/>
      <c r="H1459" s="26"/>
      <c r="I1459" s="26"/>
      <c r="J1459" s="26"/>
      <c r="K1459" s="26"/>
      <c r="L1459" s="26"/>
      <c r="M1459" s="29" t="s">
        <v>39</v>
      </c>
      <c r="N1459" s="28">
        <v>36.200000000000003</v>
      </c>
      <c r="O1459" s="28">
        <v>4</v>
      </c>
      <c r="P1459" s="28">
        <v>6</v>
      </c>
      <c r="Q1459" s="28">
        <v>0</v>
      </c>
      <c r="R1459" s="28">
        <v>0</v>
      </c>
      <c r="S1459" s="28">
        <v>0</v>
      </c>
      <c r="Y1459" s="26"/>
      <c r="Z1459" s="23"/>
      <c r="AA1459" s="3" t="str">
        <f t="shared" si="11"/>
        <v>___</v>
      </c>
      <c r="AB1459" s="3" t="str">
        <f t="shared" si="10"/>
        <v>____</v>
      </c>
    </row>
    <row r="1460" spans="1:29" ht="14">
      <c r="A1460" s="3">
        <v>1459</v>
      </c>
      <c r="B1460" s="24" t="s">
        <v>193</v>
      </c>
      <c r="C1460" s="25" t="s">
        <v>194</v>
      </c>
      <c r="D1460" s="24">
        <v>11</v>
      </c>
      <c r="E1460" s="27" t="s">
        <v>163</v>
      </c>
      <c r="F1460" s="27" t="s">
        <v>34</v>
      </c>
      <c r="G1460" s="27" t="s">
        <v>174</v>
      </c>
      <c r="H1460" s="27" t="s">
        <v>40</v>
      </c>
      <c r="I1460" s="24">
        <v>1</v>
      </c>
      <c r="J1460" s="24">
        <v>47</v>
      </c>
      <c r="K1460" s="24">
        <v>48.9</v>
      </c>
      <c r="L1460" s="24">
        <v>7</v>
      </c>
      <c r="M1460" s="26" t="s">
        <v>36</v>
      </c>
      <c r="N1460" s="24">
        <v>96.4</v>
      </c>
      <c r="O1460" s="24">
        <v>6</v>
      </c>
      <c r="P1460" s="24">
        <v>8</v>
      </c>
      <c r="Q1460" s="24">
        <v>0</v>
      </c>
      <c r="R1460" s="24">
        <v>0</v>
      </c>
      <c r="S1460" s="24">
        <v>0</v>
      </c>
      <c r="Y1460" s="27"/>
      <c r="Z1460" s="23"/>
      <c r="AA1460" s="3" t="str">
        <f t="shared" si="11"/>
        <v>ANO_352_11_T34-C2_vm</v>
      </c>
      <c r="AB1460" s="3" t="str">
        <f t="shared" si="10"/>
        <v>ANO_352_11_T34-C2_vm_1</v>
      </c>
      <c r="AC1460" s="3" t="s">
        <v>37</v>
      </c>
    </row>
    <row r="1461" spans="1:29" ht="14">
      <c r="A1461" s="3">
        <v>1460</v>
      </c>
      <c r="B1461" s="26"/>
      <c r="C1461" s="5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 t="s">
        <v>38</v>
      </c>
      <c r="N1461" s="28">
        <v>66.400000000000006</v>
      </c>
      <c r="O1461" s="28">
        <v>0</v>
      </c>
      <c r="P1461" s="28">
        <v>3</v>
      </c>
      <c r="Q1461" s="28">
        <v>1</v>
      </c>
      <c r="R1461" s="28">
        <v>1</v>
      </c>
      <c r="S1461" s="28">
        <v>0</v>
      </c>
      <c r="Y1461" s="26"/>
      <c r="Z1461" s="23"/>
      <c r="AA1461" s="3" t="str">
        <f t="shared" si="11"/>
        <v>___</v>
      </c>
      <c r="AB1461" s="3" t="str">
        <f t="shared" si="10"/>
        <v>____</v>
      </c>
    </row>
    <row r="1462" spans="1:29" ht="14">
      <c r="A1462" s="3">
        <v>1461</v>
      </c>
      <c r="B1462" s="29"/>
      <c r="C1462" s="30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 t="s">
        <v>39</v>
      </c>
      <c r="N1462" s="31">
        <v>72</v>
      </c>
      <c r="O1462" s="31">
        <v>0</v>
      </c>
      <c r="P1462" s="31">
        <v>2</v>
      </c>
      <c r="Q1462" s="31">
        <v>4</v>
      </c>
      <c r="R1462" s="31">
        <v>12</v>
      </c>
      <c r="S1462" s="31">
        <v>0</v>
      </c>
      <c r="Y1462" s="29"/>
      <c r="Z1462" s="23"/>
      <c r="AA1462" s="3" t="str">
        <f t="shared" si="11"/>
        <v>___</v>
      </c>
      <c r="AB1462" s="3" t="str">
        <f t="shared" si="10"/>
        <v>____</v>
      </c>
    </row>
    <row r="1463" spans="1:29" ht="14">
      <c r="A1463" s="3">
        <v>1462</v>
      </c>
      <c r="B1463" s="28" t="s">
        <v>193</v>
      </c>
      <c r="C1463" s="5" t="s">
        <v>194</v>
      </c>
      <c r="D1463" s="28">
        <v>11</v>
      </c>
      <c r="E1463" s="26" t="s">
        <v>163</v>
      </c>
      <c r="F1463" s="26" t="s">
        <v>34</v>
      </c>
      <c r="G1463" s="26" t="s">
        <v>174</v>
      </c>
      <c r="H1463" s="26" t="s">
        <v>40</v>
      </c>
      <c r="I1463" s="28">
        <v>2</v>
      </c>
      <c r="J1463" s="28">
        <v>18</v>
      </c>
      <c r="K1463" s="28">
        <v>18.600000000000001</v>
      </c>
      <c r="L1463" s="28">
        <v>3</v>
      </c>
      <c r="M1463" s="26" t="s">
        <v>36</v>
      </c>
      <c r="N1463" s="28">
        <v>36</v>
      </c>
      <c r="O1463" s="28">
        <v>5</v>
      </c>
      <c r="P1463" s="28">
        <v>6</v>
      </c>
      <c r="Q1463" s="28">
        <v>0</v>
      </c>
      <c r="R1463" s="28">
        <v>0</v>
      </c>
      <c r="S1463" s="28">
        <v>0</v>
      </c>
      <c r="Y1463" s="26"/>
      <c r="Z1463" s="23"/>
      <c r="AA1463" s="3" t="str">
        <f t="shared" si="11"/>
        <v>ANO_352_11_T34-C2_vm</v>
      </c>
      <c r="AB1463" s="3" t="str">
        <f t="shared" si="10"/>
        <v>ANO_352_11_T34-C2_vm_2</v>
      </c>
      <c r="AC1463" s="3" t="s">
        <v>37</v>
      </c>
    </row>
    <row r="1464" spans="1:29" ht="14">
      <c r="A1464" s="3">
        <v>1463</v>
      </c>
      <c r="B1464" s="26"/>
      <c r="C1464" s="5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 t="s">
        <v>38</v>
      </c>
      <c r="N1464" s="28">
        <v>50.6</v>
      </c>
      <c r="O1464" s="28">
        <v>1</v>
      </c>
      <c r="P1464" s="28">
        <v>4</v>
      </c>
      <c r="Q1464" s="28">
        <v>3</v>
      </c>
      <c r="R1464" s="28">
        <v>3</v>
      </c>
      <c r="S1464" s="28">
        <v>0</v>
      </c>
      <c r="Y1464" s="26"/>
      <c r="Z1464" s="23"/>
      <c r="AA1464" s="3" t="str">
        <f t="shared" si="11"/>
        <v>___</v>
      </c>
      <c r="AB1464" s="3" t="str">
        <f t="shared" si="10"/>
        <v>____</v>
      </c>
    </row>
    <row r="1465" spans="1:29" ht="14">
      <c r="A1465" s="3">
        <v>1464</v>
      </c>
      <c r="B1465" s="29"/>
      <c r="C1465" s="30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 t="s">
        <v>39</v>
      </c>
      <c r="N1465" s="31">
        <v>16.899999999999999</v>
      </c>
      <c r="O1465" s="31">
        <v>0</v>
      </c>
      <c r="P1465" s="31">
        <v>2</v>
      </c>
      <c r="Q1465" s="31">
        <v>2</v>
      </c>
      <c r="R1465" s="31">
        <v>7</v>
      </c>
      <c r="S1465" s="31">
        <v>0</v>
      </c>
      <c r="Y1465" s="29"/>
      <c r="Z1465" s="23"/>
      <c r="AA1465" s="3" t="str">
        <f t="shared" si="11"/>
        <v>___</v>
      </c>
      <c r="AB1465" s="3" t="str">
        <f t="shared" si="10"/>
        <v>____</v>
      </c>
    </row>
    <row r="1466" spans="1:29" ht="14">
      <c r="A1466" s="3">
        <v>1465</v>
      </c>
      <c r="B1466" s="28" t="s">
        <v>193</v>
      </c>
      <c r="C1466" s="5" t="s">
        <v>194</v>
      </c>
      <c r="D1466" s="28">
        <v>11</v>
      </c>
      <c r="E1466" s="26" t="s">
        <v>163</v>
      </c>
      <c r="F1466" s="26" t="s">
        <v>34</v>
      </c>
      <c r="G1466" s="26" t="s">
        <v>174</v>
      </c>
      <c r="H1466" s="26" t="s">
        <v>40</v>
      </c>
      <c r="I1466" s="28">
        <v>3</v>
      </c>
      <c r="J1466" s="28">
        <v>20</v>
      </c>
      <c r="K1466" s="28">
        <v>22.7</v>
      </c>
      <c r="L1466" s="28">
        <v>6</v>
      </c>
      <c r="M1466" s="26" t="s">
        <v>36</v>
      </c>
      <c r="N1466" s="28">
        <v>40.9</v>
      </c>
      <c r="O1466" s="28">
        <v>2</v>
      </c>
      <c r="P1466" s="28">
        <v>4</v>
      </c>
      <c r="Q1466" s="28">
        <v>1</v>
      </c>
      <c r="R1466" s="28">
        <v>0</v>
      </c>
      <c r="S1466" s="28">
        <v>0</v>
      </c>
      <c r="Y1466" s="26" t="s">
        <v>195</v>
      </c>
      <c r="Z1466" s="23"/>
      <c r="AA1466" s="3" t="str">
        <f t="shared" si="11"/>
        <v>ANO_352_11_T34-C2_vm</v>
      </c>
      <c r="AB1466" s="3" t="str">
        <f t="shared" si="10"/>
        <v>ANO_352_11_T34-C2_vm_3</v>
      </c>
      <c r="AC1466" s="3" t="s">
        <v>37</v>
      </c>
    </row>
    <row r="1467" spans="1:29" ht="14">
      <c r="A1467" s="3">
        <v>1466</v>
      </c>
      <c r="B1467" s="26"/>
      <c r="C1467" s="5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 t="s">
        <v>38</v>
      </c>
      <c r="N1467" s="28">
        <v>29.3</v>
      </c>
      <c r="O1467" s="28">
        <v>0</v>
      </c>
      <c r="P1467" s="28">
        <v>2</v>
      </c>
      <c r="Q1467" s="28">
        <v>1</v>
      </c>
      <c r="R1467" s="28">
        <v>1</v>
      </c>
      <c r="S1467" s="28">
        <v>0</v>
      </c>
      <c r="Y1467" s="26"/>
      <c r="Z1467" s="23"/>
      <c r="AA1467" s="3" t="str">
        <f t="shared" si="11"/>
        <v>___</v>
      </c>
      <c r="AB1467" s="3" t="str">
        <f t="shared" si="10"/>
        <v>____</v>
      </c>
    </row>
    <row r="1468" spans="1:29" ht="14">
      <c r="A1468" s="3">
        <v>1467</v>
      </c>
      <c r="B1468" s="29"/>
      <c r="C1468" s="30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 t="s">
        <v>39</v>
      </c>
      <c r="N1468" s="31">
        <v>29.7</v>
      </c>
      <c r="O1468" s="31">
        <v>0</v>
      </c>
      <c r="P1468" s="31">
        <v>4</v>
      </c>
      <c r="Q1468" s="31">
        <v>4</v>
      </c>
      <c r="R1468" s="31">
        <v>13</v>
      </c>
      <c r="S1468" s="31">
        <v>0</v>
      </c>
      <c r="Y1468" s="29"/>
      <c r="Z1468" s="23"/>
      <c r="AA1468" s="3" t="str">
        <f t="shared" si="11"/>
        <v>___</v>
      </c>
      <c r="AB1468" s="3" t="str">
        <f t="shared" si="10"/>
        <v>____</v>
      </c>
    </row>
    <row r="1469" spans="1:29" ht="14">
      <c r="A1469" s="3">
        <v>1468</v>
      </c>
      <c r="B1469" s="28" t="s">
        <v>193</v>
      </c>
      <c r="C1469" s="5" t="s">
        <v>194</v>
      </c>
      <c r="D1469" s="28">
        <v>11</v>
      </c>
      <c r="E1469" s="26" t="s">
        <v>163</v>
      </c>
      <c r="F1469" s="26" t="s">
        <v>34</v>
      </c>
      <c r="G1469" s="26" t="s">
        <v>174</v>
      </c>
      <c r="H1469" s="26" t="s">
        <v>35</v>
      </c>
      <c r="I1469" s="28">
        <v>1</v>
      </c>
      <c r="J1469" s="28">
        <v>12</v>
      </c>
      <c r="K1469" s="28">
        <v>13.5</v>
      </c>
      <c r="L1469" s="28">
        <v>5</v>
      </c>
      <c r="M1469" s="26" t="s">
        <v>36</v>
      </c>
      <c r="N1469" s="28">
        <v>33.200000000000003</v>
      </c>
      <c r="O1469" s="28">
        <v>8</v>
      </c>
      <c r="P1469" s="28">
        <v>8</v>
      </c>
      <c r="Q1469" s="28">
        <v>0</v>
      </c>
      <c r="R1469" s="28">
        <v>0</v>
      </c>
      <c r="S1469" s="28">
        <v>0</v>
      </c>
      <c r="Y1469" s="26"/>
      <c r="Z1469" s="23"/>
      <c r="AA1469" s="3" t="str">
        <f t="shared" si="11"/>
        <v>ANO_352_11_T34-C2_vv</v>
      </c>
      <c r="AB1469" s="3" t="str">
        <f t="shared" si="10"/>
        <v>ANO_352_11_T34-C2_vv_1</v>
      </c>
      <c r="AC1469" s="3" t="s">
        <v>37</v>
      </c>
    </row>
    <row r="1470" spans="1:29" ht="14">
      <c r="A1470" s="3">
        <v>1469</v>
      </c>
      <c r="B1470" s="26"/>
      <c r="C1470" s="5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 t="s">
        <v>38</v>
      </c>
      <c r="N1470" s="28">
        <v>26.1</v>
      </c>
      <c r="O1470" s="28">
        <v>2</v>
      </c>
      <c r="P1470" s="28">
        <v>4</v>
      </c>
      <c r="Q1470" s="28">
        <v>0</v>
      </c>
      <c r="R1470" s="28">
        <v>0</v>
      </c>
      <c r="S1470" s="28">
        <v>0</v>
      </c>
      <c r="Y1470" s="26"/>
      <c r="Z1470" s="23"/>
      <c r="AA1470" s="3" t="str">
        <f t="shared" si="11"/>
        <v>___</v>
      </c>
      <c r="AB1470" s="3" t="str">
        <f t="shared" si="10"/>
        <v>____</v>
      </c>
    </row>
    <row r="1471" spans="1:29" ht="14">
      <c r="A1471" s="3">
        <v>1470</v>
      </c>
      <c r="B1471" s="29"/>
      <c r="C1471" s="30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 t="s">
        <v>39</v>
      </c>
      <c r="N1471" s="31">
        <v>15</v>
      </c>
      <c r="O1471" s="31">
        <v>1</v>
      </c>
      <c r="P1471" s="31">
        <v>2</v>
      </c>
      <c r="Q1471" s="31">
        <v>0</v>
      </c>
      <c r="R1471" s="31">
        <v>0</v>
      </c>
      <c r="S1471" s="31">
        <v>0</v>
      </c>
      <c r="Y1471" s="29"/>
      <c r="Z1471" s="23"/>
      <c r="AA1471" s="3" t="str">
        <f t="shared" si="11"/>
        <v>___</v>
      </c>
      <c r="AB1471" s="3" t="str">
        <f t="shared" si="10"/>
        <v>____</v>
      </c>
    </row>
    <row r="1472" spans="1:29" ht="14">
      <c r="A1472" s="3">
        <v>1471</v>
      </c>
      <c r="B1472" s="28" t="s">
        <v>193</v>
      </c>
      <c r="C1472" s="5" t="s">
        <v>194</v>
      </c>
      <c r="D1472" s="28">
        <v>11</v>
      </c>
      <c r="E1472" s="26" t="s">
        <v>163</v>
      </c>
      <c r="F1472" s="26" t="s">
        <v>34</v>
      </c>
      <c r="G1472" s="26" t="s">
        <v>174</v>
      </c>
      <c r="H1472" s="26" t="s">
        <v>35</v>
      </c>
      <c r="I1472" s="28">
        <v>2</v>
      </c>
      <c r="J1472" s="28">
        <v>14</v>
      </c>
      <c r="K1472" s="28">
        <v>16.899999999999999</v>
      </c>
      <c r="L1472" s="28">
        <v>5</v>
      </c>
      <c r="M1472" s="26" t="s">
        <v>36</v>
      </c>
      <c r="N1472" s="28">
        <v>35.299999999999997</v>
      </c>
      <c r="O1472" s="28">
        <v>11</v>
      </c>
      <c r="P1472" s="28">
        <v>11</v>
      </c>
      <c r="Q1472" s="28">
        <v>0</v>
      </c>
      <c r="R1472" s="28">
        <v>0</v>
      </c>
      <c r="S1472" s="28">
        <v>1</v>
      </c>
      <c r="Y1472" s="26"/>
      <c r="Z1472" s="23"/>
      <c r="AA1472" s="3" t="str">
        <f t="shared" si="11"/>
        <v>ANO_352_11_T34-C2_vv</v>
      </c>
      <c r="AB1472" s="3" t="str">
        <f t="shared" si="10"/>
        <v>ANO_352_11_T34-C2_vv_2</v>
      </c>
      <c r="AC1472" s="3" t="s">
        <v>37</v>
      </c>
    </row>
    <row r="1473" spans="1:29" ht="14">
      <c r="A1473" s="3">
        <v>1472</v>
      </c>
      <c r="B1473" s="26"/>
      <c r="C1473" s="5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 t="s">
        <v>38</v>
      </c>
      <c r="N1473" s="28">
        <v>30.6</v>
      </c>
      <c r="O1473" s="28">
        <v>4</v>
      </c>
      <c r="P1473" s="28">
        <v>6</v>
      </c>
      <c r="Q1473" s="28">
        <v>0</v>
      </c>
      <c r="R1473" s="28">
        <v>0</v>
      </c>
      <c r="S1473" s="28">
        <v>0</v>
      </c>
      <c r="Y1473" s="26"/>
      <c r="Z1473" s="23"/>
      <c r="AA1473" s="3" t="str">
        <f t="shared" si="11"/>
        <v>___</v>
      </c>
      <c r="AB1473" s="3" t="str">
        <f t="shared" si="10"/>
        <v>____</v>
      </c>
    </row>
    <row r="1474" spans="1:29" ht="14">
      <c r="A1474" s="3">
        <v>1473</v>
      </c>
      <c r="B1474" s="29"/>
      <c r="C1474" s="30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 t="s">
        <v>39</v>
      </c>
      <c r="N1474" s="31">
        <v>20.100000000000001</v>
      </c>
      <c r="O1474" s="31">
        <v>0</v>
      </c>
      <c r="P1474" s="31">
        <v>2</v>
      </c>
      <c r="Q1474" s="31">
        <v>3</v>
      </c>
      <c r="R1474" s="31">
        <v>3</v>
      </c>
      <c r="S1474" s="31">
        <v>0</v>
      </c>
      <c r="Y1474" s="29"/>
      <c r="Z1474" s="23"/>
      <c r="AA1474" s="3" t="str">
        <f t="shared" si="11"/>
        <v>___</v>
      </c>
      <c r="AB1474" s="3" t="str">
        <f t="shared" si="10"/>
        <v>____</v>
      </c>
    </row>
    <row r="1475" spans="1:29" ht="14">
      <c r="A1475" s="3">
        <v>1474</v>
      </c>
      <c r="B1475" s="28" t="s">
        <v>193</v>
      </c>
      <c r="C1475" s="5" t="s">
        <v>194</v>
      </c>
      <c r="D1475" s="28">
        <v>11</v>
      </c>
      <c r="E1475" s="26" t="s">
        <v>163</v>
      </c>
      <c r="F1475" s="26" t="s">
        <v>34</v>
      </c>
      <c r="G1475" s="26" t="s">
        <v>174</v>
      </c>
      <c r="H1475" s="26" t="s">
        <v>35</v>
      </c>
      <c r="I1475" s="28">
        <v>3</v>
      </c>
      <c r="J1475" s="28">
        <v>15.5</v>
      </c>
      <c r="K1475" s="28">
        <v>18.2</v>
      </c>
      <c r="L1475" s="28">
        <v>5</v>
      </c>
      <c r="M1475" s="26" t="s">
        <v>36</v>
      </c>
      <c r="N1475" s="28">
        <v>42.8</v>
      </c>
      <c r="O1475" s="28">
        <v>13</v>
      </c>
      <c r="P1475" s="28">
        <v>14</v>
      </c>
      <c r="Q1475" s="28">
        <v>0</v>
      </c>
      <c r="R1475" s="28">
        <v>0</v>
      </c>
      <c r="S1475" s="28">
        <v>0</v>
      </c>
      <c r="Y1475" s="26"/>
      <c r="Z1475" s="23"/>
      <c r="AA1475" s="3" t="str">
        <f t="shared" si="11"/>
        <v>ANO_352_11_T34-C2_vv</v>
      </c>
      <c r="AB1475" s="3" t="str">
        <f t="shared" si="10"/>
        <v>ANO_352_11_T34-C2_vv_3</v>
      </c>
      <c r="AC1475" s="3" t="s">
        <v>37</v>
      </c>
    </row>
    <row r="1476" spans="1:29" ht="14">
      <c r="A1476" s="3">
        <v>1475</v>
      </c>
      <c r="B1476" s="26"/>
      <c r="C1476" s="5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 t="s">
        <v>38</v>
      </c>
      <c r="N1476" s="28">
        <v>25.3</v>
      </c>
      <c r="O1476" s="28">
        <v>4</v>
      </c>
      <c r="P1476" s="28">
        <v>6</v>
      </c>
      <c r="Q1476" s="28">
        <v>0</v>
      </c>
      <c r="R1476" s="28">
        <v>0</v>
      </c>
      <c r="S1476" s="28">
        <v>0</v>
      </c>
      <c r="Y1476" s="26"/>
      <c r="Z1476" s="23"/>
      <c r="AA1476" s="3" t="str">
        <f t="shared" si="11"/>
        <v>___</v>
      </c>
      <c r="AB1476" s="3" t="str">
        <f t="shared" si="10"/>
        <v>____</v>
      </c>
    </row>
    <row r="1477" spans="1:29" ht="14">
      <c r="A1477" s="3">
        <v>1476</v>
      </c>
      <c r="B1477" s="29"/>
      <c r="C1477" s="30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 t="s">
        <v>39</v>
      </c>
      <c r="N1477" s="31">
        <v>19.8</v>
      </c>
      <c r="O1477" s="31">
        <v>0</v>
      </c>
      <c r="P1477" s="31">
        <v>4</v>
      </c>
      <c r="Q1477" s="31">
        <v>2</v>
      </c>
      <c r="R1477" s="31">
        <v>2</v>
      </c>
      <c r="S1477" s="31">
        <v>0</v>
      </c>
      <c r="Y1477" s="29"/>
      <c r="Z1477" s="23"/>
      <c r="AA1477" s="3" t="str">
        <f t="shared" si="11"/>
        <v>___</v>
      </c>
      <c r="AB1477" s="3" t="str">
        <f t="shared" si="10"/>
        <v>____</v>
      </c>
    </row>
    <row r="1478" spans="1:29" ht="14">
      <c r="A1478" s="3">
        <v>1477</v>
      </c>
      <c r="B1478" s="28" t="s">
        <v>193</v>
      </c>
      <c r="C1478" s="5" t="s">
        <v>194</v>
      </c>
      <c r="D1478" s="28">
        <v>31</v>
      </c>
      <c r="E1478" s="26" t="s">
        <v>163</v>
      </c>
      <c r="F1478" s="26" t="s">
        <v>34</v>
      </c>
      <c r="G1478" s="26" t="s">
        <v>196</v>
      </c>
      <c r="H1478" s="26" t="s">
        <v>40</v>
      </c>
      <c r="I1478" s="28">
        <v>1</v>
      </c>
      <c r="J1478" s="28">
        <v>14</v>
      </c>
      <c r="K1478" s="28">
        <v>16.600000000000001</v>
      </c>
      <c r="L1478" s="28">
        <v>5</v>
      </c>
      <c r="M1478" s="26" t="s">
        <v>36</v>
      </c>
      <c r="N1478" s="28">
        <v>51.2</v>
      </c>
      <c r="O1478" s="28">
        <v>6</v>
      </c>
      <c r="P1478" s="28">
        <v>7</v>
      </c>
      <c r="Q1478" s="28">
        <v>0</v>
      </c>
      <c r="R1478" s="28">
        <v>0</v>
      </c>
      <c r="S1478" s="28">
        <v>0</v>
      </c>
      <c r="Y1478" s="26"/>
      <c r="Z1478" s="23"/>
      <c r="AA1478" s="3" t="str">
        <f t="shared" si="11"/>
        <v>ANO_352_31_V1-C2_vm</v>
      </c>
      <c r="AB1478" s="3" t="str">
        <f t="shared" si="10"/>
        <v>ANO_352_31_V1-C2_vm_1</v>
      </c>
      <c r="AC1478" s="3" t="s">
        <v>37</v>
      </c>
    </row>
    <row r="1479" spans="1:29" ht="14">
      <c r="A1479" s="3">
        <v>1478</v>
      </c>
      <c r="B1479" s="26"/>
      <c r="C1479" s="5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 t="s">
        <v>38</v>
      </c>
      <c r="N1479" s="28">
        <v>48.4</v>
      </c>
      <c r="O1479" s="28">
        <v>0</v>
      </c>
      <c r="P1479" s="28">
        <v>2</v>
      </c>
      <c r="Q1479" s="28">
        <v>5</v>
      </c>
      <c r="R1479" s="28">
        <v>7</v>
      </c>
      <c r="S1479" s="28">
        <v>0</v>
      </c>
      <c r="Y1479" s="26"/>
      <c r="Z1479" s="23"/>
      <c r="AA1479" s="3" t="str">
        <f t="shared" si="11"/>
        <v>___</v>
      </c>
      <c r="AB1479" s="3" t="str">
        <f t="shared" si="10"/>
        <v>____</v>
      </c>
    </row>
    <row r="1480" spans="1:29" ht="14">
      <c r="A1480" s="3">
        <v>1479</v>
      </c>
      <c r="B1480" s="29"/>
      <c r="C1480" s="30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 t="s">
        <v>39</v>
      </c>
      <c r="N1480" s="31">
        <v>36</v>
      </c>
      <c r="O1480" s="31">
        <v>0</v>
      </c>
      <c r="P1480" s="31">
        <v>2</v>
      </c>
      <c r="Q1480" s="31">
        <v>2</v>
      </c>
      <c r="R1480" s="31">
        <v>2</v>
      </c>
      <c r="S1480" s="31">
        <v>0</v>
      </c>
      <c r="Y1480" s="29"/>
      <c r="Z1480" s="23"/>
      <c r="AA1480" s="3" t="str">
        <f t="shared" si="11"/>
        <v>___</v>
      </c>
      <c r="AB1480" s="3" t="str">
        <f t="shared" si="10"/>
        <v>____</v>
      </c>
    </row>
    <row r="1481" spans="1:29" ht="14">
      <c r="A1481" s="3">
        <v>1480</v>
      </c>
      <c r="B1481" s="28" t="s">
        <v>193</v>
      </c>
      <c r="C1481" s="5" t="s">
        <v>194</v>
      </c>
      <c r="D1481" s="28">
        <v>31</v>
      </c>
      <c r="E1481" s="26" t="s">
        <v>163</v>
      </c>
      <c r="F1481" s="26" t="s">
        <v>34</v>
      </c>
      <c r="G1481" s="26" t="s">
        <v>196</v>
      </c>
      <c r="H1481" s="26" t="s">
        <v>40</v>
      </c>
      <c r="I1481" s="28">
        <v>2</v>
      </c>
      <c r="J1481" s="28">
        <v>18</v>
      </c>
      <c r="K1481" s="28">
        <v>20.6</v>
      </c>
      <c r="L1481" s="28">
        <v>4</v>
      </c>
      <c r="M1481" s="26" t="s">
        <v>36</v>
      </c>
      <c r="N1481" s="28">
        <v>70.2</v>
      </c>
      <c r="O1481" s="28">
        <v>8</v>
      </c>
      <c r="P1481" s="28">
        <v>10</v>
      </c>
      <c r="Q1481" s="28">
        <v>0</v>
      </c>
      <c r="R1481" s="28">
        <v>0</v>
      </c>
      <c r="S1481" s="28">
        <v>0</v>
      </c>
      <c r="Y1481" s="26"/>
      <c r="Z1481" s="23"/>
      <c r="AA1481" s="3" t="str">
        <f t="shared" si="11"/>
        <v>ANO_352_31_V1-C2_vm</v>
      </c>
      <c r="AB1481" s="3" t="str">
        <f t="shared" si="10"/>
        <v>ANO_352_31_V1-C2_vm_2</v>
      </c>
      <c r="AC1481" s="3" t="s">
        <v>37</v>
      </c>
    </row>
    <row r="1482" spans="1:29" ht="14">
      <c r="A1482" s="3">
        <v>1481</v>
      </c>
      <c r="B1482" s="26"/>
      <c r="C1482" s="5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 t="s">
        <v>38</v>
      </c>
      <c r="N1482" s="28">
        <v>43.6</v>
      </c>
      <c r="O1482" s="28">
        <v>0</v>
      </c>
      <c r="P1482" s="28">
        <v>4</v>
      </c>
      <c r="Q1482" s="28">
        <v>4</v>
      </c>
      <c r="R1482" s="28">
        <v>4</v>
      </c>
      <c r="S1482" s="28">
        <v>0</v>
      </c>
      <c r="Y1482" s="26"/>
      <c r="Z1482" s="23"/>
      <c r="AA1482" s="3" t="str">
        <f t="shared" si="11"/>
        <v>___</v>
      </c>
      <c r="AB1482" s="3" t="str">
        <f t="shared" si="10"/>
        <v>____</v>
      </c>
    </row>
    <row r="1483" spans="1:29" ht="14">
      <c r="A1483" s="3">
        <v>1482</v>
      </c>
      <c r="B1483" s="29"/>
      <c r="C1483" s="30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 t="s">
        <v>39</v>
      </c>
      <c r="N1483" s="31">
        <v>36.6</v>
      </c>
      <c r="O1483" s="31">
        <v>0</v>
      </c>
      <c r="P1483" s="31">
        <v>4</v>
      </c>
      <c r="Q1483" s="31">
        <v>0</v>
      </c>
      <c r="R1483" s="31">
        <v>0</v>
      </c>
      <c r="S1483" s="31">
        <v>0</v>
      </c>
      <c r="Y1483" s="29"/>
      <c r="Z1483" s="23"/>
      <c r="AA1483" s="3" t="str">
        <f t="shared" si="11"/>
        <v>___</v>
      </c>
      <c r="AB1483" s="3" t="str">
        <f t="shared" si="10"/>
        <v>____</v>
      </c>
    </row>
    <row r="1484" spans="1:29" ht="14">
      <c r="A1484" s="3">
        <v>1483</v>
      </c>
      <c r="B1484" s="28" t="s">
        <v>193</v>
      </c>
      <c r="C1484" s="5" t="s">
        <v>194</v>
      </c>
      <c r="D1484" s="28">
        <v>31</v>
      </c>
      <c r="E1484" s="26" t="s">
        <v>163</v>
      </c>
      <c r="F1484" s="26" t="s">
        <v>34</v>
      </c>
      <c r="G1484" s="26" t="s">
        <v>196</v>
      </c>
      <c r="H1484" s="26" t="s">
        <v>40</v>
      </c>
      <c r="I1484" s="28">
        <v>3</v>
      </c>
      <c r="J1484" s="28">
        <v>15</v>
      </c>
      <c r="K1484" s="28">
        <v>17.7</v>
      </c>
      <c r="L1484" s="28">
        <v>5</v>
      </c>
      <c r="M1484" s="26" t="s">
        <v>36</v>
      </c>
      <c r="N1484" s="28">
        <v>31.3</v>
      </c>
      <c r="O1484" s="28">
        <v>0</v>
      </c>
      <c r="P1484" s="28">
        <v>2</v>
      </c>
      <c r="Q1484" s="28">
        <v>2</v>
      </c>
      <c r="R1484" s="28">
        <v>6</v>
      </c>
      <c r="S1484" s="28">
        <v>0</v>
      </c>
      <c r="Y1484" s="26" t="s">
        <v>166</v>
      </c>
      <c r="Z1484" s="23"/>
      <c r="AA1484" s="3" t="str">
        <f t="shared" si="11"/>
        <v>ANO_352_31_V1-C2_vm</v>
      </c>
      <c r="AB1484" s="3" t="str">
        <f t="shared" si="10"/>
        <v>ANO_352_31_V1-C2_vm_3</v>
      </c>
      <c r="AC1484" s="3" t="s">
        <v>37</v>
      </c>
    </row>
    <row r="1485" spans="1:29" ht="14">
      <c r="A1485" s="3">
        <v>1484</v>
      </c>
      <c r="B1485" s="26"/>
      <c r="C1485" s="5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 t="s">
        <v>38</v>
      </c>
      <c r="N1485" s="28">
        <v>41.1</v>
      </c>
      <c r="O1485" s="28">
        <v>1</v>
      </c>
      <c r="P1485" s="28">
        <v>2</v>
      </c>
      <c r="Q1485" s="28">
        <v>1</v>
      </c>
      <c r="R1485" s="28">
        <v>1</v>
      </c>
      <c r="S1485" s="28">
        <v>0</v>
      </c>
      <c r="Y1485" s="26" t="s">
        <v>197</v>
      </c>
      <c r="Z1485" s="23"/>
      <c r="AA1485" s="3" t="str">
        <f t="shared" si="11"/>
        <v>___</v>
      </c>
      <c r="AB1485" s="3" t="str">
        <f t="shared" si="10"/>
        <v>____</v>
      </c>
    </row>
    <row r="1486" spans="1:29" ht="14">
      <c r="A1486" s="3">
        <v>1485</v>
      </c>
      <c r="B1486" s="29"/>
      <c r="C1486" s="30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 t="s">
        <v>39</v>
      </c>
      <c r="N1486" s="31">
        <v>29.3</v>
      </c>
      <c r="O1486" s="31">
        <v>0</v>
      </c>
      <c r="P1486" s="31">
        <v>2</v>
      </c>
      <c r="Q1486" s="31">
        <v>2</v>
      </c>
      <c r="R1486" s="31">
        <v>7</v>
      </c>
      <c r="S1486" s="31">
        <v>0</v>
      </c>
      <c r="Y1486" s="29"/>
      <c r="Z1486" s="23"/>
      <c r="AA1486" s="3" t="str">
        <f t="shared" si="11"/>
        <v>___</v>
      </c>
      <c r="AB1486" s="3" t="str">
        <f t="shared" si="10"/>
        <v>____</v>
      </c>
    </row>
    <row r="1487" spans="1:29" ht="14">
      <c r="A1487" s="3">
        <v>1486</v>
      </c>
      <c r="B1487" s="28" t="s">
        <v>193</v>
      </c>
      <c r="C1487" s="5" t="s">
        <v>194</v>
      </c>
      <c r="D1487" s="28">
        <v>31</v>
      </c>
      <c r="E1487" s="26" t="s">
        <v>163</v>
      </c>
      <c r="F1487" s="26" t="s">
        <v>34</v>
      </c>
      <c r="G1487" s="26" t="s">
        <v>196</v>
      </c>
      <c r="H1487" s="26" t="s">
        <v>35</v>
      </c>
      <c r="I1487" s="28">
        <v>1</v>
      </c>
      <c r="J1487" s="28">
        <v>12</v>
      </c>
      <c r="K1487" s="28">
        <v>12.5</v>
      </c>
      <c r="L1487" s="28">
        <v>6</v>
      </c>
      <c r="M1487" s="26" t="s">
        <v>36</v>
      </c>
      <c r="N1487" s="28">
        <v>23.8</v>
      </c>
      <c r="O1487" s="28">
        <v>10</v>
      </c>
      <c r="P1487" s="28">
        <v>11</v>
      </c>
      <c r="Q1487" s="28">
        <v>0</v>
      </c>
      <c r="R1487" s="28">
        <v>0</v>
      </c>
      <c r="S1487" s="28">
        <v>0</v>
      </c>
      <c r="Y1487" s="26"/>
      <c r="Z1487" s="23"/>
      <c r="AA1487" s="3" t="str">
        <f t="shared" si="11"/>
        <v>ANO_352_31_V1-C2_vv</v>
      </c>
      <c r="AB1487" s="3" t="str">
        <f t="shared" si="10"/>
        <v>ANO_352_31_V1-C2_vv_1</v>
      </c>
      <c r="AC1487" s="3" t="s">
        <v>37</v>
      </c>
    </row>
    <row r="1488" spans="1:29" ht="14">
      <c r="A1488" s="3">
        <v>1487</v>
      </c>
      <c r="B1488" s="26"/>
      <c r="C1488" s="5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 t="s">
        <v>38</v>
      </c>
      <c r="N1488" s="28">
        <v>20.3</v>
      </c>
      <c r="O1488" s="28">
        <v>3</v>
      </c>
      <c r="P1488" s="28">
        <v>3</v>
      </c>
      <c r="Q1488" s="28">
        <v>0</v>
      </c>
      <c r="R1488" s="28">
        <v>0</v>
      </c>
      <c r="S1488" s="28">
        <v>0</v>
      </c>
      <c r="Y1488" s="26"/>
      <c r="Z1488" s="23"/>
      <c r="AA1488" s="3" t="str">
        <f t="shared" si="11"/>
        <v>___</v>
      </c>
      <c r="AB1488" s="3" t="str">
        <f t="shared" si="10"/>
        <v>____</v>
      </c>
    </row>
    <row r="1489" spans="1:29" ht="14">
      <c r="A1489" s="3">
        <v>1488</v>
      </c>
      <c r="B1489" s="29"/>
      <c r="C1489" s="30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 t="s">
        <v>39</v>
      </c>
      <c r="N1489" s="31">
        <v>19.600000000000001</v>
      </c>
      <c r="O1489" s="31">
        <v>0</v>
      </c>
      <c r="P1489" s="31">
        <v>2</v>
      </c>
      <c r="Q1489" s="31">
        <v>0</v>
      </c>
      <c r="R1489" s="31">
        <v>0</v>
      </c>
      <c r="S1489" s="31">
        <v>0</v>
      </c>
      <c r="Y1489" s="29"/>
      <c r="Z1489" s="23"/>
      <c r="AA1489" s="3" t="str">
        <f t="shared" si="11"/>
        <v>___</v>
      </c>
      <c r="AB1489" s="3" t="str">
        <f t="shared" si="10"/>
        <v>____</v>
      </c>
    </row>
    <row r="1490" spans="1:29" ht="14">
      <c r="A1490" s="3">
        <v>1489</v>
      </c>
      <c r="B1490" s="28" t="s">
        <v>193</v>
      </c>
      <c r="C1490" s="5" t="s">
        <v>194</v>
      </c>
      <c r="D1490" s="28">
        <v>31</v>
      </c>
      <c r="E1490" s="26" t="s">
        <v>163</v>
      </c>
      <c r="F1490" s="26" t="s">
        <v>34</v>
      </c>
      <c r="G1490" s="26" t="s">
        <v>196</v>
      </c>
      <c r="H1490" s="26" t="s">
        <v>35</v>
      </c>
      <c r="I1490" s="28">
        <v>2</v>
      </c>
      <c r="J1490" s="28">
        <v>7</v>
      </c>
      <c r="K1490" s="28">
        <v>7.5</v>
      </c>
      <c r="L1490" s="28">
        <v>4</v>
      </c>
      <c r="M1490" s="26" t="s">
        <v>36</v>
      </c>
      <c r="N1490" s="28">
        <v>16.8</v>
      </c>
      <c r="O1490" s="28">
        <v>9</v>
      </c>
      <c r="P1490" s="28">
        <v>9</v>
      </c>
      <c r="Q1490" s="28">
        <v>0</v>
      </c>
      <c r="R1490" s="28">
        <v>0</v>
      </c>
      <c r="S1490" s="28">
        <v>0</v>
      </c>
      <c r="Y1490" s="26"/>
      <c r="Z1490" s="23"/>
      <c r="AA1490" s="3" t="str">
        <f t="shared" si="11"/>
        <v>ANO_352_31_V1-C2_vv</v>
      </c>
      <c r="AB1490" s="3" t="str">
        <f t="shared" si="10"/>
        <v>ANO_352_31_V1-C2_vv_2</v>
      </c>
      <c r="AC1490" s="3" t="s">
        <v>37</v>
      </c>
    </row>
    <row r="1491" spans="1:29" ht="14">
      <c r="A1491" s="3">
        <v>1490</v>
      </c>
      <c r="B1491" s="26"/>
      <c r="C1491" s="5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 t="s">
        <v>38</v>
      </c>
      <c r="N1491" s="28">
        <v>24.6</v>
      </c>
      <c r="O1491" s="28">
        <v>2</v>
      </c>
      <c r="P1491" s="28">
        <v>4</v>
      </c>
      <c r="Q1491" s="28">
        <v>1</v>
      </c>
      <c r="R1491" s="28">
        <v>1</v>
      </c>
      <c r="S1491" s="28">
        <v>0</v>
      </c>
      <c r="Y1491" s="26"/>
      <c r="Z1491" s="23"/>
      <c r="AA1491" s="3" t="str">
        <f t="shared" si="11"/>
        <v>___</v>
      </c>
      <c r="AB1491" s="3" t="str">
        <f t="shared" si="10"/>
        <v>____</v>
      </c>
    </row>
    <row r="1492" spans="1:29" ht="14">
      <c r="A1492" s="3">
        <v>1491</v>
      </c>
      <c r="B1492" s="29"/>
      <c r="C1492" s="30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 t="s">
        <v>39</v>
      </c>
      <c r="N1492" s="31">
        <v>16.8</v>
      </c>
      <c r="O1492" s="31">
        <v>1</v>
      </c>
      <c r="P1492" s="31">
        <v>2</v>
      </c>
      <c r="Q1492" s="31">
        <v>0</v>
      </c>
      <c r="R1492" s="31">
        <v>0</v>
      </c>
      <c r="S1492" s="31">
        <v>0</v>
      </c>
      <c r="Y1492" s="29"/>
      <c r="Z1492" s="23"/>
      <c r="AA1492" s="3" t="str">
        <f t="shared" si="11"/>
        <v>___</v>
      </c>
      <c r="AB1492" s="3" t="str">
        <f t="shared" si="10"/>
        <v>____</v>
      </c>
    </row>
    <row r="1493" spans="1:29" ht="14">
      <c r="A1493" s="3">
        <v>1492</v>
      </c>
      <c r="B1493" s="28" t="s">
        <v>193</v>
      </c>
      <c r="C1493" s="5" t="s">
        <v>194</v>
      </c>
      <c r="D1493" s="28">
        <v>31</v>
      </c>
      <c r="E1493" s="26" t="s">
        <v>163</v>
      </c>
      <c r="F1493" s="26" t="s">
        <v>34</v>
      </c>
      <c r="G1493" s="26" t="s">
        <v>196</v>
      </c>
      <c r="H1493" s="26" t="s">
        <v>35</v>
      </c>
      <c r="I1493" s="28">
        <v>3</v>
      </c>
      <c r="J1493" s="28">
        <v>4</v>
      </c>
      <c r="K1493" s="28">
        <v>7.3</v>
      </c>
      <c r="L1493" s="28">
        <v>5</v>
      </c>
      <c r="M1493" s="26" t="s">
        <v>36</v>
      </c>
      <c r="N1493" s="28">
        <v>20</v>
      </c>
      <c r="O1493" s="28">
        <v>7</v>
      </c>
      <c r="P1493" s="28">
        <v>7</v>
      </c>
      <c r="Q1493" s="28">
        <v>0</v>
      </c>
      <c r="R1493" s="28">
        <v>0</v>
      </c>
      <c r="S1493" s="28">
        <v>0</v>
      </c>
      <c r="Y1493" s="26"/>
      <c r="Z1493" s="23"/>
      <c r="AA1493" s="3" t="str">
        <f t="shared" si="11"/>
        <v>ANO_352_31_V1-C2_vv</v>
      </c>
      <c r="AB1493" s="3" t="str">
        <f t="shared" si="10"/>
        <v>ANO_352_31_V1-C2_vv_3</v>
      </c>
      <c r="AC1493" s="3" t="s">
        <v>37</v>
      </c>
    </row>
    <row r="1494" spans="1:29" ht="14">
      <c r="A1494" s="3">
        <v>1493</v>
      </c>
      <c r="B1494" s="26"/>
      <c r="C1494" s="5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 t="s">
        <v>38</v>
      </c>
      <c r="N1494" s="28">
        <v>16.600000000000001</v>
      </c>
      <c r="O1494" s="28">
        <v>8</v>
      </c>
      <c r="P1494" s="28">
        <v>8</v>
      </c>
      <c r="Q1494" s="28">
        <v>0</v>
      </c>
      <c r="R1494" s="28">
        <v>0</v>
      </c>
      <c r="S1494" s="28">
        <v>0</v>
      </c>
      <c r="Y1494" s="26"/>
      <c r="Z1494" s="23"/>
      <c r="AA1494" s="3" t="str">
        <f t="shared" si="11"/>
        <v>___</v>
      </c>
      <c r="AB1494" s="3" t="str">
        <f t="shared" si="10"/>
        <v>____</v>
      </c>
    </row>
    <row r="1495" spans="1:29" ht="14">
      <c r="A1495" s="3">
        <v>1494</v>
      </c>
      <c r="B1495" s="29"/>
      <c r="C1495" s="30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 t="s">
        <v>39</v>
      </c>
      <c r="N1495" s="31">
        <v>15.2</v>
      </c>
      <c r="O1495" s="31">
        <v>1</v>
      </c>
      <c r="P1495" s="31">
        <v>4</v>
      </c>
      <c r="Q1495" s="31">
        <v>0</v>
      </c>
      <c r="R1495" s="31">
        <v>0</v>
      </c>
      <c r="S1495" s="31">
        <v>0</v>
      </c>
      <c r="Y1495" s="29"/>
      <c r="Z1495" s="23"/>
      <c r="AA1495" s="3" t="str">
        <f t="shared" si="11"/>
        <v>___</v>
      </c>
      <c r="AB1495" s="3" t="str">
        <f t="shared" si="10"/>
        <v>____</v>
      </c>
    </row>
    <row r="1496" spans="1:29" ht="14">
      <c r="A1496" s="3">
        <v>1495</v>
      </c>
      <c r="B1496" s="28" t="s">
        <v>198</v>
      </c>
      <c r="C1496" s="5" t="s">
        <v>199</v>
      </c>
      <c r="D1496" s="28">
        <v>11</v>
      </c>
      <c r="E1496" s="26" t="s">
        <v>163</v>
      </c>
      <c r="F1496" s="26" t="s">
        <v>180</v>
      </c>
      <c r="G1496" s="26" t="s">
        <v>136</v>
      </c>
      <c r="H1496" s="26" t="s">
        <v>40</v>
      </c>
      <c r="I1496" s="28">
        <v>1</v>
      </c>
      <c r="J1496" s="28">
        <v>28</v>
      </c>
      <c r="K1496" s="28">
        <v>32.4</v>
      </c>
      <c r="L1496" s="28">
        <v>7</v>
      </c>
      <c r="M1496" s="26" t="s">
        <v>36</v>
      </c>
      <c r="N1496" s="28">
        <v>65.5</v>
      </c>
      <c r="O1496" s="28">
        <v>1</v>
      </c>
      <c r="P1496" s="28">
        <v>6</v>
      </c>
      <c r="Q1496" s="28">
        <v>4</v>
      </c>
      <c r="R1496" s="28">
        <v>5</v>
      </c>
      <c r="S1496" s="28">
        <v>0</v>
      </c>
      <c r="Y1496" s="26" t="s">
        <v>166</v>
      </c>
      <c r="Z1496" s="23"/>
      <c r="AA1496" s="3" t="str">
        <f t="shared" si="11"/>
        <v>ANO_744_11_T4-C1_vm</v>
      </c>
      <c r="AB1496" s="3" t="str">
        <f t="shared" si="10"/>
        <v>ANO_744_11_T4-C1_vm_1</v>
      </c>
      <c r="AC1496" s="3" t="s">
        <v>37</v>
      </c>
    </row>
    <row r="1497" spans="1:29" ht="14">
      <c r="A1497" s="3">
        <v>1496</v>
      </c>
      <c r="B1497" s="26"/>
      <c r="C1497" s="5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 t="s">
        <v>38</v>
      </c>
      <c r="N1497" s="28">
        <v>69.8</v>
      </c>
      <c r="O1497" s="28">
        <v>0</v>
      </c>
      <c r="P1497" s="28">
        <v>3</v>
      </c>
      <c r="Q1497" s="28">
        <v>2</v>
      </c>
      <c r="R1497" s="28">
        <v>7</v>
      </c>
      <c r="S1497" s="28">
        <v>0</v>
      </c>
      <c r="Y1497" s="26"/>
      <c r="Z1497" s="23"/>
      <c r="AA1497" s="3" t="str">
        <f t="shared" si="11"/>
        <v>___</v>
      </c>
      <c r="AB1497" s="3" t="str">
        <f t="shared" si="10"/>
        <v>____</v>
      </c>
    </row>
    <row r="1498" spans="1:29" ht="14">
      <c r="A1498" s="3">
        <v>1497</v>
      </c>
      <c r="B1498" s="29"/>
      <c r="C1498" s="30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 t="s">
        <v>39</v>
      </c>
      <c r="N1498" s="31">
        <v>46.6</v>
      </c>
      <c r="O1498" s="31">
        <v>0</v>
      </c>
      <c r="P1498" s="31">
        <v>3</v>
      </c>
      <c r="Q1498" s="31">
        <v>0</v>
      </c>
      <c r="R1498" s="31">
        <v>0</v>
      </c>
      <c r="S1498" s="31">
        <v>0</v>
      </c>
      <c r="Y1498" s="29"/>
      <c r="Z1498" s="23"/>
      <c r="AA1498" s="3" t="str">
        <f t="shared" si="11"/>
        <v>___</v>
      </c>
      <c r="AB1498" s="3" t="str">
        <f t="shared" si="10"/>
        <v>____</v>
      </c>
    </row>
    <row r="1499" spans="1:29" ht="14">
      <c r="A1499" s="3">
        <v>1498</v>
      </c>
      <c r="B1499" s="28" t="s">
        <v>198</v>
      </c>
      <c r="C1499" s="5" t="s">
        <v>199</v>
      </c>
      <c r="D1499" s="28">
        <v>11</v>
      </c>
      <c r="E1499" s="26" t="s">
        <v>163</v>
      </c>
      <c r="F1499" s="26" t="s">
        <v>180</v>
      </c>
      <c r="G1499" s="26" t="s">
        <v>136</v>
      </c>
      <c r="H1499" s="26" t="s">
        <v>40</v>
      </c>
      <c r="I1499" s="28">
        <v>2</v>
      </c>
      <c r="J1499" s="28">
        <v>21</v>
      </c>
      <c r="K1499" s="28">
        <v>21.8</v>
      </c>
      <c r="L1499" s="28">
        <v>6</v>
      </c>
      <c r="M1499" s="26" t="s">
        <v>36</v>
      </c>
      <c r="N1499" s="28">
        <v>37.200000000000003</v>
      </c>
      <c r="O1499" s="28">
        <v>3</v>
      </c>
      <c r="P1499" s="28">
        <v>4</v>
      </c>
      <c r="Q1499" s="28">
        <v>2</v>
      </c>
      <c r="R1499" s="28">
        <v>2</v>
      </c>
      <c r="S1499" s="28">
        <v>0</v>
      </c>
      <c r="Y1499" s="26" t="s">
        <v>166</v>
      </c>
      <c r="Z1499" s="23"/>
      <c r="AA1499" s="3" t="str">
        <f t="shared" si="11"/>
        <v>ANO_744_11_T4-C1_vm</v>
      </c>
      <c r="AB1499" s="3" t="str">
        <f t="shared" si="10"/>
        <v>ANO_744_11_T4-C1_vm_2</v>
      </c>
      <c r="AC1499" s="3" t="s">
        <v>37</v>
      </c>
    </row>
    <row r="1500" spans="1:29" ht="14">
      <c r="A1500" s="3">
        <v>1499</v>
      </c>
      <c r="B1500" s="26"/>
      <c r="C1500" s="5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 t="s">
        <v>38</v>
      </c>
      <c r="N1500" s="28">
        <v>39.700000000000003</v>
      </c>
      <c r="O1500" s="28">
        <v>0</v>
      </c>
      <c r="P1500" s="28">
        <v>3</v>
      </c>
      <c r="Q1500" s="28">
        <v>0</v>
      </c>
      <c r="R1500" s="28">
        <v>0</v>
      </c>
      <c r="S1500" s="28">
        <v>0</v>
      </c>
      <c r="Y1500" s="26"/>
      <c r="Z1500" s="23"/>
      <c r="AA1500" s="3" t="str">
        <f t="shared" si="11"/>
        <v>___</v>
      </c>
      <c r="AB1500" s="3" t="str">
        <f t="shared" si="10"/>
        <v>____</v>
      </c>
    </row>
    <row r="1501" spans="1:29" ht="14">
      <c r="A1501" s="3">
        <v>1500</v>
      </c>
      <c r="B1501" s="29"/>
      <c r="C1501" s="30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 t="s">
        <v>39</v>
      </c>
      <c r="N1501" s="31">
        <v>50.6</v>
      </c>
      <c r="O1501" s="31">
        <v>0</v>
      </c>
      <c r="P1501" s="31">
        <v>4</v>
      </c>
      <c r="Q1501" s="31">
        <v>2</v>
      </c>
      <c r="R1501" s="31">
        <v>6</v>
      </c>
      <c r="S1501" s="31">
        <v>0</v>
      </c>
      <c r="Y1501" s="29"/>
      <c r="Z1501" s="23"/>
      <c r="AA1501" s="3" t="str">
        <f t="shared" si="11"/>
        <v>___</v>
      </c>
      <c r="AB1501" s="3" t="str">
        <f t="shared" si="10"/>
        <v>____</v>
      </c>
    </row>
    <row r="1502" spans="1:29" ht="14">
      <c r="A1502" s="3">
        <v>1501</v>
      </c>
      <c r="B1502" s="28" t="s">
        <v>198</v>
      </c>
      <c r="C1502" s="5" t="s">
        <v>199</v>
      </c>
      <c r="D1502" s="28">
        <v>11</v>
      </c>
      <c r="E1502" s="26" t="s">
        <v>163</v>
      </c>
      <c r="F1502" s="26" t="s">
        <v>180</v>
      </c>
      <c r="G1502" s="26" t="s">
        <v>136</v>
      </c>
      <c r="H1502" s="26" t="s">
        <v>40</v>
      </c>
      <c r="I1502" s="28">
        <v>3</v>
      </c>
      <c r="J1502" s="28">
        <v>26</v>
      </c>
      <c r="K1502" s="28">
        <v>30.5</v>
      </c>
      <c r="L1502" s="28">
        <v>5</v>
      </c>
      <c r="M1502" s="26" t="s">
        <v>36</v>
      </c>
      <c r="N1502" s="28">
        <v>66</v>
      </c>
      <c r="O1502" s="28">
        <v>0</v>
      </c>
      <c r="P1502" s="28">
        <v>4</v>
      </c>
      <c r="Q1502" s="28">
        <v>3</v>
      </c>
      <c r="R1502" s="28">
        <v>3</v>
      </c>
      <c r="S1502" s="28">
        <v>0</v>
      </c>
      <c r="Y1502" s="26" t="s">
        <v>200</v>
      </c>
      <c r="Z1502" s="23"/>
      <c r="AA1502" s="3" t="str">
        <f t="shared" si="11"/>
        <v>ANO_744_11_T4-C1_vm</v>
      </c>
      <c r="AB1502" s="3" t="str">
        <f t="shared" si="10"/>
        <v>ANO_744_11_T4-C1_vm_3</v>
      </c>
      <c r="AC1502" s="3" t="s">
        <v>37</v>
      </c>
    </row>
    <row r="1503" spans="1:29" ht="14">
      <c r="A1503" s="3">
        <v>1502</v>
      </c>
      <c r="B1503" s="26"/>
      <c r="C1503" s="5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 t="s">
        <v>38</v>
      </c>
      <c r="N1503" s="28">
        <v>44.9</v>
      </c>
      <c r="O1503" s="28">
        <v>0</v>
      </c>
      <c r="P1503" s="28">
        <v>2</v>
      </c>
      <c r="Q1503" s="28">
        <v>3</v>
      </c>
      <c r="R1503" s="28">
        <v>12</v>
      </c>
      <c r="S1503" s="28">
        <v>0</v>
      </c>
      <c r="Y1503" s="26" t="s">
        <v>166</v>
      </c>
      <c r="Z1503" s="23"/>
      <c r="AA1503" s="3" t="str">
        <f t="shared" si="11"/>
        <v>___</v>
      </c>
      <c r="AB1503" s="3" t="str">
        <f t="shared" si="10"/>
        <v>____</v>
      </c>
    </row>
    <row r="1504" spans="1:29" ht="14">
      <c r="A1504" s="3">
        <v>1503</v>
      </c>
      <c r="B1504" s="29"/>
      <c r="C1504" s="30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 t="s">
        <v>39</v>
      </c>
      <c r="N1504" s="31">
        <v>55</v>
      </c>
      <c r="O1504" s="31">
        <v>0</v>
      </c>
      <c r="P1504" s="31">
        <v>4</v>
      </c>
      <c r="Q1504" s="31">
        <v>1</v>
      </c>
      <c r="R1504" s="31">
        <v>5</v>
      </c>
      <c r="S1504" s="31">
        <v>0</v>
      </c>
      <c r="Y1504" s="29"/>
      <c r="Z1504" s="23"/>
      <c r="AA1504" s="3" t="str">
        <f t="shared" si="11"/>
        <v>___</v>
      </c>
      <c r="AB1504" s="3" t="str">
        <f t="shared" si="10"/>
        <v>____</v>
      </c>
    </row>
    <row r="1505" spans="1:29" ht="14">
      <c r="A1505" s="3">
        <v>1504</v>
      </c>
      <c r="B1505" s="28" t="s">
        <v>198</v>
      </c>
      <c r="C1505" s="5" t="s">
        <v>199</v>
      </c>
      <c r="D1505" s="28">
        <v>11</v>
      </c>
      <c r="E1505" s="26" t="s">
        <v>163</v>
      </c>
      <c r="F1505" s="26" t="s">
        <v>180</v>
      </c>
      <c r="G1505" s="26" t="s">
        <v>136</v>
      </c>
      <c r="H1505" s="26" t="s">
        <v>35</v>
      </c>
      <c r="I1505" s="28">
        <v>1</v>
      </c>
      <c r="J1505" s="28">
        <v>7</v>
      </c>
      <c r="K1505" s="28">
        <v>8</v>
      </c>
      <c r="L1505" s="28">
        <v>5</v>
      </c>
      <c r="M1505" s="26" t="s">
        <v>36</v>
      </c>
      <c r="N1505" s="28">
        <v>15.5</v>
      </c>
      <c r="O1505" s="28">
        <v>6</v>
      </c>
      <c r="P1505" s="28">
        <v>6</v>
      </c>
      <c r="Q1505" s="28">
        <v>0</v>
      </c>
      <c r="R1505" s="28">
        <v>0</v>
      </c>
      <c r="S1505" s="28">
        <v>0</v>
      </c>
      <c r="Y1505" s="26"/>
      <c r="Z1505" s="23"/>
      <c r="AA1505" s="3" t="str">
        <f t="shared" si="11"/>
        <v>ANO_744_11_T4-C1_vv</v>
      </c>
      <c r="AB1505" s="3" t="str">
        <f t="shared" si="10"/>
        <v>ANO_744_11_T4-C1_vv_1</v>
      </c>
      <c r="AC1505" s="3" t="s">
        <v>37</v>
      </c>
    </row>
    <row r="1506" spans="1:29" ht="14">
      <c r="A1506" s="3">
        <v>1505</v>
      </c>
      <c r="B1506" s="26"/>
      <c r="C1506" s="5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 t="s">
        <v>38</v>
      </c>
      <c r="N1506" s="28">
        <v>16</v>
      </c>
      <c r="O1506" s="28">
        <v>2</v>
      </c>
      <c r="P1506" s="28">
        <v>2</v>
      </c>
      <c r="Q1506" s="28">
        <v>0</v>
      </c>
      <c r="R1506" s="28">
        <v>0</v>
      </c>
      <c r="S1506" s="28">
        <v>0</v>
      </c>
      <c r="Y1506" s="26"/>
      <c r="Z1506" s="23"/>
      <c r="AA1506" s="3" t="str">
        <f t="shared" si="11"/>
        <v>___</v>
      </c>
      <c r="AB1506" s="3" t="str">
        <f t="shared" si="10"/>
        <v>____</v>
      </c>
    </row>
    <row r="1507" spans="1:29" ht="14">
      <c r="A1507" s="3">
        <v>1506</v>
      </c>
      <c r="B1507" s="29"/>
      <c r="C1507" s="30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 t="s">
        <v>39</v>
      </c>
      <c r="N1507" s="31">
        <v>7</v>
      </c>
      <c r="O1507" s="31">
        <v>1</v>
      </c>
      <c r="P1507" s="31">
        <v>2</v>
      </c>
      <c r="Q1507" s="31">
        <v>0</v>
      </c>
      <c r="R1507" s="31">
        <v>0</v>
      </c>
      <c r="S1507" s="31">
        <v>0</v>
      </c>
      <c r="Y1507" s="29"/>
      <c r="Z1507" s="23"/>
      <c r="AA1507" s="3" t="str">
        <f t="shared" si="11"/>
        <v>___</v>
      </c>
      <c r="AB1507" s="3" t="str">
        <f t="shared" si="10"/>
        <v>____</v>
      </c>
    </row>
    <row r="1508" spans="1:29" ht="14">
      <c r="A1508" s="3">
        <v>1507</v>
      </c>
      <c r="B1508" s="28" t="s">
        <v>198</v>
      </c>
      <c r="C1508" s="5" t="s">
        <v>199</v>
      </c>
      <c r="D1508" s="28">
        <v>11</v>
      </c>
      <c r="E1508" s="26" t="s">
        <v>163</v>
      </c>
      <c r="F1508" s="26" t="s">
        <v>180</v>
      </c>
      <c r="G1508" s="26" t="s">
        <v>136</v>
      </c>
      <c r="H1508" s="26" t="s">
        <v>35</v>
      </c>
      <c r="I1508" s="28">
        <v>2</v>
      </c>
      <c r="J1508" s="28">
        <v>3.5</v>
      </c>
      <c r="K1508" s="28">
        <v>5.7</v>
      </c>
      <c r="L1508" s="28">
        <v>4</v>
      </c>
      <c r="M1508" s="26" t="s">
        <v>36</v>
      </c>
      <c r="N1508" s="28">
        <v>15.3</v>
      </c>
      <c r="O1508" s="28">
        <v>6</v>
      </c>
      <c r="P1508" s="28">
        <v>7</v>
      </c>
      <c r="Q1508" s="28">
        <v>0</v>
      </c>
      <c r="R1508" s="28">
        <v>0</v>
      </c>
      <c r="S1508" s="28">
        <v>0</v>
      </c>
      <c r="Y1508" s="26"/>
      <c r="Z1508" s="23"/>
      <c r="AA1508" s="3" t="str">
        <f t="shared" si="11"/>
        <v>ANO_744_11_T4-C1_vv</v>
      </c>
      <c r="AB1508" s="3" t="str">
        <f t="shared" si="10"/>
        <v>ANO_744_11_T4-C1_vv_2</v>
      </c>
      <c r="AC1508" s="3" t="s">
        <v>37</v>
      </c>
    </row>
    <row r="1509" spans="1:29" ht="14">
      <c r="A1509" s="3">
        <v>1508</v>
      </c>
      <c r="B1509" s="26"/>
      <c r="C1509" s="5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 t="s">
        <v>38</v>
      </c>
      <c r="N1509" s="28">
        <v>13.3</v>
      </c>
      <c r="O1509" s="28">
        <v>1</v>
      </c>
      <c r="P1509" s="28">
        <v>2</v>
      </c>
      <c r="Q1509" s="28">
        <v>0</v>
      </c>
      <c r="R1509" s="28">
        <v>0</v>
      </c>
      <c r="S1509" s="28">
        <v>0</v>
      </c>
      <c r="Y1509" s="26"/>
      <c r="Z1509" s="23"/>
      <c r="AA1509" s="3" t="str">
        <f t="shared" si="11"/>
        <v>___</v>
      </c>
      <c r="AB1509" s="3" t="str">
        <f t="shared" si="10"/>
        <v>____</v>
      </c>
    </row>
    <row r="1510" spans="1:29" ht="14">
      <c r="A1510" s="3">
        <v>1509</v>
      </c>
      <c r="B1510" s="29"/>
      <c r="C1510" s="30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 t="s">
        <v>39</v>
      </c>
      <c r="N1510" s="31">
        <v>11.2</v>
      </c>
      <c r="O1510" s="31">
        <v>0</v>
      </c>
      <c r="P1510" s="31">
        <v>2</v>
      </c>
      <c r="Q1510" s="31">
        <v>0</v>
      </c>
      <c r="R1510" s="31">
        <v>0</v>
      </c>
      <c r="S1510" s="31">
        <v>0</v>
      </c>
      <c r="Y1510" s="29"/>
      <c r="Z1510" s="23"/>
      <c r="AA1510" s="3" t="str">
        <f t="shared" si="11"/>
        <v>___</v>
      </c>
      <c r="AB1510" s="3" t="str">
        <f t="shared" si="10"/>
        <v>____</v>
      </c>
    </row>
    <row r="1511" spans="1:29" ht="14">
      <c r="A1511" s="3">
        <v>1510</v>
      </c>
      <c r="B1511" s="28" t="s">
        <v>198</v>
      </c>
      <c r="C1511" s="5" t="s">
        <v>199</v>
      </c>
      <c r="D1511" s="28">
        <v>11</v>
      </c>
      <c r="E1511" s="26" t="s">
        <v>163</v>
      </c>
      <c r="F1511" s="26" t="s">
        <v>180</v>
      </c>
      <c r="G1511" s="26" t="s">
        <v>136</v>
      </c>
      <c r="H1511" s="26" t="s">
        <v>35</v>
      </c>
      <c r="I1511" s="28">
        <v>3</v>
      </c>
      <c r="J1511" s="28">
        <v>3</v>
      </c>
      <c r="K1511" s="28">
        <v>4.2</v>
      </c>
      <c r="L1511" s="28">
        <v>4</v>
      </c>
      <c r="M1511" s="26" t="s">
        <v>36</v>
      </c>
      <c r="N1511" s="28">
        <v>6.1</v>
      </c>
      <c r="O1511" s="28">
        <v>3</v>
      </c>
      <c r="P1511" s="28">
        <v>3</v>
      </c>
      <c r="Q1511" s="28">
        <v>0</v>
      </c>
      <c r="R1511" s="28">
        <v>0</v>
      </c>
      <c r="S1511" s="28">
        <v>0</v>
      </c>
      <c r="Y1511" s="26"/>
      <c r="Z1511" s="23"/>
      <c r="AA1511" s="3" t="str">
        <f t="shared" si="11"/>
        <v>ANO_744_11_T4-C1_vv</v>
      </c>
      <c r="AB1511" s="3" t="str">
        <f t="shared" si="10"/>
        <v>ANO_744_11_T4-C1_vv_3</v>
      </c>
      <c r="AC1511" s="3" t="s">
        <v>37</v>
      </c>
    </row>
    <row r="1512" spans="1:29" ht="14">
      <c r="A1512" s="3">
        <v>1511</v>
      </c>
      <c r="B1512" s="26"/>
      <c r="C1512" s="5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 t="s">
        <v>38</v>
      </c>
      <c r="N1512" s="28">
        <v>11</v>
      </c>
      <c r="O1512" s="28">
        <v>5</v>
      </c>
      <c r="P1512" s="28">
        <v>5</v>
      </c>
      <c r="Q1512" s="28">
        <v>0</v>
      </c>
      <c r="R1512" s="28">
        <v>0</v>
      </c>
      <c r="S1512" s="28">
        <v>0</v>
      </c>
      <c r="Y1512" s="26"/>
      <c r="Z1512" s="23"/>
      <c r="AA1512" s="3" t="str">
        <f t="shared" si="11"/>
        <v>___</v>
      </c>
      <c r="AB1512" s="3" t="str">
        <f t="shared" si="10"/>
        <v>____</v>
      </c>
    </row>
    <row r="1513" spans="1:29" ht="14">
      <c r="A1513" s="3">
        <v>1512</v>
      </c>
      <c r="B1513" s="29"/>
      <c r="C1513" s="30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 t="s">
        <v>39</v>
      </c>
      <c r="N1513" s="31">
        <v>10</v>
      </c>
      <c r="O1513" s="31">
        <v>0</v>
      </c>
      <c r="P1513" s="31">
        <v>2</v>
      </c>
      <c r="Q1513" s="31">
        <v>0</v>
      </c>
      <c r="R1513" s="31">
        <v>0</v>
      </c>
      <c r="S1513" s="31">
        <v>0</v>
      </c>
      <c r="Y1513" s="29"/>
      <c r="Z1513" s="23"/>
      <c r="AA1513" s="3" t="str">
        <f t="shared" si="11"/>
        <v>___</v>
      </c>
      <c r="AB1513" s="3" t="str">
        <f t="shared" si="10"/>
        <v>____</v>
      </c>
    </row>
    <row r="1514" spans="1:29" ht="14">
      <c r="A1514" s="3">
        <v>1513</v>
      </c>
      <c r="B1514" s="28" t="s">
        <v>198</v>
      </c>
      <c r="C1514" s="5" t="s">
        <v>201</v>
      </c>
      <c r="D1514" s="28">
        <v>11</v>
      </c>
      <c r="E1514" s="26" t="s">
        <v>163</v>
      </c>
      <c r="F1514" s="26" t="s">
        <v>180</v>
      </c>
      <c r="G1514" s="26" t="s">
        <v>136</v>
      </c>
      <c r="H1514" s="26" t="s">
        <v>40</v>
      </c>
      <c r="I1514" s="28">
        <v>1</v>
      </c>
      <c r="J1514" s="28">
        <v>33.5</v>
      </c>
      <c r="K1514" s="28">
        <v>33.700000000000003</v>
      </c>
      <c r="L1514" s="28">
        <v>7</v>
      </c>
      <c r="M1514" s="26" t="s">
        <v>36</v>
      </c>
      <c r="N1514" s="28">
        <v>47.6</v>
      </c>
      <c r="O1514" s="28">
        <v>5</v>
      </c>
      <c r="P1514" s="28">
        <v>6</v>
      </c>
      <c r="Q1514" s="28">
        <v>0</v>
      </c>
      <c r="R1514" s="28">
        <v>0</v>
      </c>
      <c r="S1514" s="28">
        <v>0</v>
      </c>
      <c r="Y1514" s="26" t="s">
        <v>166</v>
      </c>
      <c r="Z1514" s="23"/>
      <c r="AA1514" s="3" t="str">
        <f t="shared" si="11"/>
        <v>ANO_171_11_T4-C1_vm</v>
      </c>
      <c r="AB1514" s="3" t="str">
        <f t="shared" si="10"/>
        <v>ANO_171_11_T4-C1_vm_1</v>
      </c>
      <c r="AC1514" s="3" t="s">
        <v>37</v>
      </c>
    </row>
    <row r="1515" spans="1:29" ht="14">
      <c r="A1515" s="3">
        <v>1514</v>
      </c>
      <c r="B1515" s="26"/>
      <c r="C1515" s="5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 t="s">
        <v>38</v>
      </c>
      <c r="N1515" s="28">
        <v>62.3</v>
      </c>
      <c r="O1515" s="28">
        <v>0</v>
      </c>
      <c r="P1515" s="28">
        <v>4</v>
      </c>
      <c r="Q1515" s="28">
        <v>5</v>
      </c>
      <c r="R1515" s="28">
        <v>5</v>
      </c>
      <c r="S1515" s="28">
        <v>0</v>
      </c>
      <c r="Y1515" s="26"/>
      <c r="Z1515" s="23"/>
      <c r="AA1515" s="3" t="str">
        <f t="shared" si="11"/>
        <v>___</v>
      </c>
      <c r="AB1515" s="3" t="str">
        <f t="shared" si="10"/>
        <v>____</v>
      </c>
    </row>
    <row r="1516" spans="1:29" ht="14">
      <c r="A1516" s="3">
        <v>1515</v>
      </c>
      <c r="B1516" s="29"/>
      <c r="C1516" s="30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 t="s">
        <v>39</v>
      </c>
      <c r="N1516" s="31">
        <v>61</v>
      </c>
      <c r="O1516" s="31">
        <v>0</v>
      </c>
      <c r="P1516" s="31">
        <v>4</v>
      </c>
      <c r="Q1516" s="31">
        <v>1</v>
      </c>
      <c r="R1516" s="31">
        <v>1</v>
      </c>
      <c r="S1516" s="31">
        <v>0</v>
      </c>
      <c r="Y1516" s="29"/>
      <c r="Z1516" s="23"/>
      <c r="AA1516" s="3" t="str">
        <f t="shared" si="11"/>
        <v>___</v>
      </c>
      <c r="AB1516" s="3" t="str">
        <f t="shared" si="10"/>
        <v>____</v>
      </c>
    </row>
    <row r="1517" spans="1:29" ht="14">
      <c r="A1517" s="3">
        <v>1516</v>
      </c>
      <c r="B1517" s="28" t="s">
        <v>198</v>
      </c>
      <c r="C1517" s="5" t="s">
        <v>201</v>
      </c>
      <c r="D1517" s="28">
        <v>11</v>
      </c>
      <c r="E1517" s="26" t="s">
        <v>163</v>
      </c>
      <c r="F1517" s="26" t="s">
        <v>180</v>
      </c>
      <c r="G1517" s="26" t="s">
        <v>136</v>
      </c>
      <c r="H1517" s="26" t="s">
        <v>40</v>
      </c>
      <c r="I1517" s="28">
        <v>2</v>
      </c>
      <c r="J1517" s="28">
        <v>46</v>
      </c>
      <c r="K1517" s="28">
        <v>58.5</v>
      </c>
      <c r="L1517" s="28">
        <v>6</v>
      </c>
      <c r="M1517" s="26" t="s">
        <v>36</v>
      </c>
      <c r="N1517" s="28">
        <v>80.099999999999994</v>
      </c>
      <c r="O1517" s="28">
        <v>5</v>
      </c>
      <c r="P1517" s="28">
        <v>10</v>
      </c>
      <c r="Q1517" s="28">
        <v>3</v>
      </c>
      <c r="R1517" s="28">
        <v>6</v>
      </c>
      <c r="S1517" s="28">
        <v>0</v>
      </c>
      <c r="Y1517" s="26" t="s">
        <v>166</v>
      </c>
      <c r="Z1517" s="23"/>
      <c r="AA1517" s="3" t="str">
        <f t="shared" si="11"/>
        <v>ANO_171_11_T4-C1_vm</v>
      </c>
      <c r="AB1517" s="3" t="str">
        <f t="shared" si="10"/>
        <v>ANO_171_11_T4-C1_vm_2</v>
      </c>
      <c r="AC1517" s="3" t="s">
        <v>37</v>
      </c>
    </row>
    <row r="1518" spans="1:29" ht="14">
      <c r="A1518" s="3">
        <v>1517</v>
      </c>
      <c r="B1518" s="26"/>
      <c r="C1518" s="5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 t="s">
        <v>38</v>
      </c>
      <c r="N1518" s="28">
        <v>61.4</v>
      </c>
      <c r="O1518" s="28">
        <v>0</v>
      </c>
      <c r="P1518" s="28">
        <v>4</v>
      </c>
      <c r="Q1518" s="28">
        <v>2</v>
      </c>
      <c r="R1518" s="28">
        <v>10</v>
      </c>
      <c r="S1518" s="28">
        <v>0</v>
      </c>
      <c r="Y1518" s="26"/>
      <c r="Z1518" s="23"/>
      <c r="AA1518" s="3" t="str">
        <f t="shared" si="11"/>
        <v>___</v>
      </c>
      <c r="AB1518" s="3" t="str">
        <f t="shared" si="10"/>
        <v>____</v>
      </c>
    </row>
    <row r="1519" spans="1:29" ht="14">
      <c r="A1519" s="3">
        <v>1518</v>
      </c>
      <c r="B1519" s="29"/>
      <c r="C1519" s="30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 t="s">
        <v>39</v>
      </c>
      <c r="N1519" s="31">
        <v>38.6</v>
      </c>
      <c r="O1519" s="31">
        <v>0</v>
      </c>
      <c r="P1519" s="31">
        <v>3</v>
      </c>
      <c r="Q1519" s="31">
        <v>1</v>
      </c>
      <c r="R1519" s="31">
        <v>6</v>
      </c>
      <c r="S1519" s="31">
        <v>0</v>
      </c>
      <c r="Y1519" s="29"/>
      <c r="Z1519" s="23"/>
      <c r="AA1519" s="3" t="str">
        <f t="shared" si="11"/>
        <v>___</v>
      </c>
      <c r="AB1519" s="3" t="str">
        <f t="shared" si="10"/>
        <v>____</v>
      </c>
    </row>
    <row r="1520" spans="1:29" ht="14">
      <c r="A1520" s="3">
        <v>1519</v>
      </c>
      <c r="B1520" s="28" t="s">
        <v>198</v>
      </c>
      <c r="C1520" s="5" t="s">
        <v>201</v>
      </c>
      <c r="D1520" s="28">
        <v>11</v>
      </c>
      <c r="E1520" s="26" t="s">
        <v>163</v>
      </c>
      <c r="F1520" s="26" t="s">
        <v>180</v>
      </c>
      <c r="G1520" s="26" t="s">
        <v>136</v>
      </c>
      <c r="H1520" s="26" t="s">
        <v>40</v>
      </c>
      <c r="I1520" s="28">
        <v>3</v>
      </c>
      <c r="J1520" s="28">
        <v>45</v>
      </c>
      <c r="K1520" s="28">
        <v>47</v>
      </c>
      <c r="L1520" s="28">
        <v>6</v>
      </c>
      <c r="M1520" s="26" t="s">
        <v>36</v>
      </c>
      <c r="N1520" s="28">
        <v>53.1</v>
      </c>
      <c r="O1520" s="28">
        <v>0</v>
      </c>
      <c r="P1520" s="28">
        <v>6</v>
      </c>
      <c r="Q1520" s="28">
        <v>3</v>
      </c>
      <c r="R1520" s="28">
        <v>3</v>
      </c>
      <c r="S1520" s="28">
        <v>0</v>
      </c>
      <c r="Y1520" s="26" t="s">
        <v>166</v>
      </c>
      <c r="Z1520" s="23"/>
      <c r="AA1520" s="3" t="str">
        <f t="shared" si="11"/>
        <v>ANO_171_11_T4-C1_vm</v>
      </c>
      <c r="AB1520" s="3" t="str">
        <f t="shared" si="10"/>
        <v>ANO_171_11_T4-C1_vm_3</v>
      </c>
    </row>
    <row r="1521" spans="1:29" ht="14">
      <c r="A1521" s="3">
        <v>1520</v>
      </c>
      <c r="B1521" s="26"/>
      <c r="C1521" s="5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 t="s">
        <v>38</v>
      </c>
      <c r="N1521" s="28">
        <v>78.400000000000006</v>
      </c>
      <c r="O1521" s="28">
        <v>0</v>
      </c>
      <c r="P1521" s="28">
        <v>6</v>
      </c>
      <c r="Q1521" s="28">
        <v>4</v>
      </c>
      <c r="R1521" s="28">
        <v>10</v>
      </c>
      <c r="S1521" s="28">
        <v>0</v>
      </c>
      <c r="Y1521" s="26"/>
      <c r="Z1521" s="23"/>
      <c r="AA1521" s="3" t="str">
        <f t="shared" si="11"/>
        <v>___</v>
      </c>
      <c r="AB1521" s="3" t="str">
        <f t="shared" si="10"/>
        <v>____</v>
      </c>
    </row>
    <row r="1522" spans="1:29" ht="14">
      <c r="A1522" s="3">
        <v>1521</v>
      </c>
      <c r="B1522" s="29"/>
      <c r="C1522" s="30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 t="s">
        <v>39</v>
      </c>
      <c r="N1522" s="31">
        <v>71.8</v>
      </c>
      <c r="O1522" s="31">
        <v>0</v>
      </c>
      <c r="P1522" s="31">
        <v>4</v>
      </c>
      <c r="Q1522" s="31">
        <v>4</v>
      </c>
      <c r="R1522" s="31">
        <v>34</v>
      </c>
      <c r="S1522" s="31">
        <v>0</v>
      </c>
      <c r="Y1522" s="29"/>
      <c r="Z1522" s="23"/>
      <c r="AA1522" s="3" t="str">
        <f t="shared" si="11"/>
        <v>___</v>
      </c>
      <c r="AB1522" s="3" t="str">
        <f t="shared" si="10"/>
        <v>____</v>
      </c>
    </row>
    <row r="1523" spans="1:29" ht="14">
      <c r="A1523" s="3">
        <v>1522</v>
      </c>
      <c r="B1523" s="28" t="s">
        <v>198</v>
      </c>
      <c r="C1523" s="5" t="s">
        <v>201</v>
      </c>
      <c r="D1523" s="28">
        <v>11</v>
      </c>
      <c r="E1523" s="26" t="s">
        <v>163</v>
      </c>
      <c r="F1523" s="26" t="s">
        <v>180</v>
      </c>
      <c r="G1523" s="26" t="s">
        <v>136</v>
      </c>
      <c r="H1523" s="26" t="s">
        <v>35</v>
      </c>
      <c r="I1523" s="28">
        <v>1</v>
      </c>
      <c r="J1523" s="28">
        <v>24</v>
      </c>
      <c r="K1523" s="28">
        <v>24.5</v>
      </c>
      <c r="L1523" s="28">
        <v>8</v>
      </c>
      <c r="M1523" s="26" t="s">
        <v>36</v>
      </c>
      <c r="N1523" s="28">
        <v>28.9</v>
      </c>
      <c r="O1523" s="28">
        <v>10</v>
      </c>
      <c r="P1523" s="28">
        <v>11</v>
      </c>
      <c r="Q1523" s="28">
        <v>0</v>
      </c>
      <c r="R1523" s="28">
        <v>0</v>
      </c>
      <c r="S1523" s="28">
        <v>0</v>
      </c>
      <c r="Y1523" s="26"/>
      <c r="Z1523" s="23"/>
      <c r="AA1523" s="3" t="str">
        <f t="shared" si="11"/>
        <v>ANO_171_11_T4-C1_vv</v>
      </c>
      <c r="AB1523" s="3" t="str">
        <f t="shared" si="10"/>
        <v>ANO_171_11_T4-C1_vv_1</v>
      </c>
      <c r="AC1523" s="3" t="s">
        <v>37</v>
      </c>
    </row>
    <row r="1524" spans="1:29" ht="14">
      <c r="A1524" s="3">
        <v>1523</v>
      </c>
      <c r="B1524" s="26"/>
      <c r="C1524" s="5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 t="s">
        <v>38</v>
      </c>
      <c r="N1524" s="28">
        <v>20</v>
      </c>
      <c r="O1524" s="28">
        <v>6</v>
      </c>
      <c r="P1524" s="28">
        <v>8</v>
      </c>
      <c r="Q1524" s="28">
        <v>0</v>
      </c>
      <c r="R1524" s="28">
        <v>0</v>
      </c>
      <c r="S1524" s="28">
        <v>0</v>
      </c>
      <c r="Y1524" s="26"/>
      <c r="Z1524" s="23"/>
      <c r="AA1524" s="3" t="str">
        <f t="shared" si="11"/>
        <v>___</v>
      </c>
      <c r="AB1524" s="3" t="str">
        <f t="shared" si="10"/>
        <v>____</v>
      </c>
    </row>
    <row r="1525" spans="1:29" ht="14">
      <c r="A1525" s="3">
        <v>1524</v>
      </c>
      <c r="B1525" s="29"/>
      <c r="C1525" s="30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 t="s">
        <v>39</v>
      </c>
      <c r="N1525" s="31">
        <v>42.2</v>
      </c>
      <c r="O1525" s="31">
        <v>8</v>
      </c>
      <c r="P1525" s="31">
        <v>10</v>
      </c>
      <c r="Q1525" s="31">
        <v>0</v>
      </c>
      <c r="R1525" s="31">
        <v>0</v>
      </c>
      <c r="S1525" s="31">
        <v>0</v>
      </c>
      <c r="Y1525" s="29"/>
      <c r="Z1525" s="23"/>
      <c r="AA1525" s="3" t="str">
        <f t="shared" si="11"/>
        <v>___</v>
      </c>
      <c r="AB1525" s="3" t="str">
        <f t="shared" si="10"/>
        <v>____</v>
      </c>
    </row>
    <row r="1526" spans="1:29" ht="14">
      <c r="A1526" s="3">
        <v>1525</v>
      </c>
      <c r="B1526" s="28" t="s">
        <v>198</v>
      </c>
      <c r="C1526" s="5" t="s">
        <v>201</v>
      </c>
      <c r="D1526" s="28">
        <v>11</v>
      </c>
      <c r="E1526" s="26" t="s">
        <v>163</v>
      </c>
      <c r="F1526" s="26" t="s">
        <v>180</v>
      </c>
      <c r="G1526" s="26" t="s">
        <v>136</v>
      </c>
      <c r="H1526" s="26" t="s">
        <v>35</v>
      </c>
      <c r="I1526" s="28">
        <v>2</v>
      </c>
      <c r="J1526" s="28">
        <v>17</v>
      </c>
      <c r="K1526" s="28">
        <v>18.600000000000001</v>
      </c>
      <c r="L1526" s="28">
        <v>7</v>
      </c>
      <c r="M1526" s="26" t="s">
        <v>36</v>
      </c>
      <c r="N1526" s="28">
        <v>35</v>
      </c>
      <c r="O1526" s="28">
        <v>10</v>
      </c>
      <c r="P1526" s="28">
        <v>11</v>
      </c>
      <c r="Q1526" s="28">
        <v>0</v>
      </c>
      <c r="R1526" s="28">
        <v>0</v>
      </c>
      <c r="S1526" s="28">
        <v>0</v>
      </c>
      <c r="Y1526" s="26"/>
      <c r="Z1526" s="23"/>
      <c r="AA1526" s="3" t="str">
        <f t="shared" si="11"/>
        <v>ANO_171_11_T4-C1_vv</v>
      </c>
      <c r="AB1526" s="3" t="str">
        <f t="shared" si="10"/>
        <v>ANO_171_11_T4-C1_vv_2</v>
      </c>
      <c r="AC1526" s="3" t="s">
        <v>37</v>
      </c>
    </row>
    <row r="1527" spans="1:29" ht="14">
      <c r="A1527" s="3">
        <v>1526</v>
      </c>
      <c r="B1527" s="26"/>
      <c r="C1527" s="5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 t="s">
        <v>38</v>
      </c>
      <c r="N1527" s="28">
        <v>46.7</v>
      </c>
      <c r="O1527" s="28">
        <v>9</v>
      </c>
      <c r="P1527" s="28">
        <v>10</v>
      </c>
      <c r="Q1527" s="28">
        <v>0</v>
      </c>
      <c r="R1527" s="28">
        <v>0</v>
      </c>
      <c r="S1527" s="28">
        <v>0</v>
      </c>
      <c r="Y1527" s="26"/>
      <c r="Z1527" s="23"/>
      <c r="AA1527" s="3" t="str">
        <f t="shared" si="11"/>
        <v>___</v>
      </c>
      <c r="AB1527" s="3" t="str">
        <f t="shared" si="10"/>
        <v>____</v>
      </c>
    </row>
    <row r="1528" spans="1:29" ht="14">
      <c r="A1528" s="3">
        <v>1527</v>
      </c>
      <c r="B1528" s="29"/>
      <c r="C1528" s="30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 t="s">
        <v>39</v>
      </c>
      <c r="N1528" s="31">
        <v>39.200000000000003</v>
      </c>
      <c r="O1528" s="31">
        <v>3</v>
      </c>
      <c r="P1528" s="31">
        <v>6</v>
      </c>
      <c r="Q1528" s="31">
        <v>0</v>
      </c>
      <c r="R1528" s="31">
        <v>0</v>
      </c>
      <c r="S1528" s="31">
        <v>0</v>
      </c>
      <c r="Y1528" s="29"/>
      <c r="Z1528" s="23"/>
      <c r="AA1528" s="3" t="str">
        <f t="shared" si="11"/>
        <v>___</v>
      </c>
      <c r="AB1528" s="3" t="str">
        <f t="shared" si="10"/>
        <v>____</v>
      </c>
    </row>
    <row r="1529" spans="1:29" ht="14">
      <c r="A1529" s="3">
        <v>1528</v>
      </c>
      <c r="B1529" s="28" t="s">
        <v>198</v>
      </c>
      <c r="C1529" s="5" t="s">
        <v>201</v>
      </c>
      <c r="D1529" s="28">
        <v>11</v>
      </c>
      <c r="E1529" s="26" t="s">
        <v>163</v>
      </c>
      <c r="F1529" s="26" t="s">
        <v>180</v>
      </c>
      <c r="G1529" s="26" t="s">
        <v>136</v>
      </c>
      <c r="H1529" s="26" t="s">
        <v>35</v>
      </c>
      <c r="I1529" s="28">
        <v>3</v>
      </c>
      <c r="J1529" s="28">
        <v>18</v>
      </c>
      <c r="K1529" s="28">
        <v>19.399999999999999</v>
      </c>
      <c r="L1529" s="28">
        <v>6</v>
      </c>
      <c r="M1529" s="26" t="s">
        <v>36</v>
      </c>
      <c r="N1529" s="28">
        <v>40.299999999999997</v>
      </c>
      <c r="O1529" s="28">
        <v>12</v>
      </c>
      <c r="P1529" s="28">
        <v>12</v>
      </c>
      <c r="Q1529" s="28">
        <v>0</v>
      </c>
      <c r="R1529" s="28">
        <v>0</v>
      </c>
      <c r="S1529" s="28">
        <v>0</v>
      </c>
      <c r="Y1529" s="26"/>
      <c r="Z1529" s="23"/>
      <c r="AA1529" s="3" t="str">
        <f t="shared" si="11"/>
        <v>ANO_171_11_T4-C1_vv</v>
      </c>
      <c r="AB1529" s="3" t="str">
        <f t="shared" si="10"/>
        <v>ANO_171_11_T4-C1_vv_3</v>
      </c>
      <c r="AC1529" s="3" t="s">
        <v>37</v>
      </c>
    </row>
    <row r="1530" spans="1:29" ht="14">
      <c r="A1530" s="3">
        <v>1529</v>
      </c>
      <c r="B1530" s="26"/>
      <c r="C1530" s="5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 t="s">
        <v>38</v>
      </c>
      <c r="N1530" s="28">
        <v>34.4</v>
      </c>
      <c r="O1530" s="28">
        <v>7</v>
      </c>
      <c r="P1530" s="28">
        <v>8</v>
      </c>
      <c r="Q1530" s="28">
        <v>0</v>
      </c>
      <c r="R1530" s="28">
        <v>0</v>
      </c>
      <c r="S1530" s="28">
        <v>0</v>
      </c>
      <c r="Y1530" s="26"/>
      <c r="Z1530" s="23"/>
      <c r="AA1530" s="3" t="str">
        <f t="shared" si="11"/>
        <v>___</v>
      </c>
      <c r="AB1530" s="3" t="str">
        <f t="shared" si="10"/>
        <v>____</v>
      </c>
    </row>
    <row r="1531" spans="1:29" ht="14">
      <c r="A1531" s="3">
        <v>1530</v>
      </c>
      <c r="B1531" s="29"/>
      <c r="C1531" s="30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 t="s">
        <v>39</v>
      </c>
      <c r="N1531" s="31">
        <v>36</v>
      </c>
      <c r="O1531" s="31">
        <v>5</v>
      </c>
      <c r="P1531" s="31">
        <v>7</v>
      </c>
      <c r="Q1531" s="31">
        <v>0</v>
      </c>
      <c r="R1531" s="31">
        <v>0</v>
      </c>
      <c r="S1531" s="31">
        <v>0</v>
      </c>
      <c r="Y1531" s="29"/>
      <c r="Z1531" s="23"/>
      <c r="AA1531" s="3" t="str">
        <f t="shared" si="11"/>
        <v>___</v>
      </c>
      <c r="AB1531" s="3" t="str">
        <f t="shared" si="10"/>
        <v>____</v>
      </c>
    </row>
    <row r="1532" spans="1:29" ht="14">
      <c r="A1532" s="3">
        <v>1531</v>
      </c>
      <c r="B1532" s="28" t="s">
        <v>198</v>
      </c>
      <c r="C1532" s="5" t="s">
        <v>201</v>
      </c>
      <c r="D1532" s="28">
        <v>31</v>
      </c>
      <c r="E1532" s="26" t="s">
        <v>163</v>
      </c>
      <c r="F1532" s="26" t="s">
        <v>180</v>
      </c>
      <c r="G1532" s="26" t="s">
        <v>147</v>
      </c>
      <c r="H1532" s="26" t="s">
        <v>40</v>
      </c>
      <c r="I1532" s="28">
        <v>1</v>
      </c>
      <c r="J1532" s="28">
        <v>30</v>
      </c>
      <c r="K1532" s="28">
        <v>31.4</v>
      </c>
      <c r="L1532" s="28">
        <v>4</v>
      </c>
      <c r="M1532" s="26" t="s">
        <v>36</v>
      </c>
      <c r="N1532" s="28">
        <v>119.8</v>
      </c>
      <c r="O1532" s="28">
        <v>8</v>
      </c>
      <c r="P1532" s="28">
        <v>9</v>
      </c>
      <c r="Q1532" s="28">
        <v>0</v>
      </c>
      <c r="R1532" s="28">
        <v>0</v>
      </c>
      <c r="S1532" s="28">
        <v>0</v>
      </c>
      <c r="Y1532" s="26"/>
      <c r="Z1532" s="23"/>
      <c r="AA1532" s="3" t="str">
        <f t="shared" si="11"/>
        <v>ANO_171_31_T4-C5_vm</v>
      </c>
      <c r="AB1532" s="3" t="str">
        <f t="shared" ref="AB1532:AB1786" si="12">CONCATENATE(C1532,"_",D1532,"_",G1532,"_",H1532,"_",I1532)</f>
        <v>ANO_171_31_T4-C5_vm_1</v>
      </c>
      <c r="AC1532" s="3" t="s">
        <v>37</v>
      </c>
    </row>
    <row r="1533" spans="1:29" ht="14">
      <c r="A1533" s="3">
        <v>1532</v>
      </c>
      <c r="B1533" s="26"/>
      <c r="C1533" s="5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 t="s">
        <v>38</v>
      </c>
      <c r="N1533" s="28">
        <v>61.2</v>
      </c>
      <c r="O1533" s="28">
        <v>0</v>
      </c>
      <c r="P1533" s="28">
        <v>4</v>
      </c>
      <c r="Q1533" s="28">
        <v>3</v>
      </c>
      <c r="R1533" s="28">
        <v>4</v>
      </c>
      <c r="S1533" s="28">
        <v>0</v>
      </c>
      <c r="Y1533" s="26"/>
      <c r="Z1533" s="23"/>
      <c r="AA1533" s="3" t="str">
        <f t="shared" ref="AA1533:AA1787" si="13">CONCATENATE(C1533, "_",D1533,"_",G1533,"_",H1533)</f>
        <v>___</v>
      </c>
      <c r="AB1533" s="3" t="str">
        <f t="shared" si="12"/>
        <v>____</v>
      </c>
    </row>
    <row r="1534" spans="1:29" ht="14">
      <c r="A1534" s="3">
        <v>1533</v>
      </c>
      <c r="B1534" s="29"/>
      <c r="C1534" s="30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 t="s">
        <v>39</v>
      </c>
      <c r="N1534" s="31">
        <v>41.4</v>
      </c>
      <c r="O1534" s="31">
        <v>0</v>
      </c>
      <c r="P1534" s="31">
        <v>1</v>
      </c>
      <c r="Q1534" s="31">
        <v>1</v>
      </c>
      <c r="R1534" s="31">
        <v>3</v>
      </c>
      <c r="S1534" s="31">
        <v>0</v>
      </c>
      <c r="Y1534" s="29"/>
      <c r="Z1534" s="23"/>
      <c r="AA1534" s="3" t="str">
        <f t="shared" si="13"/>
        <v>___</v>
      </c>
      <c r="AB1534" s="3" t="str">
        <f t="shared" si="12"/>
        <v>____</v>
      </c>
    </row>
    <row r="1535" spans="1:29" ht="14">
      <c r="A1535" s="3">
        <v>1534</v>
      </c>
      <c r="B1535" s="28" t="s">
        <v>198</v>
      </c>
      <c r="C1535" s="5" t="s">
        <v>201</v>
      </c>
      <c r="D1535" s="28">
        <v>31</v>
      </c>
      <c r="E1535" s="26" t="s">
        <v>163</v>
      </c>
      <c r="F1535" s="26" t="s">
        <v>180</v>
      </c>
      <c r="G1535" s="26" t="s">
        <v>147</v>
      </c>
      <c r="H1535" s="26" t="s">
        <v>40</v>
      </c>
      <c r="I1535" s="28">
        <v>2</v>
      </c>
      <c r="J1535" s="28">
        <v>26</v>
      </c>
      <c r="K1535" s="28">
        <v>29.5</v>
      </c>
      <c r="L1535" s="28">
        <v>4</v>
      </c>
      <c r="M1535" s="26" t="s">
        <v>36</v>
      </c>
      <c r="N1535" s="28">
        <v>95.2</v>
      </c>
      <c r="O1535" s="28">
        <v>8</v>
      </c>
      <c r="P1535" s="28">
        <v>8</v>
      </c>
      <c r="Q1535" s="28">
        <v>0</v>
      </c>
      <c r="R1535" s="28">
        <v>0</v>
      </c>
      <c r="S1535" s="28">
        <v>0</v>
      </c>
      <c r="Y1535" s="26"/>
      <c r="Z1535" s="23"/>
      <c r="AA1535" s="3" t="str">
        <f t="shared" si="13"/>
        <v>ANO_171_31_T4-C5_vm</v>
      </c>
      <c r="AB1535" s="3" t="str">
        <f t="shared" si="12"/>
        <v>ANO_171_31_T4-C5_vm_2</v>
      </c>
      <c r="AC1535" s="3" t="s">
        <v>37</v>
      </c>
    </row>
    <row r="1536" spans="1:29" ht="14">
      <c r="A1536" s="3">
        <v>1535</v>
      </c>
      <c r="B1536" s="26"/>
      <c r="C1536" s="5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 t="s">
        <v>38</v>
      </c>
      <c r="N1536" s="28">
        <v>45.3</v>
      </c>
      <c r="O1536" s="28">
        <v>0</v>
      </c>
      <c r="P1536" s="28">
        <v>2</v>
      </c>
      <c r="Q1536" s="28">
        <v>3</v>
      </c>
      <c r="R1536" s="28">
        <v>3</v>
      </c>
      <c r="S1536" s="28">
        <v>0</v>
      </c>
      <c r="Y1536" s="26"/>
      <c r="Z1536" s="23"/>
      <c r="AA1536" s="3" t="str">
        <f t="shared" si="13"/>
        <v>___</v>
      </c>
      <c r="AB1536" s="3" t="str">
        <f t="shared" si="12"/>
        <v>____</v>
      </c>
    </row>
    <row r="1537" spans="1:29" ht="14">
      <c r="A1537" s="3">
        <v>1536</v>
      </c>
      <c r="B1537" s="29"/>
      <c r="C1537" s="30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 t="s">
        <v>39</v>
      </c>
      <c r="N1537" s="31">
        <v>34</v>
      </c>
      <c r="O1537" s="31">
        <v>0</v>
      </c>
      <c r="P1537" s="31">
        <v>2</v>
      </c>
      <c r="Q1537" s="31">
        <v>0</v>
      </c>
      <c r="R1537" s="31">
        <v>0</v>
      </c>
      <c r="S1537" s="31">
        <v>0</v>
      </c>
      <c r="Y1537" s="29"/>
      <c r="Z1537" s="23"/>
      <c r="AA1537" s="3" t="str">
        <f t="shared" si="13"/>
        <v>___</v>
      </c>
      <c r="AB1537" s="3" t="str">
        <f t="shared" si="12"/>
        <v>____</v>
      </c>
    </row>
    <row r="1538" spans="1:29" ht="14">
      <c r="A1538" s="3">
        <v>1537</v>
      </c>
      <c r="B1538" s="28" t="s">
        <v>198</v>
      </c>
      <c r="C1538" s="5" t="s">
        <v>201</v>
      </c>
      <c r="D1538" s="28">
        <v>31</v>
      </c>
      <c r="E1538" s="26" t="s">
        <v>163</v>
      </c>
      <c r="F1538" s="26" t="s">
        <v>180</v>
      </c>
      <c r="G1538" s="26" t="s">
        <v>147</v>
      </c>
      <c r="H1538" s="26" t="s">
        <v>40</v>
      </c>
      <c r="I1538" s="28">
        <v>3</v>
      </c>
      <c r="J1538" s="28">
        <v>26</v>
      </c>
      <c r="K1538" s="28">
        <v>27.5</v>
      </c>
      <c r="L1538" s="28">
        <v>5</v>
      </c>
      <c r="M1538" s="26" t="s">
        <v>36</v>
      </c>
      <c r="N1538" s="28">
        <v>81</v>
      </c>
      <c r="O1538" s="28">
        <v>7</v>
      </c>
      <c r="P1538" s="28">
        <v>9</v>
      </c>
      <c r="Q1538" s="28">
        <v>0</v>
      </c>
      <c r="R1538" s="28">
        <v>0</v>
      </c>
      <c r="S1538" s="28">
        <v>0</v>
      </c>
      <c r="Y1538" s="26"/>
      <c r="Z1538" s="23"/>
      <c r="AA1538" s="3" t="str">
        <f t="shared" si="13"/>
        <v>ANO_171_31_T4-C5_vm</v>
      </c>
      <c r="AB1538" s="3" t="str">
        <f t="shared" si="12"/>
        <v>ANO_171_31_T4-C5_vm_3</v>
      </c>
      <c r="AC1538" s="3" t="s">
        <v>37</v>
      </c>
    </row>
    <row r="1539" spans="1:29" ht="14">
      <c r="A1539" s="3">
        <v>1538</v>
      </c>
      <c r="B1539" s="26"/>
      <c r="C1539" s="5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 t="s">
        <v>38</v>
      </c>
      <c r="N1539" s="28">
        <v>45.9</v>
      </c>
      <c r="O1539" s="28">
        <v>0</v>
      </c>
      <c r="P1539" s="28">
        <v>0</v>
      </c>
      <c r="Q1539" s="28">
        <v>3</v>
      </c>
      <c r="R1539" s="28">
        <v>3</v>
      </c>
      <c r="S1539" s="28">
        <v>0</v>
      </c>
      <c r="Y1539" s="26"/>
      <c r="Z1539" s="23"/>
      <c r="AA1539" s="3" t="str">
        <f t="shared" si="13"/>
        <v>___</v>
      </c>
      <c r="AB1539" s="3" t="str">
        <f t="shared" si="12"/>
        <v>____</v>
      </c>
    </row>
    <row r="1540" spans="1:29" ht="14">
      <c r="A1540" s="3">
        <v>1539</v>
      </c>
      <c r="B1540" s="29"/>
      <c r="C1540" s="30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 t="s">
        <v>39</v>
      </c>
      <c r="N1540" s="31">
        <v>46</v>
      </c>
      <c r="O1540" s="31">
        <v>0</v>
      </c>
      <c r="P1540" s="31">
        <v>2</v>
      </c>
      <c r="Q1540" s="31">
        <v>0</v>
      </c>
      <c r="R1540" s="31">
        <v>0</v>
      </c>
      <c r="S1540" s="31">
        <v>0</v>
      </c>
      <c r="Y1540" s="29"/>
      <c r="Z1540" s="23"/>
      <c r="AA1540" s="3" t="str">
        <f t="shared" si="13"/>
        <v>___</v>
      </c>
      <c r="AB1540" s="3" t="str">
        <f t="shared" si="12"/>
        <v>____</v>
      </c>
    </row>
    <row r="1541" spans="1:29" ht="14">
      <c r="A1541" s="3">
        <v>1540</v>
      </c>
      <c r="B1541" s="28" t="s">
        <v>198</v>
      </c>
      <c r="C1541" s="5" t="s">
        <v>201</v>
      </c>
      <c r="D1541" s="28">
        <v>31</v>
      </c>
      <c r="E1541" s="26" t="s">
        <v>163</v>
      </c>
      <c r="F1541" s="26" t="s">
        <v>180</v>
      </c>
      <c r="G1541" s="26" t="s">
        <v>147</v>
      </c>
      <c r="H1541" s="26" t="s">
        <v>35</v>
      </c>
      <c r="I1541" s="28">
        <v>1</v>
      </c>
      <c r="J1541" s="28">
        <v>24</v>
      </c>
      <c r="K1541" s="28">
        <v>24</v>
      </c>
      <c r="L1541" s="26"/>
      <c r="M1541" s="26" t="s">
        <v>36</v>
      </c>
      <c r="N1541" s="28">
        <v>56.7</v>
      </c>
      <c r="O1541" s="28">
        <v>16</v>
      </c>
      <c r="P1541" s="28">
        <v>16</v>
      </c>
      <c r="Q1541" s="28">
        <v>0</v>
      </c>
      <c r="R1541" s="28">
        <v>0</v>
      </c>
      <c r="S1541" s="28">
        <v>0</v>
      </c>
      <c r="Y1541" s="26"/>
      <c r="Z1541" s="23"/>
      <c r="AA1541" s="3" t="str">
        <f t="shared" si="13"/>
        <v>ANO_171_31_T4-C5_vv</v>
      </c>
      <c r="AB1541" s="3" t="str">
        <f t="shared" si="12"/>
        <v>ANO_171_31_T4-C5_vv_1</v>
      </c>
      <c r="AC1541" s="3" t="s">
        <v>37</v>
      </c>
    </row>
    <row r="1542" spans="1:29" ht="14">
      <c r="A1542" s="3">
        <v>1541</v>
      </c>
      <c r="B1542" s="26"/>
      <c r="C1542" s="5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 t="s">
        <v>38</v>
      </c>
      <c r="N1542" s="28">
        <v>41.2</v>
      </c>
      <c r="O1542" s="28">
        <v>8</v>
      </c>
      <c r="P1542" s="28">
        <v>8</v>
      </c>
      <c r="Q1542" s="28">
        <v>0</v>
      </c>
      <c r="R1542" s="28">
        <v>0</v>
      </c>
      <c r="S1542" s="28">
        <v>0</v>
      </c>
      <c r="Y1542" s="26"/>
      <c r="Z1542" s="23"/>
      <c r="AA1542" s="3" t="str">
        <f t="shared" si="13"/>
        <v>___</v>
      </c>
      <c r="AB1542" s="3" t="str">
        <f t="shared" si="12"/>
        <v>____</v>
      </c>
    </row>
    <row r="1543" spans="1:29" ht="14">
      <c r="A1543" s="3">
        <v>1542</v>
      </c>
      <c r="B1543" s="29"/>
      <c r="C1543" s="30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 t="s">
        <v>39</v>
      </c>
      <c r="N1543" s="31">
        <v>47.8</v>
      </c>
      <c r="O1543" s="31">
        <v>3</v>
      </c>
      <c r="P1543" s="31">
        <v>6</v>
      </c>
      <c r="Q1543" s="31">
        <v>0</v>
      </c>
      <c r="R1543" s="31">
        <v>0</v>
      </c>
      <c r="S1543" s="31">
        <v>0</v>
      </c>
      <c r="Y1543" s="29"/>
      <c r="Z1543" s="23"/>
      <c r="AA1543" s="3" t="str">
        <f t="shared" si="13"/>
        <v>___</v>
      </c>
      <c r="AB1543" s="3" t="str">
        <f t="shared" si="12"/>
        <v>____</v>
      </c>
    </row>
    <row r="1544" spans="1:29" ht="14">
      <c r="A1544" s="3">
        <v>1543</v>
      </c>
      <c r="B1544" s="28" t="s">
        <v>198</v>
      </c>
      <c r="C1544" s="5" t="s">
        <v>201</v>
      </c>
      <c r="D1544" s="28">
        <v>31</v>
      </c>
      <c r="E1544" s="26" t="s">
        <v>163</v>
      </c>
      <c r="F1544" s="26" t="s">
        <v>180</v>
      </c>
      <c r="G1544" s="26" t="s">
        <v>147</v>
      </c>
      <c r="H1544" s="26" t="s">
        <v>35</v>
      </c>
      <c r="I1544" s="28">
        <v>2</v>
      </c>
      <c r="J1544" s="28">
        <v>17.5</v>
      </c>
      <c r="K1544" s="28">
        <v>17.8</v>
      </c>
      <c r="L1544" s="28">
        <v>7</v>
      </c>
      <c r="M1544" s="26" t="s">
        <v>36</v>
      </c>
      <c r="N1544" s="28">
        <v>26.6</v>
      </c>
      <c r="O1544" s="28">
        <v>9</v>
      </c>
      <c r="P1544" s="28">
        <v>9</v>
      </c>
      <c r="Q1544" s="28">
        <v>0</v>
      </c>
      <c r="R1544" s="28">
        <v>0</v>
      </c>
      <c r="S1544" s="28">
        <v>0</v>
      </c>
      <c r="Y1544" s="26"/>
      <c r="Z1544" s="23"/>
      <c r="AA1544" s="3" t="str">
        <f t="shared" si="13"/>
        <v>ANO_171_31_T4-C5_vv</v>
      </c>
      <c r="AB1544" s="3" t="str">
        <f t="shared" si="12"/>
        <v>ANO_171_31_T4-C5_vv_2</v>
      </c>
      <c r="AC1544" s="3" t="s">
        <v>202</v>
      </c>
    </row>
    <row r="1545" spans="1:29" ht="14">
      <c r="A1545" s="3">
        <v>1544</v>
      </c>
      <c r="B1545" s="26"/>
      <c r="C1545" s="5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 t="s">
        <v>38</v>
      </c>
      <c r="N1545" s="28">
        <v>25.9</v>
      </c>
      <c r="O1545" s="28">
        <v>6</v>
      </c>
      <c r="P1545" s="28">
        <v>8</v>
      </c>
      <c r="Q1545" s="28">
        <v>0</v>
      </c>
      <c r="R1545" s="28">
        <v>0</v>
      </c>
      <c r="S1545" s="28">
        <v>0</v>
      </c>
      <c r="Y1545" s="26"/>
      <c r="Z1545" s="23"/>
      <c r="AA1545" s="3" t="str">
        <f t="shared" si="13"/>
        <v>___</v>
      </c>
      <c r="AB1545" s="3" t="str">
        <f t="shared" si="12"/>
        <v>____</v>
      </c>
    </row>
    <row r="1546" spans="1:29" ht="14">
      <c r="A1546" s="3">
        <v>1545</v>
      </c>
      <c r="B1546" s="29"/>
      <c r="C1546" s="30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 t="s">
        <v>39</v>
      </c>
      <c r="N1546" s="31">
        <v>30</v>
      </c>
      <c r="O1546" s="31">
        <v>5</v>
      </c>
      <c r="P1546" s="31">
        <v>7</v>
      </c>
      <c r="Q1546" s="31">
        <v>0</v>
      </c>
      <c r="R1546" s="31">
        <v>0</v>
      </c>
      <c r="S1546" s="31">
        <v>0</v>
      </c>
      <c r="Y1546" s="29"/>
      <c r="Z1546" s="23"/>
      <c r="AA1546" s="3" t="str">
        <f t="shared" si="13"/>
        <v>___</v>
      </c>
      <c r="AB1546" s="3" t="str">
        <f t="shared" si="12"/>
        <v>____</v>
      </c>
    </row>
    <row r="1547" spans="1:29" ht="14">
      <c r="A1547" s="3">
        <v>1546</v>
      </c>
      <c r="B1547" s="28" t="s">
        <v>198</v>
      </c>
      <c r="C1547" s="5" t="s">
        <v>201</v>
      </c>
      <c r="D1547" s="28">
        <v>31</v>
      </c>
      <c r="E1547" s="26" t="s">
        <v>163</v>
      </c>
      <c r="F1547" s="26" t="s">
        <v>180</v>
      </c>
      <c r="G1547" s="26" t="s">
        <v>147</v>
      </c>
      <c r="H1547" s="26" t="s">
        <v>35</v>
      </c>
      <c r="I1547" s="28">
        <v>3</v>
      </c>
      <c r="J1547" s="28">
        <v>23.5</v>
      </c>
      <c r="K1547" s="28">
        <v>25.5</v>
      </c>
      <c r="L1547" s="28">
        <v>7</v>
      </c>
      <c r="M1547" s="26" t="s">
        <v>36</v>
      </c>
      <c r="N1547" s="28">
        <v>50.5</v>
      </c>
      <c r="O1547" s="28">
        <v>14</v>
      </c>
      <c r="P1547" s="28">
        <v>14</v>
      </c>
      <c r="Q1547" s="28">
        <v>0</v>
      </c>
      <c r="R1547" s="28">
        <v>0</v>
      </c>
      <c r="S1547" s="28">
        <v>0</v>
      </c>
      <c r="Y1547" s="26"/>
      <c r="Z1547" s="23"/>
      <c r="AA1547" s="3" t="str">
        <f t="shared" si="13"/>
        <v>ANO_171_31_T4-C5_vv</v>
      </c>
      <c r="AB1547" s="3" t="str">
        <f t="shared" si="12"/>
        <v>ANO_171_31_T4-C5_vv_3</v>
      </c>
      <c r="AC1547" s="3" t="s">
        <v>37</v>
      </c>
    </row>
    <row r="1548" spans="1:29" ht="14">
      <c r="A1548" s="3">
        <v>1547</v>
      </c>
      <c r="B1548" s="26"/>
      <c r="C1548" s="5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 t="s">
        <v>38</v>
      </c>
      <c r="N1548" s="28">
        <v>24.8</v>
      </c>
      <c r="O1548" s="28">
        <v>6</v>
      </c>
      <c r="P1548" s="28">
        <v>7</v>
      </c>
      <c r="Q1548" s="28">
        <v>0</v>
      </c>
      <c r="R1548" s="28">
        <v>0</v>
      </c>
      <c r="S1548" s="28">
        <v>0</v>
      </c>
      <c r="Y1548" s="26"/>
      <c r="Z1548" s="23"/>
      <c r="AA1548" s="3" t="str">
        <f t="shared" si="13"/>
        <v>___</v>
      </c>
      <c r="AB1548" s="3" t="str">
        <f t="shared" si="12"/>
        <v>____</v>
      </c>
    </row>
    <row r="1549" spans="1:29" ht="14">
      <c r="A1549" s="3">
        <v>1548</v>
      </c>
      <c r="B1549" s="29"/>
      <c r="C1549" s="30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 t="s">
        <v>39</v>
      </c>
      <c r="N1549" s="31">
        <v>51.3</v>
      </c>
      <c r="O1549" s="31">
        <v>4</v>
      </c>
      <c r="P1549" s="31">
        <v>6</v>
      </c>
      <c r="Q1549" s="31">
        <v>0</v>
      </c>
      <c r="R1549" s="31">
        <v>0</v>
      </c>
      <c r="S1549" s="31">
        <v>0</v>
      </c>
      <c r="Y1549" s="29"/>
      <c r="Z1549" s="23"/>
      <c r="AA1549" s="3" t="str">
        <f t="shared" si="13"/>
        <v>___</v>
      </c>
      <c r="AB1549" s="3" t="str">
        <f t="shared" si="12"/>
        <v>____</v>
      </c>
    </row>
    <row r="1550" spans="1:29" ht="14">
      <c r="A1550" s="3">
        <v>1549</v>
      </c>
      <c r="B1550" s="28" t="s">
        <v>203</v>
      </c>
      <c r="C1550" s="5" t="s">
        <v>204</v>
      </c>
      <c r="D1550" s="28">
        <v>51</v>
      </c>
      <c r="E1550" s="26" t="s">
        <v>163</v>
      </c>
      <c r="F1550" s="26" t="s">
        <v>34</v>
      </c>
      <c r="G1550" s="26" t="s">
        <v>205</v>
      </c>
      <c r="H1550" s="26" t="s">
        <v>40</v>
      </c>
      <c r="I1550" s="28">
        <v>1</v>
      </c>
      <c r="J1550" s="28">
        <v>19</v>
      </c>
      <c r="K1550" s="28">
        <v>22</v>
      </c>
      <c r="L1550" s="28">
        <v>4</v>
      </c>
      <c r="M1550" s="26" t="s">
        <v>36</v>
      </c>
      <c r="N1550" s="28">
        <v>42.8</v>
      </c>
      <c r="O1550" s="28">
        <v>1</v>
      </c>
      <c r="P1550" s="28">
        <v>3</v>
      </c>
      <c r="Q1550" s="28">
        <v>1</v>
      </c>
      <c r="R1550" s="28">
        <v>1</v>
      </c>
      <c r="S1550" s="28">
        <v>0</v>
      </c>
      <c r="Y1550" s="26" t="s">
        <v>206</v>
      </c>
      <c r="Z1550" s="23"/>
      <c r="AA1550" s="3" t="str">
        <f t="shared" si="13"/>
        <v>ANO_724_51_T34-C1_vm</v>
      </c>
      <c r="AB1550" s="3" t="str">
        <f t="shared" si="12"/>
        <v>ANO_724_51_T34-C1_vm_1</v>
      </c>
      <c r="AC1550" s="3" t="s">
        <v>37</v>
      </c>
    </row>
    <row r="1551" spans="1:29" ht="14">
      <c r="A1551" s="3">
        <v>1550</v>
      </c>
      <c r="B1551" s="26"/>
      <c r="C1551" s="5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 t="s">
        <v>38</v>
      </c>
      <c r="N1551" s="28">
        <v>46.6</v>
      </c>
      <c r="O1551" s="28">
        <v>0</v>
      </c>
      <c r="P1551" s="28">
        <v>4</v>
      </c>
      <c r="Q1551" s="28">
        <v>2</v>
      </c>
      <c r="R1551" s="28">
        <v>2</v>
      </c>
      <c r="S1551" s="28">
        <v>0</v>
      </c>
      <c r="Y1551" s="26" t="s">
        <v>207</v>
      </c>
      <c r="Z1551" s="23"/>
      <c r="AA1551" s="3" t="str">
        <f t="shared" si="13"/>
        <v>___</v>
      </c>
      <c r="AB1551" s="3" t="str">
        <f t="shared" si="12"/>
        <v>____</v>
      </c>
    </row>
    <row r="1552" spans="1:29" ht="14">
      <c r="A1552" s="3">
        <v>1551</v>
      </c>
      <c r="B1552" s="29"/>
      <c r="C1552" s="30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 t="s">
        <v>39</v>
      </c>
      <c r="N1552" s="31">
        <v>35</v>
      </c>
      <c r="O1552" s="31">
        <v>0</v>
      </c>
      <c r="P1552" s="31">
        <v>2</v>
      </c>
      <c r="Q1552" s="31">
        <v>1</v>
      </c>
      <c r="R1552" s="31">
        <v>5</v>
      </c>
      <c r="S1552" s="31">
        <v>0</v>
      </c>
      <c r="Y1552" s="29"/>
      <c r="Z1552" s="23"/>
      <c r="AA1552" s="3" t="str">
        <f t="shared" si="13"/>
        <v>___</v>
      </c>
      <c r="AB1552" s="3" t="str">
        <f t="shared" si="12"/>
        <v>____</v>
      </c>
    </row>
    <row r="1553" spans="1:29" ht="14">
      <c r="A1553" s="3">
        <v>1552</v>
      </c>
      <c r="B1553" s="28" t="s">
        <v>203</v>
      </c>
      <c r="C1553" s="5" t="s">
        <v>204</v>
      </c>
      <c r="D1553" s="28">
        <v>51</v>
      </c>
      <c r="E1553" s="26" t="s">
        <v>163</v>
      </c>
      <c r="F1553" s="26" t="s">
        <v>34</v>
      </c>
      <c r="G1553" s="26" t="s">
        <v>205</v>
      </c>
      <c r="H1553" s="26" t="s">
        <v>40</v>
      </c>
      <c r="I1553" s="28">
        <v>2</v>
      </c>
      <c r="J1553" s="28">
        <v>16.5</v>
      </c>
      <c r="K1553" s="28">
        <v>24.5</v>
      </c>
      <c r="L1553" s="28">
        <v>4</v>
      </c>
      <c r="M1553" s="26" t="s">
        <v>36</v>
      </c>
      <c r="N1553" s="28">
        <v>77.400000000000006</v>
      </c>
      <c r="O1553" s="28">
        <v>2</v>
      </c>
      <c r="P1553" s="28">
        <v>6</v>
      </c>
      <c r="Q1553" s="28">
        <v>4</v>
      </c>
      <c r="R1553" s="28">
        <v>4</v>
      </c>
      <c r="S1553" s="28">
        <v>0</v>
      </c>
      <c r="Y1553" s="26" t="s">
        <v>208</v>
      </c>
      <c r="Z1553" s="23"/>
      <c r="AA1553" s="3" t="str">
        <f t="shared" si="13"/>
        <v>ANO_724_51_T34-C1_vm</v>
      </c>
      <c r="AB1553" s="3" t="str">
        <f t="shared" si="12"/>
        <v>ANO_724_51_T34-C1_vm_2</v>
      </c>
      <c r="AC1553" s="3" t="s">
        <v>49</v>
      </c>
    </row>
    <row r="1554" spans="1:29" ht="14">
      <c r="A1554" s="3">
        <v>1553</v>
      </c>
      <c r="B1554" s="26"/>
      <c r="C1554" s="5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 t="s">
        <v>38</v>
      </c>
      <c r="N1554" s="28">
        <v>32.5</v>
      </c>
      <c r="O1554" s="28">
        <v>0</v>
      </c>
      <c r="P1554" s="28">
        <v>2</v>
      </c>
      <c r="Q1554" s="28">
        <v>2</v>
      </c>
      <c r="R1554" s="28">
        <v>5</v>
      </c>
      <c r="S1554" s="28">
        <v>0</v>
      </c>
      <c r="Y1554" s="26"/>
      <c r="Z1554" s="23"/>
      <c r="AA1554" s="3" t="str">
        <f t="shared" si="13"/>
        <v>___</v>
      </c>
      <c r="AB1554" s="3" t="str">
        <f t="shared" si="12"/>
        <v>____</v>
      </c>
    </row>
    <row r="1555" spans="1:29" ht="14">
      <c r="A1555" s="3">
        <v>1554</v>
      </c>
      <c r="B1555" s="29"/>
      <c r="C1555" s="30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 t="s">
        <v>39</v>
      </c>
      <c r="N1555" s="31">
        <v>30</v>
      </c>
      <c r="O1555" s="31">
        <v>4</v>
      </c>
      <c r="P1555" s="31">
        <v>2</v>
      </c>
      <c r="Q1555" s="31">
        <v>2</v>
      </c>
      <c r="R1555" s="31">
        <v>18</v>
      </c>
      <c r="S1555" s="31">
        <v>0</v>
      </c>
      <c r="Y1555" s="29"/>
      <c r="Z1555" s="23"/>
      <c r="AA1555" s="3" t="str">
        <f t="shared" si="13"/>
        <v>___</v>
      </c>
      <c r="AB1555" s="3" t="str">
        <f t="shared" si="12"/>
        <v>____</v>
      </c>
    </row>
    <row r="1556" spans="1:29" ht="14">
      <c r="A1556" s="3">
        <v>1555</v>
      </c>
      <c r="B1556" s="28" t="s">
        <v>203</v>
      </c>
      <c r="C1556" s="5" t="s">
        <v>204</v>
      </c>
      <c r="D1556" s="28">
        <v>51</v>
      </c>
      <c r="E1556" s="26" t="s">
        <v>163</v>
      </c>
      <c r="F1556" s="26" t="s">
        <v>34</v>
      </c>
      <c r="G1556" s="26" t="s">
        <v>205</v>
      </c>
      <c r="H1556" s="26" t="s">
        <v>40</v>
      </c>
      <c r="I1556" s="28">
        <v>3</v>
      </c>
      <c r="J1556" s="28">
        <v>19</v>
      </c>
      <c r="K1556" s="28">
        <v>21.5</v>
      </c>
      <c r="L1556" s="28">
        <v>5</v>
      </c>
      <c r="M1556" s="26" t="s">
        <v>36</v>
      </c>
      <c r="N1556" s="28">
        <v>84.4</v>
      </c>
      <c r="O1556" s="28">
        <v>3</v>
      </c>
      <c r="P1556" s="28">
        <v>8</v>
      </c>
      <c r="Q1556" s="28">
        <v>4</v>
      </c>
      <c r="R1556" s="28">
        <v>8</v>
      </c>
      <c r="S1556" s="28">
        <v>0</v>
      </c>
      <c r="Y1556" s="26" t="s">
        <v>209</v>
      </c>
      <c r="Z1556" s="23"/>
      <c r="AA1556" s="3" t="str">
        <f t="shared" si="13"/>
        <v>ANO_724_51_T34-C1_vm</v>
      </c>
      <c r="AB1556" s="3" t="str">
        <f t="shared" si="12"/>
        <v>ANO_724_51_T34-C1_vm_3</v>
      </c>
      <c r="AC1556" s="3" t="s">
        <v>37</v>
      </c>
    </row>
    <row r="1557" spans="1:29" ht="14">
      <c r="A1557" s="3">
        <v>1556</v>
      </c>
      <c r="B1557" s="26"/>
      <c r="C1557" s="5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 t="s">
        <v>38</v>
      </c>
      <c r="N1557" s="28">
        <v>22.2</v>
      </c>
      <c r="O1557" s="28">
        <v>0</v>
      </c>
      <c r="P1557" s="28">
        <v>2</v>
      </c>
      <c r="Q1557" s="28">
        <v>1</v>
      </c>
      <c r="R1557" s="28">
        <v>3</v>
      </c>
      <c r="S1557" s="28">
        <v>0</v>
      </c>
      <c r="Y1557" s="26"/>
      <c r="Z1557" s="23"/>
      <c r="AA1557" s="3" t="str">
        <f t="shared" si="13"/>
        <v>___</v>
      </c>
      <c r="AB1557" s="3" t="str">
        <f t="shared" si="12"/>
        <v>____</v>
      </c>
    </row>
    <row r="1558" spans="1:29" ht="14">
      <c r="A1558" s="3">
        <v>1557</v>
      </c>
      <c r="B1558" s="29"/>
      <c r="C1558" s="30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 t="s">
        <v>39</v>
      </c>
      <c r="N1558" s="31">
        <v>26.3</v>
      </c>
      <c r="O1558" s="31">
        <v>0</v>
      </c>
      <c r="P1558" s="31">
        <v>4</v>
      </c>
      <c r="Q1558" s="31">
        <v>1</v>
      </c>
      <c r="R1558" s="31">
        <v>3</v>
      </c>
      <c r="S1558" s="31">
        <v>0</v>
      </c>
      <c r="Y1558" s="29" t="s">
        <v>210</v>
      </c>
      <c r="Z1558" s="23"/>
      <c r="AA1558" s="3" t="str">
        <f t="shared" si="13"/>
        <v>___</v>
      </c>
      <c r="AB1558" s="3" t="str">
        <f t="shared" si="12"/>
        <v>____</v>
      </c>
    </row>
    <row r="1559" spans="1:29" ht="14">
      <c r="A1559" s="3">
        <v>1558</v>
      </c>
      <c r="B1559" s="28" t="s">
        <v>203</v>
      </c>
      <c r="C1559" s="5" t="s">
        <v>204</v>
      </c>
      <c r="D1559" s="28">
        <v>51</v>
      </c>
      <c r="E1559" s="26" t="s">
        <v>163</v>
      </c>
      <c r="F1559" s="26" t="s">
        <v>34</v>
      </c>
      <c r="G1559" s="26" t="s">
        <v>205</v>
      </c>
      <c r="H1559" s="26" t="s">
        <v>35</v>
      </c>
      <c r="I1559" s="28">
        <v>1</v>
      </c>
      <c r="J1559" s="28">
        <v>5</v>
      </c>
      <c r="K1559" s="28">
        <v>5</v>
      </c>
      <c r="L1559" s="28">
        <v>4</v>
      </c>
      <c r="M1559" s="26" t="s">
        <v>36</v>
      </c>
      <c r="N1559" s="28">
        <v>23</v>
      </c>
      <c r="O1559" s="28">
        <v>13</v>
      </c>
      <c r="P1559" s="28">
        <v>14</v>
      </c>
      <c r="Q1559" s="28">
        <v>0</v>
      </c>
      <c r="R1559" s="28">
        <v>0</v>
      </c>
      <c r="S1559" s="28">
        <v>0</v>
      </c>
      <c r="Y1559" s="26" t="s">
        <v>211</v>
      </c>
      <c r="Z1559" s="23"/>
      <c r="AA1559" s="3" t="str">
        <f t="shared" si="13"/>
        <v>ANO_724_51_T34-C1_vv</v>
      </c>
      <c r="AB1559" s="3" t="str">
        <f t="shared" si="12"/>
        <v>ANO_724_51_T34-C1_vv_1</v>
      </c>
      <c r="AC1559" s="3" t="s">
        <v>37</v>
      </c>
    </row>
    <row r="1560" spans="1:29" ht="14">
      <c r="A1560" s="3">
        <v>1559</v>
      </c>
      <c r="B1560" s="26"/>
      <c r="C1560" s="5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 t="s">
        <v>38</v>
      </c>
      <c r="N1560" s="28">
        <v>22.3</v>
      </c>
      <c r="O1560" s="28">
        <v>2</v>
      </c>
      <c r="P1560" s="28">
        <v>4</v>
      </c>
      <c r="Q1560" s="28">
        <v>2</v>
      </c>
      <c r="R1560" s="28">
        <v>2</v>
      </c>
      <c r="S1560" s="28">
        <v>0</v>
      </c>
      <c r="Y1560" s="26"/>
      <c r="Z1560" s="23"/>
      <c r="AA1560" s="3" t="str">
        <f t="shared" si="13"/>
        <v>___</v>
      </c>
      <c r="AB1560" s="3" t="str">
        <f t="shared" si="12"/>
        <v>____</v>
      </c>
    </row>
    <row r="1561" spans="1:29" ht="14">
      <c r="A1561" s="3">
        <v>1560</v>
      </c>
      <c r="B1561" s="29"/>
      <c r="C1561" s="30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 t="s">
        <v>39</v>
      </c>
      <c r="N1561" s="31">
        <v>10.7</v>
      </c>
      <c r="O1561" s="31">
        <v>0</v>
      </c>
      <c r="P1561" s="31">
        <v>2</v>
      </c>
      <c r="Q1561" s="31">
        <v>0</v>
      </c>
      <c r="R1561" s="31">
        <v>0</v>
      </c>
      <c r="S1561" s="31">
        <v>0</v>
      </c>
      <c r="Y1561" s="29"/>
      <c r="Z1561" s="23"/>
      <c r="AA1561" s="3" t="str">
        <f t="shared" si="13"/>
        <v>___</v>
      </c>
      <c r="AB1561" s="3" t="str">
        <f t="shared" si="12"/>
        <v>____</v>
      </c>
    </row>
    <row r="1562" spans="1:29" ht="14">
      <c r="A1562" s="3">
        <v>1561</v>
      </c>
      <c r="B1562" s="28" t="s">
        <v>203</v>
      </c>
      <c r="C1562" s="5" t="s">
        <v>204</v>
      </c>
      <c r="D1562" s="28">
        <v>51</v>
      </c>
      <c r="E1562" s="26" t="s">
        <v>163</v>
      </c>
      <c r="F1562" s="26" t="s">
        <v>34</v>
      </c>
      <c r="G1562" s="26" t="s">
        <v>205</v>
      </c>
      <c r="H1562" s="26" t="s">
        <v>35</v>
      </c>
      <c r="I1562" s="28">
        <v>2</v>
      </c>
      <c r="J1562" s="28">
        <v>4</v>
      </c>
      <c r="K1562" s="28">
        <v>5.6</v>
      </c>
      <c r="L1562" s="28">
        <v>4</v>
      </c>
      <c r="M1562" s="26" t="s">
        <v>36</v>
      </c>
      <c r="N1562" s="28">
        <v>12</v>
      </c>
      <c r="O1562" s="28">
        <v>8</v>
      </c>
      <c r="P1562" s="28">
        <v>8</v>
      </c>
      <c r="Q1562" s="28">
        <v>0</v>
      </c>
      <c r="R1562" s="28">
        <v>0</v>
      </c>
      <c r="S1562" s="28">
        <v>0</v>
      </c>
      <c r="Y1562" s="26" t="s">
        <v>211</v>
      </c>
      <c r="Z1562" s="23"/>
      <c r="AA1562" s="3" t="str">
        <f t="shared" si="13"/>
        <v>ANO_724_51_T34-C1_vv</v>
      </c>
      <c r="AB1562" s="3" t="str">
        <f t="shared" si="12"/>
        <v>ANO_724_51_T34-C1_vv_2</v>
      </c>
      <c r="AC1562" s="3" t="s">
        <v>37</v>
      </c>
    </row>
    <row r="1563" spans="1:29" ht="14">
      <c r="A1563" s="3">
        <v>1562</v>
      </c>
      <c r="B1563" s="26"/>
      <c r="C1563" s="5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 t="s">
        <v>38</v>
      </c>
      <c r="N1563" s="28">
        <v>9</v>
      </c>
      <c r="O1563" s="28">
        <v>3</v>
      </c>
      <c r="P1563" s="28">
        <v>4</v>
      </c>
      <c r="Q1563" s="28">
        <v>0</v>
      </c>
      <c r="R1563" s="28">
        <v>0</v>
      </c>
      <c r="S1563" s="28">
        <v>0</v>
      </c>
      <c r="Y1563" s="26"/>
      <c r="Z1563" s="23"/>
      <c r="AA1563" s="3" t="str">
        <f t="shared" si="13"/>
        <v>___</v>
      </c>
      <c r="AB1563" s="3" t="str">
        <f t="shared" si="12"/>
        <v>____</v>
      </c>
    </row>
    <row r="1564" spans="1:29" ht="14">
      <c r="A1564" s="3">
        <v>1563</v>
      </c>
      <c r="B1564" s="29"/>
      <c r="C1564" s="30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 t="s">
        <v>39</v>
      </c>
      <c r="N1564" s="31">
        <v>10</v>
      </c>
      <c r="O1564" s="31">
        <v>1</v>
      </c>
      <c r="P1564" s="31">
        <v>3</v>
      </c>
      <c r="Q1564" s="31">
        <v>0</v>
      </c>
      <c r="R1564" s="31">
        <v>0</v>
      </c>
      <c r="S1564" s="31">
        <v>0</v>
      </c>
      <c r="Y1564" s="29"/>
      <c r="Z1564" s="23"/>
      <c r="AA1564" s="3" t="str">
        <f t="shared" si="13"/>
        <v>___</v>
      </c>
      <c r="AB1564" s="3" t="str">
        <f t="shared" si="12"/>
        <v>____</v>
      </c>
    </row>
    <row r="1565" spans="1:29" ht="14">
      <c r="A1565" s="3">
        <v>1564</v>
      </c>
      <c r="B1565" s="28" t="s">
        <v>203</v>
      </c>
      <c r="C1565" s="5" t="s">
        <v>204</v>
      </c>
      <c r="D1565" s="28">
        <v>51</v>
      </c>
      <c r="E1565" s="26" t="s">
        <v>163</v>
      </c>
      <c r="F1565" s="26" t="s">
        <v>34</v>
      </c>
      <c r="G1565" s="26" t="s">
        <v>205</v>
      </c>
      <c r="H1565" s="26" t="s">
        <v>35</v>
      </c>
      <c r="I1565" s="28">
        <v>3</v>
      </c>
      <c r="J1565" s="28">
        <v>2</v>
      </c>
      <c r="K1565" s="28">
        <v>5</v>
      </c>
      <c r="L1565" s="28">
        <v>4</v>
      </c>
      <c r="M1565" s="26" t="s">
        <v>36</v>
      </c>
      <c r="N1565" s="28">
        <v>15</v>
      </c>
      <c r="O1565" s="28">
        <v>7</v>
      </c>
      <c r="P1565" s="28">
        <v>8</v>
      </c>
      <c r="Q1565" s="28">
        <v>0</v>
      </c>
      <c r="R1565" s="28">
        <v>0</v>
      </c>
      <c r="S1565" s="28">
        <v>0</v>
      </c>
      <c r="Y1565" s="26" t="s">
        <v>212</v>
      </c>
      <c r="Z1565" s="23"/>
      <c r="AA1565" s="3" t="str">
        <f t="shared" si="13"/>
        <v>ANO_724_51_T34-C1_vv</v>
      </c>
      <c r="AB1565" s="3" t="str">
        <f t="shared" si="12"/>
        <v>ANO_724_51_T34-C1_vv_3</v>
      </c>
      <c r="AC1565" s="3" t="s">
        <v>37</v>
      </c>
    </row>
    <row r="1566" spans="1:29" ht="14">
      <c r="A1566" s="3">
        <v>1565</v>
      </c>
      <c r="B1566" s="26"/>
      <c r="C1566" s="5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 t="s">
        <v>38</v>
      </c>
      <c r="N1566" s="28">
        <v>9</v>
      </c>
      <c r="O1566" s="28">
        <v>2</v>
      </c>
      <c r="P1566" s="28">
        <v>2</v>
      </c>
      <c r="Q1566" s="28">
        <v>0</v>
      </c>
      <c r="R1566" s="28">
        <v>0</v>
      </c>
      <c r="S1566" s="28">
        <v>0</v>
      </c>
      <c r="Y1566" s="26"/>
      <c r="Z1566" s="23"/>
      <c r="AA1566" s="3" t="str">
        <f t="shared" si="13"/>
        <v>___</v>
      </c>
      <c r="AB1566" s="3" t="str">
        <f t="shared" si="12"/>
        <v>____</v>
      </c>
    </row>
    <row r="1567" spans="1:29" ht="14">
      <c r="A1567" s="3">
        <v>1566</v>
      </c>
      <c r="B1567" s="29"/>
      <c r="C1567" s="30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 t="s">
        <v>39</v>
      </c>
      <c r="N1567" s="31">
        <v>10</v>
      </c>
      <c r="O1567" s="31">
        <v>0</v>
      </c>
      <c r="P1567" s="31">
        <v>2</v>
      </c>
      <c r="Q1567" s="31">
        <v>0</v>
      </c>
      <c r="R1567" s="31">
        <v>0</v>
      </c>
      <c r="S1567" s="31">
        <v>0</v>
      </c>
      <c r="Y1567" s="29"/>
      <c r="Z1567" s="23"/>
      <c r="AA1567" s="3" t="str">
        <f t="shared" si="13"/>
        <v>___</v>
      </c>
      <c r="AB1567" s="3" t="str">
        <f t="shared" si="12"/>
        <v>____</v>
      </c>
    </row>
    <row r="1568" spans="1:29" ht="14">
      <c r="A1568" s="3">
        <v>1567</v>
      </c>
      <c r="B1568" s="28" t="s">
        <v>203</v>
      </c>
      <c r="C1568" s="5" t="s">
        <v>204</v>
      </c>
      <c r="D1568" s="28">
        <v>31</v>
      </c>
      <c r="E1568" s="26" t="s">
        <v>163</v>
      </c>
      <c r="F1568" s="26" t="s">
        <v>34</v>
      </c>
      <c r="G1568" s="26" t="s">
        <v>213</v>
      </c>
      <c r="H1568" s="26" t="s">
        <v>40</v>
      </c>
      <c r="I1568" s="28">
        <v>1</v>
      </c>
      <c r="J1568" s="28">
        <v>20</v>
      </c>
      <c r="K1568" s="28">
        <v>25.5</v>
      </c>
      <c r="L1568" s="28">
        <v>4</v>
      </c>
      <c r="M1568" s="26" t="s">
        <v>36</v>
      </c>
      <c r="N1568" s="28">
        <v>52</v>
      </c>
      <c r="O1568" s="28">
        <v>2</v>
      </c>
      <c r="P1568" s="28">
        <v>6</v>
      </c>
      <c r="Q1568" s="28">
        <v>4</v>
      </c>
      <c r="R1568" s="28">
        <v>0</v>
      </c>
      <c r="S1568" s="28">
        <v>0</v>
      </c>
      <c r="Y1568" s="26" t="s">
        <v>211</v>
      </c>
      <c r="Z1568" s="23"/>
      <c r="AA1568" s="3" t="str">
        <f t="shared" si="13"/>
        <v>ANO_724_31_V1-C1_vm</v>
      </c>
      <c r="AB1568" s="3" t="str">
        <f t="shared" si="12"/>
        <v>ANO_724_31_V1-C1_vm_1</v>
      </c>
      <c r="AC1568" s="3"/>
    </row>
    <row r="1569" spans="1:29" ht="14">
      <c r="A1569" s="3">
        <v>1568</v>
      </c>
      <c r="B1569" s="26"/>
      <c r="C1569" s="5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 t="s">
        <v>38</v>
      </c>
      <c r="N1569" s="28">
        <v>31.9</v>
      </c>
      <c r="O1569" s="28">
        <v>0</v>
      </c>
      <c r="P1569" s="28">
        <v>2</v>
      </c>
      <c r="Q1569" s="28">
        <v>3</v>
      </c>
      <c r="R1569" s="28">
        <v>3</v>
      </c>
      <c r="S1569" s="28">
        <v>0</v>
      </c>
      <c r="Y1569" s="26"/>
      <c r="Z1569" s="23"/>
      <c r="AA1569" s="3" t="str">
        <f t="shared" si="13"/>
        <v>___</v>
      </c>
      <c r="AB1569" s="3" t="str">
        <f t="shared" si="12"/>
        <v>____</v>
      </c>
    </row>
    <row r="1570" spans="1:29" ht="14">
      <c r="A1570" s="3">
        <v>1569</v>
      </c>
      <c r="B1570" s="29"/>
      <c r="C1570" s="30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 t="s">
        <v>39</v>
      </c>
      <c r="N1570" s="31">
        <v>39.5</v>
      </c>
      <c r="O1570" s="31">
        <v>0</v>
      </c>
      <c r="P1570" s="31">
        <v>2</v>
      </c>
      <c r="Q1570" s="31">
        <v>1</v>
      </c>
      <c r="R1570" s="31">
        <v>3</v>
      </c>
      <c r="S1570" s="31">
        <v>0</v>
      </c>
      <c r="Y1570" s="29"/>
      <c r="Z1570" s="23"/>
      <c r="AA1570" s="3" t="str">
        <f t="shared" si="13"/>
        <v>___</v>
      </c>
      <c r="AB1570" s="3" t="str">
        <f t="shared" si="12"/>
        <v>____</v>
      </c>
    </row>
    <row r="1571" spans="1:29" ht="14">
      <c r="A1571" s="3">
        <v>1570</v>
      </c>
      <c r="B1571" s="28" t="s">
        <v>203</v>
      </c>
      <c r="C1571" s="5" t="s">
        <v>204</v>
      </c>
      <c r="D1571" s="28">
        <v>31</v>
      </c>
      <c r="E1571" s="26" t="s">
        <v>163</v>
      </c>
      <c r="F1571" s="26" t="s">
        <v>34</v>
      </c>
      <c r="G1571" s="26" t="s">
        <v>213</v>
      </c>
      <c r="H1571" s="26" t="s">
        <v>40</v>
      </c>
      <c r="I1571" s="28">
        <v>2</v>
      </c>
      <c r="J1571" s="28">
        <v>10</v>
      </c>
      <c r="K1571" s="28">
        <v>12.6</v>
      </c>
      <c r="L1571" s="28">
        <v>3</v>
      </c>
      <c r="M1571" s="26" t="s">
        <v>36</v>
      </c>
      <c r="N1571" s="28">
        <v>50</v>
      </c>
      <c r="O1571" s="28">
        <v>1</v>
      </c>
      <c r="P1571" s="28">
        <v>6</v>
      </c>
      <c r="Q1571" s="28">
        <v>2</v>
      </c>
      <c r="R1571" s="28">
        <v>2</v>
      </c>
      <c r="S1571" s="28">
        <v>0</v>
      </c>
      <c r="Y1571" s="26" t="s">
        <v>214</v>
      </c>
      <c r="Z1571" s="23"/>
      <c r="AA1571" s="3" t="str">
        <f t="shared" si="13"/>
        <v>ANO_724_31_V1-C1_vm</v>
      </c>
      <c r="AB1571" s="3" t="str">
        <f t="shared" si="12"/>
        <v>ANO_724_31_V1-C1_vm_2</v>
      </c>
      <c r="AC1571" s="3" t="s">
        <v>37</v>
      </c>
    </row>
    <row r="1572" spans="1:29" ht="14">
      <c r="A1572" s="3">
        <v>1571</v>
      </c>
      <c r="B1572" s="26"/>
      <c r="C1572" s="5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 t="s">
        <v>38</v>
      </c>
      <c r="N1572" s="28">
        <v>35</v>
      </c>
      <c r="O1572" s="28">
        <v>0</v>
      </c>
      <c r="P1572" s="28">
        <v>4</v>
      </c>
      <c r="Q1572" s="28">
        <v>1</v>
      </c>
      <c r="R1572" s="28">
        <v>3</v>
      </c>
      <c r="S1572" s="28">
        <v>0</v>
      </c>
      <c r="Y1572" s="26"/>
      <c r="Z1572" s="23"/>
      <c r="AA1572" s="3" t="str">
        <f t="shared" si="13"/>
        <v>___</v>
      </c>
      <c r="AB1572" s="3" t="str">
        <f t="shared" si="12"/>
        <v>____</v>
      </c>
    </row>
    <row r="1573" spans="1:29" ht="14">
      <c r="A1573" s="3">
        <v>1572</v>
      </c>
      <c r="B1573" s="29"/>
      <c r="C1573" s="30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 t="s">
        <v>39</v>
      </c>
      <c r="N1573" s="31">
        <v>11</v>
      </c>
      <c r="O1573" s="31">
        <v>0</v>
      </c>
      <c r="P1573" s="31">
        <v>1</v>
      </c>
      <c r="Q1573" s="31">
        <v>1</v>
      </c>
      <c r="R1573" s="31">
        <v>8</v>
      </c>
      <c r="S1573" s="31">
        <v>0</v>
      </c>
      <c r="Y1573" s="29"/>
      <c r="Z1573" s="23"/>
      <c r="AA1573" s="3" t="str">
        <f t="shared" si="13"/>
        <v>___</v>
      </c>
      <c r="AB1573" s="3" t="str">
        <f t="shared" si="12"/>
        <v>____</v>
      </c>
    </row>
    <row r="1574" spans="1:29" ht="14">
      <c r="A1574" s="3">
        <v>1573</v>
      </c>
      <c r="B1574" s="28" t="s">
        <v>203</v>
      </c>
      <c r="C1574" s="5" t="s">
        <v>204</v>
      </c>
      <c r="D1574" s="28">
        <v>31</v>
      </c>
      <c r="E1574" s="26" t="s">
        <v>163</v>
      </c>
      <c r="F1574" s="26" t="s">
        <v>34</v>
      </c>
      <c r="G1574" s="26" t="s">
        <v>213</v>
      </c>
      <c r="H1574" s="26" t="s">
        <v>40</v>
      </c>
      <c r="I1574" s="28">
        <v>3</v>
      </c>
      <c r="J1574" s="28">
        <v>13</v>
      </c>
      <c r="K1574" s="28">
        <v>14.5</v>
      </c>
      <c r="L1574" s="28">
        <v>4</v>
      </c>
      <c r="M1574" s="26" t="s">
        <v>36</v>
      </c>
      <c r="N1574" s="28">
        <v>32.299999999999997</v>
      </c>
      <c r="O1574" s="28">
        <v>3</v>
      </c>
      <c r="P1574" s="28">
        <v>5</v>
      </c>
      <c r="Q1574" s="28">
        <v>1</v>
      </c>
      <c r="R1574" s="28">
        <v>1</v>
      </c>
      <c r="S1574" s="28">
        <v>0</v>
      </c>
      <c r="Y1574" s="26" t="s">
        <v>215</v>
      </c>
      <c r="Z1574" s="23"/>
      <c r="AA1574" s="3" t="str">
        <f t="shared" si="13"/>
        <v>ANO_724_31_V1-C1_vm</v>
      </c>
      <c r="AB1574" s="3" t="str">
        <f t="shared" si="12"/>
        <v>ANO_724_31_V1-C1_vm_3</v>
      </c>
      <c r="AC1574" s="3" t="s">
        <v>37</v>
      </c>
    </row>
    <row r="1575" spans="1:29" ht="14">
      <c r="A1575" s="3">
        <v>1574</v>
      </c>
      <c r="B1575" s="26"/>
      <c r="C1575" s="5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 t="s">
        <v>38</v>
      </c>
      <c r="N1575" s="28">
        <v>35</v>
      </c>
      <c r="O1575" s="28">
        <v>0</v>
      </c>
      <c r="P1575" s="28">
        <v>4</v>
      </c>
      <c r="Q1575" s="28">
        <v>2</v>
      </c>
      <c r="R1575" s="28">
        <v>4</v>
      </c>
      <c r="S1575" s="28">
        <v>0</v>
      </c>
      <c r="Y1575" s="26"/>
      <c r="Z1575" s="23"/>
      <c r="AA1575" s="3" t="str">
        <f t="shared" si="13"/>
        <v>___</v>
      </c>
      <c r="AB1575" s="3" t="str">
        <f t="shared" si="12"/>
        <v>____</v>
      </c>
    </row>
    <row r="1576" spans="1:29" ht="14">
      <c r="A1576" s="3">
        <v>1575</v>
      </c>
      <c r="B1576" s="29"/>
      <c r="C1576" s="30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 t="s">
        <v>39</v>
      </c>
      <c r="N1576" s="31">
        <v>22.3</v>
      </c>
      <c r="O1576" s="31">
        <v>0</v>
      </c>
      <c r="P1576" s="31">
        <v>3</v>
      </c>
      <c r="Q1576" s="31">
        <v>2</v>
      </c>
      <c r="R1576" s="31">
        <v>5</v>
      </c>
      <c r="S1576" s="31">
        <v>0</v>
      </c>
      <c r="Y1576" s="29"/>
      <c r="Z1576" s="23"/>
      <c r="AA1576" s="3" t="str">
        <f t="shared" si="13"/>
        <v>___</v>
      </c>
      <c r="AB1576" s="3" t="str">
        <f t="shared" si="12"/>
        <v>____</v>
      </c>
    </row>
    <row r="1577" spans="1:29" ht="14">
      <c r="A1577" s="3">
        <v>1576</v>
      </c>
      <c r="B1577" s="28" t="s">
        <v>203</v>
      </c>
      <c r="C1577" s="5" t="s">
        <v>204</v>
      </c>
      <c r="D1577" s="28">
        <v>31</v>
      </c>
      <c r="E1577" s="26" t="s">
        <v>163</v>
      </c>
      <c r="F1577" s="26" t="s">
        <v>34</v>
      </c>
      <c r="G1577" s="26" t="s">
        <v>213</v>
      </c>
      <c r="H1577" s="26" t="s">
        <v>35</v>
      </c>
      <c r="I1577" s="28">
        <v>1</v>
      </c>
      <c r="J1577" s="28">
        <v>8</v>
      </c>
      <c r="K1577" s="28">
        <v>8.3000000000000007</v>
      </c>
      <c r="L1577" s="28">
        <v>6</v>
      </c>
      <c r="M1577" s="26" t="s">
        <v>36</v>
      </c>
      <c r="N1577" s="28">
        <v>21</v>
      </c>
      <c r="O1577" s="28">
        <v>9</v>
      </c>
      <c r="P1577" s="28">
        <v>10</v>
      </c>
      <c r="Q1577" s="28">
        <v>0</v>
      </c>
      <c r="R1577" s="28">
        <v>0</v>
      </c>
      <c r="S1577" s="28">
        <v>0</v>
      </c>
      <c r="Y1577" s="26" t="s">
        <v>211</v>
      </c>
      <c r="Z1577" s="23"/>
      <c r="AA1577" s="3" t="str">
        <f t="shared" si="13"/>
        <v>ANO_724_31_V1-C1_vv</v>
      </c>
      <c r="AB1577" s="3" t="str">
        <f t="shared" si="12"/>
        <v>ANO_724_31_V1-C1_vv_1</v>
      </c>
      <c r="AC1577" s="3" t="s">
        <v>37</v>
      </c>
    </row>
    <row r="1578" spans="1:29" ht="14">
      <c r="A1578" s="3">
        <v>1577</v>
      </c>
      <c r="B1578" s="26"/>
      <c r="C1578" s="5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 t="s">
        <v>38</v>
      </c>
      <c r="N1578" s="28">
        <v>20</v>
      </c>
      <c r="O1578" s="28">
        <v>4</v>
      </c>
      <c r="P1578" s="28">
        <v>6</v>
      </c>
      <c r="Q1578" s="28">
        <v>0</v>
      </c>
      <c r="R1578" s="28">
        <v>0</v>
      </c>
      <c r="S1578" s="28">
        <v>0</v>
      </c>
      <c r="Y1578" s="26"/>
      <c r="Z1578" s="23"/>
      <c r="AA1578" s="3" t="str">
        <f t="shared" si="13"/>
        <v>___</v>
      </c>
      <c r="AB1578" s="3" t="str">
        <f t="shared" si="12"/>
        <v>____</v>
      </c>
    </row>
    <row r="1579" spans="1:29" ht="14">
      <c r="A1579" s="3">
        <v>1578</v>
      </c>
      <c r="B1579" s="29"/>
      <c r="C1579" s="30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 t="s">
        <v>39</v>
      </c>
      <c r="N1579" s="31">
        <v>18.5</v>
      </c>
      <c r="O1579" s="31">
        <v>3</v>
      </c>
      <c r="P1579" s="31">
        <v>5</v>
      </c>
      <c r="Q1579" s="31">
        <v>0</v>
      </c>
      <c r="R1579" s="31">
        <v>0</v>
      </c>
      <c r="S1579" s="31">
        <v>0</v>
      </c>
      <c r="Y1579" s="29"/>
      <c r="Z1579" s="23"/>
      <c r="AA1579" s="3" t="str">
        <f t="shared" si="13"/>
        <v>___</v>
      </c>
      <c r="AB1579" s="3" t="str">
        <f t="shared" si="12"/>
        <v>____</v>
      </c>
    </row>
    <row r="1580" spans="1:29" ht="14">
      <c r="A1580" s="3">
        <v>1579</v>
      </c>
      <c r="B1580" s="28" t="s">
        <v>203</v>
      </c>
      <c r="C1580" s="5" t="s">
        <v>204</v>
      </c>
      <c r="D1580" s="28">
        <v>31</v>
      </c>
      <c r="E1580" s="26" t="s">
        <v>163</v>
      </c>
      <c r="F1580" s="26" t="s">
        <v>34</v>
      </c>
      <c r="G1580" s="26" t="s">
        <v>213</v>
      </c>
      <c r="H1580" s="26" t="s">
        <v>35</v>
      </c>
      <c r="I1580" s="28">
        <v>2</v>
      </c>
      <c r="J1580" s="28">
        <v>10</v>
      </c>
      <c r="K1580" s="28">
        <v>10.4</v>
      </c>
      <c r="L1580" s="28">
        <v>5</v>
      </c>
      <c r="M1580" s="26" t="s">
        <v>36</v>
      </c>
      <c r="N1580" s="28">
        <v>17.5</v>
      </c>
      <c r="O1580" s="28">
        <v>6</v>
      </c>
      <c r="P1580" s="28">
        <v>6</v>
      </c>
      <c r="Q1580" s="28">
        <v>0</v>
      </c>
      <c r="R1580" s="28">
        <v>0</v>
      </c>
      <c r="S1580" s="28">
        <v>0</v>
      </c>
      <c r="Y1580" s="26" t="s">
        <v>211</v>
      </c>
      <c r="Z1580" s="23"/>
      <c r="AA1580" s="3" t="str">
        <f t="shared" si="13"/>
        <v>ANO_724_31_V1-C1_vv</v>
      </c>
      <c r="AB1580" s="3" t="str">
        <f t="shared" si="12"/>
        <v>ANO_724_31_V1-C1_vv_2</v>
      </c>
      <c r="AC1580" s="3" t="s">
        <v>37</v>
      </c>
    </row>
    <row r="1581" spans="1:29" ht="14">
      <c r="A1581" s="3">
        <v>1580</v>
      </c>
      <c r="B1581" s="26"/>
      <c r="C1581" s="5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 t="s">
        <v>38</v>
      </c>
      <c r="N1581" s="28">
        <v>26</v>
      </c>
      <c r="O1581" s="28">
        <v>7</v>
      </c>
      <c r="P1581" s="28">
        <v>8</v>
      </c>
      <c r="Q1581" s="28">
        <v>0</v>
      </c>
      <c r="R1581" s="28">
        <v>0</v>
      </c>
      <c r="S1581" s="28">
        <v>0</v>
      </c>
      <c r="Y1581" s="26"/>
      <c r="Z1581" s="23"/>
      <c r="AA1581" s="3" t="str">
        <f t="shared" si="13"/>
        <v>___</v>
      </c>
      <c r="AB1581" s="3" t="str">
        <f t="shared" si="12"/>
        <v>____</v>
      </c>
    </row>
    <row r="1582" spans="1:29" ht="14">
      <c r="A1582" s="3">
        <v>1581</v>
      </c>
      <c r="B1582" s="29"/>
      <c r="C1582" s="30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 t="s">
        <v>39</v>
      </c>
      <c r="N1582" s="31">
        <v>19</v>
      </c>
      <c r="O1582" s="31">
        <v>2</v>
      </c>
      <c r="P1582" s="31">
        <v>4</v>
      </c>
      <c r="Q1582" s="31">
        <v>0</v>
      </c>
      <c r="R1582" s="31">
        <v>0</v>
      </c>
      <c r="S1582" s="31">
        <v>0</v>
      </c>
      <c r="Y1582" s="29"/>
      <c r="Z1582" s="23"/>
      <c r="AA1582" s="3" t="str">
        <f t="shared" si="13"/>
        <v>___</v>
      </c>
      <c r="AB1582" s="3" t="str">
        <f t="shared" si="12"/>
        <v>____</v>
      </c>
    </row>
    <row r="1583" spans="1:29" ht="14">
      <c r="A1583" s="3">
        <v>1582</v>
      </c>
      <c r="B1583" s="28" t="s">
        <v>203</v>
      </c>
      <c r="C1583" s="5" t="s">
        <v>204</v>
      </c>
      <c r="D1583" s="28">
        <v>31</v>
      </c>
      <c r="E1583" s="26" t="s">
        <v>163</v>
      </c>
      <c r="F1583" s="26" t="s">
        <v>34</v>
      </c>
      <c r="G1583" s="26" t="s">
        <v>213</v>
      </c>
      <c r="H1583" s="26" t="s">
        <v>35</v>
      </c>
      <c r="I1583" s="28">
        <v>3</v>
      </c>
      <c r="J1583" s="28">
        <v>6</v>
      </c>
      <c r="K1583" s="28">
        <v>7.2</v>
      </c>
      <c r="L1583" s="28">
        <v>6</v>
      </c>
      <c r="M1583" s="26" t="s">
        <v>36</v>
      </c>
      <c r="N1583" s="28">
        <v>18</v>
      </c>
      <c r="O1583" s="28">
        <v>9</v>
      </c>
      <c r="P1583" s="28">
        <v>10</v>
      </c>
      <c r="Q1583" s="28">
        <v>0</v>
      </c>
      <c r="R1583" s="28">
        <v>0</v>
      </c>
      <c r="S1583" s="28">
        <v>0</v>
      </c>
      <c r="Y1583" s="26" t="s">
        <v>211</v>
      </c>
      <c r="Z1583" s="23"/>
      <c r="AA1583" s="3" t="str">
        <f t="shared" si="13"/>
        <v>ANO_724_31_V1-C1_vv</v>
      </c>
      <c r="AB1583" s="3" t="str">
        <f t="shared" si="12"/>
        <v>ANO_724_31_V1-C1_vv_3</v>
      </c>
      <c r="AC1583" s="3" t="s">
        <v>37</v>
      </c>
    </row>
    <row r="1584" spans="1:29" ht="14">
      <c r="A1584" s="3">
        <v>1583</v>
      </c>
      <c r="B1584" s="26"/>
      <c r="C1584" s="5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 t="s">
        <v>38</v>
      </c>
      <c r="N1584" s="28">
        <v>16</v>
      </c>
      <c r="O1584" s="28">
        <v>3</v>
      </c>
      <c r="P1584" s="28">
        <v>4</v>
      </c>
      <c r="Q1584" s="28">
        <v>0</v>
      </c>
      <c r="R1584" s="28">
        <v>0</v>
      </c>
      <c r="S1584" s="28">
        <v>0</v>
      </c>
      <c r="Y1584" s="26"/>
      <c r="Z1584" s="23"/>
      <c r="AA1584" s="3" t="str">
        <f t="shared" si="13"/>
        <v>___</v>
      </c>
      <c r="AB1584" s="3" t="str">
        <f t="shared" si="12"/>
        <v>____</v>
      </c>
    </row>
    <row r="1585" spans="1:30" ht="14">
      <c r="A1585" s="3">
        <v>1584</v>
      </c>
      <c r="B1585" s="26"/>
      <c r="C1585" s="5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 t="s">
        <v>39</v>
      </c>
      <c r="N1585" s="28">
        <v>8</v>
      </c>
      <c r="O1585" s="28">
        <v>0</v>
      </c>
      <c r="P1585" s="28">
        <v>2</v>
      </c>
      <c r="Q1585" s="28">
        <v>0</v>
      </c>
      <c r="R1585" s="28">
        <v>0</v>
      </c>
      <c r="S1585" s="28">
        <v>0</v>
      </c>
      <c r="Y1585" s="26"/>
      <c r="Z1585" s="23"/>
      <c r="AA1585" s="3" t="str">
        <f t="shared" si="13"/>
        <v>___</v>
      </c>
      <c r="AB1585" s="3" t="str">
        <f t="shared" si="12"/>
        <v>____</v>
      </c>
    </row>
    <row r="1586" spans="1:30" ht="14">
      <c r="A1586" s="3">
        <v>1585</v>
      </c>
      <c r="B1586" s="24" t="s">
        <v>203</v>
      </c>
      <c r="C1586" s="25" t="s">
        <v>216</v>
      </c>
      <c r="D1586" s="24">
        <v>11</v>
      </c>
      <c r="E1586" s="27" t="s">
        <v>163</v>
      </c>
      <c r="F1586" s="27" t="s">
        <v>180</v>
      </c>
      <c r="G1586" s="27" t="s">
        <v>217</v>
      </c>
      <c r="H1586" s="27" t="s">
        <v>40</v>
      </c>
      <c r="I1586" s="24">
        <v>1</v>
      </c>
      <c r="J1586" s="24">
        <v>15</v>
      </c>
      <c r="K1586" s="24">
        <v>18.399999999999999</v>
      </c>
      <c r="L1586" s="24">
        <v>6</v>
      </c>
      <c r="M1586" s="27" t="s">
        <v>36</v>
      </c>
      <c r="N1586" s="24">
        <v>35.299999999999997</v>
      </c>
      <c r="O1586" s="24">
        <v>6</v>
      </c>
      <c r="P1586" s="24">
        <v>7</v>
      </c>
      <c r="Q1586" s="24">
        <v>0</v>
      </c>
      <c r="R1586" s="24">
        <v>0</v>
      </c>
      <c r="S1586" s="24">
        <v>0</v>
      </c>
      <c r="Y1586" s="27" t="s">
        <v>218</v>
      </c>
      <c r="Z1586" s="23"/>
      <c r="AA1586" s="3" t="str">
        <f t="shared" si="13"/>
        <v>ANO_843_11_T4C2_vm</v>
      </c>
      <c r="AB1586" s="3" t="str">
        <f t="shared" si="12"/>
        <v>ANO_843_11_T4C2_vm_1</v>
      </c>
      <c r="AC1586" s="3" t="s">
        <v>37</v>
      </c>
    </row>
    <row r="1587" spans="1:30" ht="14">
      <c r="A1587" s="3">
        <v>1586</v>
      </c>
      <c r="B1587" s="26"/>
      <c r="C1587" s="5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 t="s">
        <v>38</v>
      </c>
      <c r="N1587" s="28">
        <v>42</v>
      </c>
      <c r="O1587" s="28">
        <v>0</v>
      </c>
      <c r="P1587" s="28">
        <v>4</v>
      </c>
      <c r="Q1587" s="28">
        <v>4</v>
      </c>
      <c r="R1587" s="28">
        <v>4</v>
      </c>
      <c r="S1587" s="28">
        <v>0</v>
      </c>
      <c r="Y1587" s="26"/>
      <c r="Z1587" s="23"/>
      <c r="AA1587" s="3" t="str">
        <f t="shared" si="13"/>
        <v>___</v>
      </c>
      <c r="AB1587" s="3" t="str">
        <f t="shared" si="12"/>
        <v>____</v>
      </c>
    </row>
    <row r="1588" spans="1:30" ht="14">
      <c r="A1588" s="3">
        <v>1587</v>
      </c>
      <c r="B1588" s="29"/>
      <c r="C1588" s="30"/>
      <c r="D1588" s="29"/>
      <c r="E1588" s="29"/>
      <c r="F1588" s="29"/>
      <c r="G1588" s="29"/>
      <c r="H1588" s="29"/>
      <c r="I1588" s="29"/>
      <c r="J1588" s="29"/>
      <c r="K1588" s="29"/>
      <c r="L1588" s="29"/>
      <c r="M1588" s="26" t="s">
        <v>39</v>
      </c>
      <c r="N1588" s="31">
        <v>25</v>
      </c>
      <c r="O1588" s="31">
        <v>0</v>
      </c>
      <c r="P1588" s="31">
        <v>2</v>
      </c>
      <c r="Q1588" s="31">
        <v>2</v>
      </c>
      <c r="R1588" s="31">
        <v>4</v>
      </c>
      <c r="S1588" s="31">
        <v>0</v>
      </c>
      <c r="Y1588" s="29"/>
      <c r="Z1588" s="23"/>
      <c r="AA1588" s="3" t="str">
        <f t="shared" si="13"/>
        <v>___</v>
      </c>
      <c r="AB1588" s="3" t="str">
        <f t="shared" si="12"/>
        <v>____</v>
      </c>
    </row>
    <row r="1589" spans="1:30" ht="14">
      <c r="A1589" s="3">
        <v>1588</v>
      </c>
      <c r="B1589" s="28" t="s">
        <v>203</v>
      </c>
      <c r="C1589" s="5" t="s">
        <v>216</v>
      </c>
      <c r="D1589" s="28">
        <v>11</v>
      </c>
      <c r="E1589" s="26" t="s">
        <v>163</v>
      </c>
      <c r="F1589" s="26" t="s">
        <v>180</v>
      </c>
      <c r="G1589" s="26" t="s">
        <v>217</v>
      </c>
      <c r="H1589" s="26" t="s">
        <v>40</v>
      </c>
      <c r="I1589" s="28">
        <v>2</v>
      </c>
      <c r="J1589" s="28">
        <v>18</v>
      </c>
      <c r="K1589" s="28">
        <v>19.5</v>
      </c>
      <c r="L1589" s="28">
        <v>6</v>
      </c>
      <c r="M1589" s="27" t="s">
        <v>36</v>
      </c>
      <c r="N1589" s="28">
        <v>65.8</v>
      </c>
      <c r="O1589" s="28">
        <v>5</v>
      </c>
      <c r="P1589" s="28">
        <v>8</v>
      </c>
      <c r="Q1589" s="28">
        <v>4</v>
      </c>
      <c r="R1589" s="28">
        <v>4</v>
      </c>
      <c r="S1589" s="28">
        <v>0</v>
      </c>
      <c r="Y1589" s="26" t="s">
        <v>166</v>
      </c>
      <c r="Z1589" s="23"/>
      <c r="AA1589" s="3" t="str">
        <f t="shared" si="13"/>
        <v>ANO_843_11_T4C2_vm</v>
      </c>
      <c r="AB1589" s="3" t="str">
        <f t="shared" si="12"/>
        <v>ANO_843_11_T4C2_vm_2</v>
      </c>
      <c r="AC1589" s="3" t="s">
        <v>37</v>
      </c>
    </row>
    <row r="1590" spans="1:30" ht="14">
      <c r="A1590" s="3">
        <v>1589</v>
      </c>
      <c r="B1590" s="26"/>
      <c r="C1590" s="5"/>
      <c r="D1590" s="26"/>
      <c r="E1590" s="26"/>
      <c r="F1590" s="26"/>
      <c r="G1590" s="26"/>
      <c r="H1590" s="26"/>
      <c r="I1590" s="26"/>
      <c r="J1590" s="26"/>
      <c r="K1590" s="26"/>
      <c r="L1590" s="26"/>
      <c r="M1590" s="26" t="s">
        <v>38</v>
      </c>
      <c r="N1590" s="28">
        <v>42.6</v>
      </c>
      <c r="O1590" s="28">
        <v>0</v>
      </c>
      <c r="P1590" s="28">
        <v>5</v>
      </c>
      <c r="Q1590" s="28">
        <v>1</v>
      </c>
      <c r="R1590" s="28">
        <v>4</v>
      </c>
      <c r="S1590" s="28">
        <v>0</v>
      </c>
      <c r="Y1590" s="26"/>
      <c r="Z1590" s="23"/>
      <c r="AA1590" s="3" t="str">
        <f t="shared" si="13"/>
        <v>___</v>
      </c>
      <c r="AB1590" s="3" t="str">
        <f t="shared" si="12"/>
        <v>____</v>
      </c>
    </row>
    <row r="1591" spans="1:30" ht="14">
      <c r="A1591" s="3">
        <v>1590</v>
      </c>
      <c r="B1591" s="26"/>
      <c r="C1591" s="5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 t="s">
        <v>39</v>
      </c>
      <c r="N1591" s="28">
        <v>27.3</v>
      </c>
      <c r="O1591" s="28">
        <v>0</v>
      </c>
      <c r="P1591" s="28">
        <v>2</v>
      </c>
      <c r="Q1591" s="28">
        <v>3</v>
      </c>
      <c r="R1591" s="28">
        <v>6</v>
      </c>
      <c r="S1591" s="28">
        <v>0</v>
      </c>
      <c r="Y1591" s="26"/>
      <c r="Z1591" s="23"/>
      <c r="AA1591" s="3" t="str">
        <f t="shared" si="13"/>
        <v>___</v>
      </c>
      <c r="AB1591" s="3" t="str">
        <f t="shared" si="12"/>
        <v>____</v>
      </c>
    </row>
    <row r="1592" spans="1:30" ht="14">
      <c r="A1592" s="3">
        <v>1591</v>
      </c>
      <c r="B1592" s="24" t="s">
        <v>203</v>
      </c>
      <c r="C1592" s="25" t="s">
        <v>216</v>
      </c>
      <c r="D1592" s="24">
        <v>11</v>
      </c>
      <c r="E1592" s="27" t="s">
        <v>163</v>
      </c>
      <c r="F1592" s="27" t="s">
        <v>180</v>
      </c>
      <c r="G1592" s="27" t="s">
        <v>217</v>
      </c>
      <c r="H1592" s="27" t="s">
        <v>40</v>
      </c>
      <c r="I1592" s="24">
        <v>3</v>
      </c>
      <c r="J1592" s="24">
        <v>11</v>
      </c>
      <c r="K1592" s="24">
        <v>17.5</v>
      </c>
      <c r="L1592" s="24">
        <v>5</v>
      </c>
      <c r="M1592" s="27" t="s">
        <v>36</v>
      </c>
      <c r="N1592" s="24">
        <v>45</v>
      </c>
      <c r="O1592" s="24">
        <v>4</v>
      </c>
      <c r="P1592" s="24">
        <v>6</v>
      </c>
      <c r="Q1592" s="24">
        <v>2</v>
      </c>
      <c r="R1592" s="24">
        <v>2</v>
      </c>
      <c r="S1592" s="24">
        <v>0</v>
      </c>
      <c r="Y1592" s="27" t="s">
        <v>166</v>
      </c>
      <c r="Z1592" s="23"/>
      <c r="AA1592" s="3" t="str">
        <f t="shared" si="13"/>
        <v>ANO_843_11_T4C2_vm</v>
      </c>
      <c r="AB1592" s="3" t="str">
        <f t="shared" si="12"/>
        <v>ANO_843_11_T4C2_vm_3</v>
      </c>
    </row>
    <row r="1593" spans="1:30" ht="14">
      <c r="A1593" s="3">
        <v>1592</v>
      </c>
      <c r="B1593" s="26"/>
      <c r="C1593" s="5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 t="s">
        <v>38</v>
      </c>
      <c r="N1593" s="28">
        <v>30</v>
      </c>
      <c r="O1593" s="28">
        <v>0</v>
      </c>
      <c r="P1593" s="28">
        <v>4</v>
      </c>
      <c r="Q1593" s="28">
        <v>3</v>
      </c>
      <c r="R1593" s="28">
        <v>5</v>
      </c>
      <c r="S1593" s="28">
        <v>0</v>
      </c>
      <c r="Y1593" s="26"/>
      <c r="Z1593" s="23"/>
      <c r="AA1593" s="3" t="str">
        <f t="shared" si="13"/>
        <v>___</v>
      </c>
      <c r="AB1593" s="3" t="str">
        <f t="shared" si="12"/>
        <v>____</v>
      </c>
    </row>
    <row r="1594" spans="1:30" ht="14">
      <c r="A1594" s="3">
        <v>1593</v>
      </c>
      <c r="B1594" s="29"/>
      <c r="C1594" s="30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 t="s">
        <v>39</v>
      </c>
      <c r="N1594" s="31">
        <v>27.9</v>
      </c>
      <c r="O1594" s="31">
        <v>0</v>
      </c>
      <c r="P1594" s="31">
        <v>2</v>
      </c>
      <c r="Q1594" s="31">
        <v>3</v>
      </c>
      <c r="R1594" s="31">
        <v>4</v>
      </c>
      <c r="S1594" s="31">
        <v>0</v>
      </c>
      <c r="Y1594" s="29"/>
      <c r="Z1594" s="23"/>
      <c r="AA1594" s="3" t="str">
        <f t="shared" si="13"/>
        <v>___</v>
      </c>
      <c r="AB1594" s="3" t="str">
        <f t="shared" si="12"/>
        <v>____</v>
      </c>
    </row>
    <row r="1595" spans="1:30" ht="14">
      <c r="A1595" s="3">
        <v>1594</v>
      </c>
      <c r="B1595" s="23"/>
      <c r="C1595" s="32">
        <v>145</v>
      </c>
      <c r="D1595" s="32">
        <v>51</v>
      </c>
      <c r="E1595" s="23"/>
      <c r="F1595" s="23"/>
      <c r="G1595" s="23"/>
      <c r="H1595" s="32" t="s">
        <v>40</v>
      </c>
      <c r="I1595" s="33">
        <v>1</v>
      </c>
      <c r="J1595" s="32">
        <v>29.9</v>
      </c>
      <c r="K1595" s="32">
        <v>5.6</v>
      </c>
      <c r="L1595" s="32">
        <v>6</v>
      </c>
      <c r="M1595" s="32" t="s">
        <v>36</v>
      </c>
      <c r="N1595" s="33">
        <v>56</v>
      </c>
      <c r="O1595" s="33">
        <v>6</v>
      </c>
      <c r="P1595" s="33">
        <v>6</v>
      </c>
      <c r="Q1595" s="32">
        <v>0</v>
      </c>
      <c r="R1595" s="33">
        <v>0</v>
      </c>
      <c r="S1595" s="32">
        <v>1</v>
      </c>
      <c r="T1595" s="3">
        <v>4.061E-2</v>
      </c>
      <c r="U1595" s="3">
        <v>2.9360000000000001E-2</v>
      </c>
      <c r="V1595" s="3">
        <v>0</v>
      </c>
      <c r="W1595" s="3">
        <v>5.8199999999999997E-3</v>
      </c>
      <c r="X1595" s="3">
        <v>0</v>
      </c>
      <c r="Y1595" s="23"/>
      <c r="Z1595" s="23"/>
      <c r="AA1595" s="3" t="str">
        <f t="shared" si="13"/>
        <v>145_51__vm</v>
      </c>
      <c r="AB1595" s="3" t="str">
        <f t="shared" si="12"/>
        <v>145_51__vm_1</v>
      </c>
      <c r="AD1595" s="3" t="s">
        <v>37</v>
      </c>
    </row>
    <row r="1596" spans="1:30" ht="14">
      <c r="A1596" s="3">
        <v>1595</v>
      </c>
      <c r="B1596" s="23"/>
      <c r="C1596" s="23"/>
      <c r="D1596" s="23"/>
      <c r="E1596" s="23"/>
      <c r="F1596" s="23"/>
      <c r="G1596" s="23"/>
      <c r="H1596" s="23"/>
      <c r="I1596" s="33"/>
      <c r="J1596" s="23"/>
      <c r="K1596" s="23"/>
      <c r="L1596" s="23"/>
      <c r="M1596" s="32" t="s">
        <v>38</v>
      </c>
      <c r="N1596" s="33">
        <v>85</v>
      </c>
      <c r="O1596" s="33">
        <v>0</v>
      </c>
      <c r="P1596" s="33">
        <v>3</v>
      </c>
      <c r="Q1596" s="32">
        <v>3</v>
      </c>
      <c r="R1596" s="33">
        <v>3</v>
      </c>
      <c r="S1596" s="32">
        <v>0</v>
      </c>
      <c r="T1596" s="3">
        <v>0</v>
      </c>
      <c r="U1596" s="3">
        <v>0.11081000000000001</v>
      </c>
      <c r="V1596" s="34">
        <v>0.28026000000000001</v>
      </c>
      <c r="W1596" s="3">
        <v>0</v>
      </c>
      <c r="X1596" s="3">
        <v>0</v>
      </c>
      <c r="Y1596" s="32" t="s">
        <v>219</v>
      </c>
      <c r="Z1596" s="23"/>
      <c r="AA1596" s="3" t="str">
        <f t="shared" si="13"/>
        <v>___</v>
      </c>
      <c r="AB1596" s="3" t="str">
        <f t="shared" si="12"/>
        <v>____</v>
      </c>
    </row>
    <row r="1597" spans="1:30" ht="14">
      <c r="A1597" s="3">
        <v>1596</v>
      </c>
      <c r="B1597" s="23"/>
      <c r="C1597" s="23"/>
      <c r="D1597" s="23"/>
      <c r="E1597" s="23"/>
      <c r="F1597" s="23"/>
      <c r="G1597" s="23"/>
      <c r="H1597" s="23"/>
      <c r="I1597" s="22"/>
      <c r="J1597" s="23"/>
      <c r="K1597" s="23"/>
      <c r="L1597" s="23"/>
      <c r="M1597" s="32" t="s">
        <v>39</v>
      </c>
      <c r="N1597" s="33">
        <v>82</v>
      </c>
      <c r="O1597" s="33">
        <v>0</v>
      </c>
      <c r="P1597" s="33">
        <v>5</v>
      </c>
      <c r="Q1597" s="32">
        <v>2</v>
      </c>
      <c r="R1597" s="33">
        <v>2</v>
      </c>
      <c r="S1597" s="32">
        <v>0</v>
      </c>
      <c r="T1597" s="3">
        <v>0</v>
      </c>
      <c r="U1597" s="3">
        <v>0.17484</v>
      </c>
      <c r="V1597" s="3">
        <v>0.19531000000000001</v>
      </c>
      <c r="W1597" s="3">
        <v>0</v>
      </c>
      <c r="X1597" s="3">
        <v>0</v>
      </c>
      <c r="Y1597" s="32" t="s">
        <v>220</v>
      </c>
      <c r="Z1597" s="23"/>
      <c r="AA1597" s="3" t="str">
        <f t="shared" si="13"/>
        <v>___</v>
      </c>
      <c r="AB1597" s="3" t="str">
        <f t="shared" si="12"/>
        <v>____</v>
      </c>
    </row>
    <row r="1598" spans="1:30" ht="14">
      <c r="A1598" s="3">
        <v>1597</v>
      </c>
      <c r="B1598" s="23"/>
      <c r="C1598" s="32">
        <v>145</v>
      </c>
      <c r="D1598" s="32">
        <v>51</v>
      </c>
      <c r="E1598" s="23"/>
      <c r="F1598" s="23"/>
      <c r="G1598" s="23"/>
      <c r="H1598" s="32" t="s">
        <v>40</v>
      </c>
      <c r="I1598" s="33">
        <v>2</v>
      </c>
      <c r="J1598" s="32">
        <v>29.4</v>
      </c>
      <c r="K1598" s="32">
        <v>27.7</v>
      </c>
      <c r="L1598" s="32">
        <v>5</v>
      </c>
      <c r="M1598" s="32" t="s">
        <v>36</v>
      </c>
      <c r="N1598" s="33">
        <v>57</v>
      </c>
      <c r="O1598" s="33">
        <v>7</v>
      </c>
      <c r="P1598" s="33">
        <v>7</v>
      </c>
      <c r="Q1598" s="32">
        <v>0</v>
      </c>
      <c r="R1598" s="33">
        <v>0</v>
      </c>
      <c r="S1598" s="32">
        <v>0</v>
      </c>
      <c r="T1598" s="3">
        <v>4.845E-2</v>
      </c>
      <c r="U1598" s="3">
        <v>3.4610000000000002E-2</v>
      </c>
      <c r="V1598" s="3">
        <v>0</v>
      </c>
      <c r="W1598" s="3">
        <v>0</v>
      </c>
      <c r="X1598" s="3">
        <v>0</v>
      </c>
      <c r="Y1598" s="23"/>
      <c r="Z1598" s="23"/>
      <c r="AA1598" s="3" t="str">
        <f t="shared" si="13"/>
        <v>145_51__vm</v>
      </c>
      <c r="AB1598" s="3" t="str">
        <f t="shared" si="12"/>
        <v>145_51__vm_2</v>
      </c>
      <c r="AD1598" s="3" t="s">
        <v>37</v>
      </c>
    </row>
    <row r="1599" spans="1:30" ht="14">
      <c r="A1599" s="3">
        <v>1598</v>
      </c>
      <c r="B1599" s="23"/>
      <c r="C1599" s="23"/>
      <c r="D1599" s="23"/>
      <c r="E1599" s="23"/>
      <c r="F1599" s="23"/>
      <c r="G1599" s="23"/>
      <c r="H1599" s="23"/>
      <c r="I1599" s="22"/>
      <c r="J1599" s="23"/>
      <c r="K1599" s="23"/>
      <c r="L1599" s="23"/>
      <c r="M1599" s="32" t="s">
        <v>38</v>
      </c>
      <c r="N1599" s="33">
        <v>80</v>
      </c>
      <c r="O1599" s="33">
        <v>0</v>
      </c>
      <c r="P1599" s="33">
        <v>3</v>
      </c>
      <c r="Q1599" s="32">
        <v>3</v>
      </c>
      <c r="R1599" s="33">
        <v>3</v>
      </c>
      <c r="S1599" s="32">
        <v>0</v>
      </c>
      <c r="T1599" s="3">
        <v>0</v>
      </c>
      <c r="U1599" s="3">
        <v>9.9419999999999994E-2</v>
      </c>
      <c r="V1599" s="3">
        <v>0.17627000000000001</v>
      </c>
      <c r="W1599" s="3">
        <v>0</v>
      </c>
      <c r="X1599" s="3">
        <v>0</v>
      </c>
      <c r="Y1599" s="23"/>
      <c r="Z1599" s="23"/>
      <c r="AA1599" s="3" t="str">
        <f t="shared" si="13"/>
        <v>___</v>
      </c>
      <c r="AB1599" s="3" t="str">
        <f t="shared" si="12"/>
        <v>____</v>
      </c>
    </row>
    <row r="1600" spans="1:30" ht="14">
      <c r="A1600" s="3">
        <v>1599</v>
      </c>
      <c r="B1600" s="23"/>
      <c r="C1600" s="23"/>
      <c r="D1600" s="23"/>
      <c r="E1600" s="23"/>
      <c r="F1600" s="23"/>
      <c r="G1600" s="23"/>
      <c r="H1600" s="23"/>
      <c r="I1600" s="22"/>
      <c r="J1600" s="23"/>
      <c r="K1600" s="23"/>
      <c r="L1600" s="23"/>
      <c r="M1600" s="32" t="s">
        <v>39</v>
      </c>
      <c r="N1600" s="33">
        <v>117</v>
      </c>
      <c r="O1600" s="33">
        <v>0</v>
      </c>
      <c r="P1600" s="33">
        <v>7</v>
      </c>
      <c r="Q1600" s="32">
        <v>3</v>
      </c>
      <c r="R1600" s="33">
        <v>3</v>
      </c>
      <c r="S1600" s="32">
        <v>0</v>
      </c>
      <c r="T1600" s="3">
        <v>0</v>
      </c>
      <c r="U1600" s="3">
        <v>0.32507999999999998</v>
      </c>
      <c r="V1600" s="3">
        <v>0.41632000000000002</v>
      </c>
      <c r="W1600" s="3">
        <v>0</v>
      </c>
      <c r="X1600" s="3">
        <v>0</v>
      </c>
      <c r="Y1600" s="23"/>
      <c r="Z1600" s="23"/>
      <c r="AA1600" s="3" t="str">
        <f t="shared" si="13"/>
        <v>___</v>
      </c>
      <c r="AB1600" s="3" t="str">
        <f t="shared" si="12"/>
        <v>____</v>
      </c>
    </row>
    <row r="1601" spans="1:30" ht="14">
      <c r="A1601" s="3">
        <v>1600</v>
      </c>
      <c r="B1601" s="23"/>
      <c r="C1601" s="32">
        <v>145</v>
      </c>
      <c r="D1601" s="32">
        <v>51</v>
      </c>
      <c r="E1601" s="23"/>
      <c r="F1601" s="23"/>
      <c r="G1601" s="23"/>
      <c r="H1601" s="32" t="s">
        <v>40</v>
      </c>
      <c r="I1601" s="33">
        <v>3</v>
      </c>
      <c r="J1601" s="32">
        <v>27.8</v>
      </c>
      <c r="K1601" s="32">
        <v>38.700000000000003</v>
      </c>
      <c r="L1601" s="32">
        <v>6</v>
      </c>
      <c r="M1601" s="32" t="s">
        <v>36</v>
      </c>
      <c r="N1601" s="33">
        <v>64</v>
      </c>
      <c r="O1601" s="33">
        <v>8</v>
      </c>
      <c r="P1601" s="33">
        <v>8</v>
      </c>
      <c r="Q1601" s="32">
        <v>0</v>
      </c>
      <c r="R1601" s="33">
        <v>0</v>
      </c>
      <c r="S1601" s="32">
        <v>1</v>
      </c>
      <c r="T1601" s="3">
        <v>5.4980000000000001E-2</v>
      </c>
      <c r="U1601" s="3">
        <v>2.9850000000000002E-2</v>
      </c>
      <c r="V1601" s="3">
        <v>0</v>
      </c>
      <c r="W1601" s="3">
        <v>8.7389999999999995E-2</v>
      </c>
      <c r="X1601" s="3">
        <v>0</v>
      </c>
      <c r="Y1601" s="32" t="s">
        <v>221</v>
      </c>
      <c r="Z1601" s="23"/>
      <c r="AA1601" s="3" t="str">
        <f t="shared" si="13"/>
        <v>145_51__vm</v>
      </c>
      <c r="AB1601" s="3" t="str">
        <f t="shared" si="12"/>
        <v>145_51__vm_3</v>
      </c>
      <c r="AD1601" s="3" t="s">
        <v>37</v>
      </c>
    </row>
    <row r="1602" spans="1:30" ht="14">
      <c r="A1602" s="3">
        <v>1601</v>
      </c>
      <c r="B1602" s="23"/>
      <c r="C1602" s="23"/>
      <c r="D1602" s="23"/>
      <c r="E1602" s="23"/>
      <c r="F1602" s="23"/>
      <c r="G1602" s="23"/>
      <c r="H1602" s="23"/>
      <c r="I1602" s="22"/>
      <c r="J1602" s="23"/>
      <c r="K1602" s="23"/>
      <c r="L1602" s="23"/>
      <c r="M1602" s="32" t="s">
        <v>38</v>
      </c>
      <c r="N1602" s="33">
        <v>114</v>
      </c>
      <c r="O1602" s="33">
        <v>0</v>
      </c>
      <c r="P1602" s="33">
        <v>4</v>
      </c>
      <c r="Q1602" s="32">
        <v>5</v>
      </c>
      <c r="R1602" s="33">
        <v>2</v>
      </c>
      <c r="S1602" s="32">
        <v>0</v>
      </c>
      <c r="T1602" s="3">
        <v>0</v>
      </c>
      <c r="U1602" s="3">
        <v>0.13547999999999999</v>
      </c>
      <c r="V1602" s="3">
        <v>0.14984</v>
      </c>
      <c r="W1602" s="3">
        <v>0</v>
      </c>
      <c r="X1602" s="3">
        <v>0</v>
      </c>
      <c r="Y1602" s="23"/>
      <c r="Z1602" s="23"/>
      <c r="AA1602" s="3" t="str">
        <f t="shared" si="13"/>
        <v>___</v>
      </c>
      <c r="AB1602" s="3" t="str">
        <f t="shared" si="12"/>
        <v>____</v>
      </c>
    </row>
    <row r="1603" spans="1:30" ht="14">
      <c r="A1603" s="3">
        <v>1602</v>
      </c>
      <c r="B1603" s="23"/>
      <c r="C1603" s="23"/>
      <c r="D1603" s="23"/>
      <c r="E1603" s="23"/>
      <c r="F1603" s="23"/>
      <c r="G1603" s="23"/>
      <c r="H1603" s="23"/>
      <c r="I1603" s="22"/>
      <c r="J1603" s="23"/>
      <c r="K1603" s="23"/>
      <c r="L1603" s="23"/>
      <c r="M1603" s="32" t="s">
        <v>39</v>
      </c>
      <c r="N1603" s="33">
        <v>137</v>
      </c>
      <c r="O1603" s="33">
        <v>0</v>
      </c>
      <c r="P1603" s="33">
        <v>8</v>
      </c>
      <c r="Q1603" s="32">
        <v>4</v>
      </c>
      <c r="R1603" s="33">
        <v>3</v>
      </c>
      <c r="S1603" s="32">
        <v>0</v>
      </c>
      <c r="T1603" s="3">
        <v>0</v>
      </c>
      <c r="U1603" s="3">
        <v>0.48899999999999999</v>
      </c>
      <c r="V1603" s="3">
        <v>0.90815000000000001</v>
      </c>
      <c r="W1603" s="3">
        <v>0</v>
      </c>
      <c r="X1603" s="3">
        <v>0</v>
      </c>
      <c r="Y1603" s="23"/>
      <c r="Z1603" s="23"/>
      <c r="AA1603" s="3" t="str">
        <f t="shared" si="13"/>
        <v>___</v>
      </c>
      <c r="AB1603" s="3" t="str">
        <f t="shared" si="12"/>
        <v>____</v>
      </c>
    </row>
    <row r="1604" spans="1:30" ht="14">
      <c r="A1604" s="3">
        <v>1603</v>
      </c>
      <c r="B1604" s="23"/>
      <c r="C1604" s="32">
        <v>145</v>
      </c>
      <c r="D1604" s="32">
        <v>51</v>
      </c>
      <c r="E1604" s="23"/>
      <c r="F1604" s="23"/>
      <c r="G1604" s="23"/>
      <c r="H1604" s="32" t="s">
        <v>35</v>
      </c>
      <c r="I1604" s="33">
        <v>1</v>
      </c>
      <c r="J1604" s="32">
        <v>28.2</v>
      </c>
      <c r="K1604" s="32">
        <v>38.6</v>
      </c>
      <c r="L1604" s="32">
        <v>5</v>
      </c>
      <c r="M1604" s="32" t="s">
        <v>36</v>
      </c>
      <c r="N1604" s="33">
        <v>43</v>
      </c>
      <c r="O1604" s="33">
        <v>13</v>
      </c>
      <c r="P1604" s="33">
        <v>13</v>
      </c>
      <c r="Q1604" s="32">
        <v>0</v>
      </c>
      <c r="R1604" s="33">
        <v>0</v>
      </c>
      <c r="S1604" s="32">
        <v>0</v>
      </c>
      <c r="T1604" s="3">
        <v>5.5579999999999997E-2</v>
      </c>
      <c r="U1604" s="3">
        <v>1.244E-2</v>
      </c>
      <c r="V1604" s="3">
        <v>0</v>
      </c>
      <c r="W1604" s="3">
        <v>0</v>
      </c>
      <c r="X1604" s="3">
        <v>0</v>
      </c>
      <c r="Y1604" s="23"/>
      <c r="Z1604" s="23"/>
      <c r="AA1604" s="3" t="str">
        <f t="shared" si="13"/>
        <v>145_51__vv</v>
      </c>
      <c r="AB1604" s="3" t="str">
        <f t="shared" si="12"/>
        <v>145_51__vv_1</v>
      </c>
      <c r="AD1604" s="3" t="s">
        <v>37</v>
      </c>
    </row>
    <row r="1605" spans="1:30" ht="14">
      <c r="A1605" s="3">
        <v>1604</v>
      </c>
      <c r="B1605" s="23"/>
      <c r="C1605" s="23"/>
      <c r="D1605" s="23"/>
      <c r="E1605" s="23"/>
      <c r="F1605" s="23"/>
      <c r="G1605" s="23"/>
      <c r="H1605" s="23"/>
      <c r="I1605" s="22"/>
      <c r="J1605" s="23"/>
      <c r="K1605" s="23"/>
      <c r="L1605" s="23"/>
      <c r="M1605" s="32" t="s">
        <v>38</v>
      </c>
      <c r="N1605" s="33">
        <v>57</v>
      </c>
      <c r="O1605" s="33">
        <v>7</v>
      </c>
      <c r="P1605" s="33">
        <v>15</v>
      </c>
      <c r="Q1605" s="32">
        <v>0</v>
      </c>
      <c r="R1605" s="33">
        <v>0</v>
      </c>
      <c r="S1605" s="32">
        <v>0</v>
      </c>
      <c r="T1605" s="3">
        <v>8.6260000000000003E-2</v>
      </c>
      <c r="U1605" s="3">
        <v>2.9669999999999998E-2</v>
      </c>
      <c r="V1605" s="3">
        <v>0</v>
      </c>
      <c r="W1605" s="3">
        <v>0</v>
      </c>
      <c r="X1605" s="3">
        <v>0</v>
      </c>
      <c r="Y1605" s="23"/>
      <c r="Z1605" s="23"/>
      <c r="AA1605" s="3" t="str">
        <f t="shared" si="13"/>
        <v>___</v>
      </c>
      <c r="AB1605" s="3" t="str">
        <f t="shared" si="12"/>
        <v>____</v>
      </c>
    </row>
    <row r="1606" spans="1:30" ht="14">
      <c r="A1606" s="3">
        <v>1605</v>
      </c>
      <c r="B1606" s="23"/>
      <c r="C1606" s="23"/>
      <c r="D1606" s="23"/>
      <c r="E1606" s="23"/>
      <c r="F1606" s="23"/>
      <c r="G1606" s="23"/>
      <c r="H1606" s="23"/>
      <c r="I1606" s="22"/>
      <c r="J1606" s="23"/>
      <c r="K1606" s="23"/>
      <c r="L1606" s="23"/>
      <c r="M1606" s="32" t="s">
        <v>39</v>
      </c>
      <c r="N1606" s="33">
        <v>78</v>
      </c>
      <c r="O1606" s="33">
        <v>1</v>
      </c>
      <c r="P1606" s="33">
        <v>14</v>
      </c>
      <c r="Q1606" s="32">
        <v>1</v>
      </c>
      <c r="R1606" s="33">
        <v>1</v>
      </c>
      <c r="S1606" s="32">
        <v>0</v>
      </c>
      <c r="T1606" s="3">
        <v>1.222E-2</v>
      </c>
      <c r="U1606" s="3">
        <v>6.93E-2</v>
      </c>
      <c r="V1606" s="3">
        <v>2.9260000000000001E-2</v>
      </c>
      <c r="W1606" s="3">
        <v>0</v>
      </c>
      <c r="X1606" s="3">
        <v>0</v>
      </c>
      <c r="Y1606" s="23"/>
      <c r="Z1606" s="23"/>
      <c r="AA1606" s="3" t="str">
        <f t="shared" si="13"/>
        <v>___</v>
      </c>
      <c r="AB1606" s="3" t="str">
        <f t="shared" si="12"/>
        <v>____</v>
      </c>
    </row>
    <row r="1607" spans="1:30" ht="14">
      <c r="A1607" s="3">
        <v>1606</v>
      </c>
      <c r="B1607" s="23"/>
      <c r="C1607" s="32">
        <v>145</v>
      </c>
      <c r="D1607" s="32">
        <v>51</v>
      </c>
      <c r="E1607" s="23"/>
      <c r="F1607" s="23"/>
      <c r="G1607" s="23"/>
      <c r="H1607" s="32" t="s">
        <v>35</v>
      </c>
      <c r="I1607" s="33">
        <v>2</v>
      </c>
      <c r="J1607" s="32">
        <v>29</v>
      </c>
      <c r="K1607" s="32">
        <v>26.2</v>
      </c>
      <c r="L1607" s="32">
        <v>4</v>
      </c>
      <c r="M1607" s="32" t="s">
        <v>36</v>
      </c>
      <c r="N1607" s="33">
        <v>62</v>
      </c>
      <c r="O1607" s="33">
        <v>15</v>
      </c>
      <c r="P1607" s="33">
        <v>18</v>
      </c>
      <c r="Q1607" s="32">
        <v>0</v>
      </c>
      <c r="R1607" s="33">
        <v>0</v>
      </c>
      <c r="S1607" s="32" t="s">
        <v>177</v>
      </c>
      <c r="T1607" s="3">
        <v>0.15087</v>
      </c>
      <c r="U1607" s="3">
        <v>3.0380000000000001E-2</v>
      </c>
      <c r="V1607" s="3">
        <v>0</v>
      </c>
      <c r="W1607" s="3" t="s">
        <v>177</v>
      </c>
      <c r="X1607" s="3">
        <v>0</v>
      </c>
      <c r="Y1607" s="32" t="s">
        <v>222</v>
      </c>
      <c r="Z1607" s="23"/>
      <c r="AA1607" s="3" t="str">
        <f t="shared" si="13"/>
        <v>145_51__vv</v>
      </c>
      <c r="AB1607" s="3" t="str">
        <f t="shared" si="12"/>
        <v>145_51__vv_2</v>
      </c>
      <c r="AD1607" s="3" t="s">
        <v>37</v>
      </c>
    </row>
    <row r="1608" spans="1:30" ht="14">
      <c r="A1608" s="3">
        <v>1607</v>
      </c>
      <c r="B1608" s="23"/>
      <c r="C1608" s="23"/>
      <c r="D1608" s="23"/>
      <c r="E1608" s="23"/>
      <c r="F1608" s="23"/>
      <c r="G1608" s="23"/>
      <c r="H1608" s="23"/>
      <c r="I1608" s="22"/>
      <c r="J1608" s="23"/>
      <c r="K1608" s="23"/>
      <c r="L1608" s="23"/>
      <c r="M1608" s="32" t="s">
        <v>38</v>
      </c>
      <c r="N1608" s="33">
        <v>61</v>
      </c>
      <c r="O1608" s="33">
        <v>7</v>
      </c>
      <c r="P1608" s="33">
        <v>16</v>
      </c>
      <c r="Q1608" s="32">
        <v>0</v>
      </c>
      <c r="R1608" s="33">
        <v>0</v>
      </c>
      <c r="S1608" s="32">
        <v>0</v>
      </c>
      <c r="T1608" s="3">
        <v>6.8190000000000001E-2</v>
      </c>
      <c r="U1608" s="3">
        <v>4.1189999999999997E-2</v>
      </c>
      <c r="V1608" s="3">
        <v>0</v>
      </c>
      <c r="W1608" s="3">
        <v>0</v>
      </c>
      <c r="X1608" s="3">
        <v>0</v>
      </c>
      <c r="Y1608" s="23"/>
      <c r="Z1608" s="23"/>
      <c r="AA1608" s="3" t="str">
        <f t="shared" si="13"/>
        <v>___</v>
      </c>
      <c r="AB1608" s="3" t="str">
        <f t="shared" si="12"/>
        <v>____</v>
      </c>
    </row>
    <row r="1609" spans="1:30" ht="14">
      <c r="A1609" s="3">
        <v>1608</v>
      </c>
      <c r="B1609" s="23"/>
      <c r="C1609" s="23"/>
      <c r="D1609" s="23"/>
      <c r="E1609" s="23"/>
      <c r="F1609" s="23"/>
      <c r="G1609" s="23"/>
      <c r="H1609" s="23"/>
      <c r="I1609" s="22"/>
      <c r="J1609" s="23"/>
      <c r="K1609" s="23"/>
      <c r="L1609" s="23"/>
      <c r="M1609" s="32" t="s">
        <v>39</v>
      </c>
      <c r="N1609" s="33">
        <v>48</v>
      </c>
      <c r="O1609" s="33">
        <v>0</v>
      </c>
      <c r="P1609" s="33">
        <v>9</v>
      </c>
      <c r="Q1609" s="32">
        <v>1</v>
      </c>
      <c r="R1609" s="33">
        <v>1</v>
      </c>
      <c r="S1609" s="32">
        <v>0</v>
      </c>
      <c r="T1609" s="3">
        <v>0</v>
      </c>
      <c r="U1609" s="3">
        <v>3.823E-2</v>
      </c>
      <c r="V1609" s="3">
        <v>4.2399999999999998E-3</v>
      </c>
      <c r="W1609" s="3">
        <v>0</v>
      </c>
      <c r="X1609" s="3">
        <v>0</v>
      </c>
      <c r="Y1609" s="23"/>
      <c r="Z1609" s="23"/>
      <c r="AA1609" s="3" t="str">
        <f t="shared" si="13"/>
        <v>___</v>
      </c>
      <c r="AB1609" s="3" t="str">
        <f t="shared" si="12"/>
        <v>____</v>
      </c>
    </row>
    <row r="1610" spans="1:30" ht="14">
      <c r="A1610" s="3">
        <v>1609</v>
      </c>
      <c r="B1610" s="23"/>
      <c r="C1610" s="32">
        <v>145</v>
      </c>
      <c r="D1610" s="32">
        <v>51</v>
      </c>
      <c r="E1610" s="23"/>
      <c r="F1610" s="23"/>
      <c r="G1610" s="23"/>
      <c r="H1610" s="32" t="s">
        <v>35</v>
      </c>
      <c r="I1610" s="33">
        <v>3</v>
      </c>
      <c r="J1610" s="32">
        <v>27.8</v>
      </c>
      <c r="K1610" s="32">
        <v>20.5</v>
      </c>
      <c r="L1610" s="32">
        <v>4</v>
      </c>
      <c r="M1610" s="32" t="s">
        <v>36</v>
      </c>
      <c r="N1610" s="33">
        <v>45</v>
      </c>
      <c r="O1610" s="33">
        <v>7</v>
      </c>
      <c r="P1610" s="33">
        <v>11</v>
      </c>
      <c r="Q1610" s="32">
        <v>0</v>
      </c>
      <c r="R1610" s="33">
        <v>0</v>
      </c>
      <c r="S1610" s="32">
        <v>0</v>
      </c>
      <c r="T1610" s="3">
        <v>7.8530000000000003E-2</v>
      </c>
      <c r="U1610" s="3">
        <v>1.4659999999999999E-2</v>
      </c>
      <c r="V1610" s="3">
        <v>0</v>
      </c>
      <c r="W1610" s="3">
        <v>0</v>
      </c>
      <c r="X1610" s="3">
        <v>0</v>
      </c>
      <c r="Y1610" s="23"/>
      <c r="Z1610" s="23"/>
      <c r="AA1610" s="3" t="str">
        <f t="shared" si="13"/>
        <v>145_51__vv</v>
      </c>
      <c r="AB1610" s="3" t="str">
        <f t="shared" si="12"/>
        <v>145_51__vv_3</v>
      </c>
      <c r="AD1610" s="3" t="s">
        <v>37</v>
      </c>
    </row>
    <row r="1611" spans="1:30" ht="14">
      <c r="A1611" s="3">
        <v>1610</v>
      </c>
      <c r="B1611" s="23"/>
      <c r="C1611" s="23"/>
      <c r="D1611" s="23"/>
      <c r="E1611" s="23"/>
      <c r="F1611" s="23"/>
      <c r="G1611" s="23"/>
      <c r="H1611" s="23"/>
      <c r="I1611" s="22"/>
      <c r="J1611" s="23"/>
      <c r="K1611" s="23"/>
      <c r="L1611" s="23"/>
      <c r="M1611" s="32" t="s">
        <v>38</v>
      </c>
      <c r="N1611" s="33">
        <v>77</v>
      </c>
      <c r="O1611" s="33">
        <v>0</v>
      </c>
      <c r="P1611" s="33">
        <v>12</v>
      </c>
      <c r="Q1611" s="32">
        <v>0</v>
      </c>
      <c r="R1611" s="33">
        <v>0</v>
      </c>
      <c r="S1611" s="32">
        <v>0</v>
      </c>
      <c r="T1611" s="3">
        <v>0</v>
      </c>
      <c r="U1611" s="3">
        <v>3.9280000000000002E-2</v>
      </c>
      <c r="V1611" s="3">
        <v>0</v>
      </c>
      <c r="W1611" s="3">
        <v>0</v>
      </c>
      <c r="X1611" s="3">
        <v>0</v>
      </c>
      <c r="Y1611" s="23"/>
      <c r="Z1611" s="23"/>
      <c r="AA1611" s="3" t="str">
        <f t="shared" si="13"/>
        <v>___</v>
      </c>
      <c r="AB1611" s="3" t="str">
        <f t="shared" si="12"/>
        <v>____</v>
      </c>
    </row>
    <row r="1612" spans="1:30" ht="14">
      <c r="A1612" s="3">
        <v>1611</v>
      </c>
      <c r="B1612" s="23"/>
      <c r="C1612" s="23"/>
      <c r="D1612" s="23"/>
      <c r="E1612" s="23"/>
      <c r="F1612" s="23"/>
      <c r="G1612" s="23"/>
      <c r="H1612" s="23"/>
      <c r="I1612" s="22"/>
      <c r="J1612" s="23"/>
      <c r="K1612" s="23"/>
      <c r="L1612" s="23"/>
      <c r="M1612" s="32" t="s">
        <v>39</v>
      </c>
      <c r="N1612" s="33">
        <v>66</v>
      </c>
      <c r="O1612" s="33">
        <v>0</v>
      </c>
      <c r="P1612" s="33">
        <v>10</v>
      </c>
      <c r="Q1612" s="32">
        <v>0</v>
      </c>
      <c r="R1612" s="33">
        <v>0</v>
      </c>
      <c r="S1612" s="32">
        <v>0</v>
      </c>
      <c r="T1612" s="3">
        <v>0</v>
      </c>
      <c r="U1612" s="3">
        <v>3.2289999999999999E-2</v>
      </c>
      <c r="V1612" s="3">
        <v>0</v>
      </c>
      <c r="W1612" s="3">
        <v>0</v>
      </c>
      <c r="X1612" s="3">
        <v>0</v>
      </c>
      <c r="Y1612" s="23"/>
      <c r="Z1612" s="23"/>
      <c r="AA1612" s="3" t="str">
        <f t="shared" si="13"/>
        <v>___</v>
      </c>
      <c r="AB1612" s="3" t="str">
        <f t="shared" si="12"/>
        <v>____</v>
      </c>
    </row>
    <row r="1613" spans="1:30" ht="14">
      <c r="A1613" s="3">
        <v>1612</v>
      </c>
      <c r="B1613" s="23"/>
      <c r="C1613" s="32">
        <v>1382</v>
      </c>
      <c r="D1613" s="32">
        <v>42</v>
      </c>
      <c r="E1613" s="23"/>
      <c r="F1613" s="23"/>
      <c r="G1613" s="23"/>
      <c r="H1613" s="32" t="s">
        <v>40</v>
      </c>
      <c r="I1613" s="33">
        <v>1</v>
      </c>
      <c r="J1613" s="32">
        <v>15.1</v>
      </c>
      <c r="K1613" s="32">
        <v>16.100000000000001</v>
      </c>
      <c r="L1613" s="32">
        <v>5</v>
      </c>
      <c r="M1613" s="32" t="s">
        <v>36</v>
      </c>
      <c r="N1613" s="33">
        <v>49</v>
      </c>
      <c r="O1613" s="33">
        <v>7</v>
      </c>
      <c r="P1613" s="33">
        <v>7</v>
      </c>
      <c r="Q1613" s="32">
        <v>0</v>
      </c>
      <c r="R1613" s="33">
        <v>0</v>
      </c>
      <c r="S1613" s="32">
        <v>0</v>
      </c>
      <c r="T1613" s="3">
        <v>2.3060000000000001E-2</v>
      </c>
      <c r="U1613" s="3">
        <v>2.179E-2</v>
      </c>
      <c r="V1613" s="3">
        <v>0</v>
      </c>
      <c r="W1613" s="3">
        <v>0</v>
      </c>
      <c r="X1613" s="3">
        <v>0</v>
      </c>
      <c r="Y1613" s="23"/>
      <c r="Z1613" s="23"/>
      <c r="AA1613" s="3" t="str">
        <f t="shared" si="13"/>
        <v>1382_42__vm</v>
      </c>
      <c r="AB1613" s="3" t="str">
        <f t="shared" si="12"/>
        <v>1382_42__vm_1</v>
      </c>
      <c r="AD1613" s="3" t="s">
        <v>37</v>
      </c>
    </row>
    <row r="1614" spans="1:30" ht="14">
      <c r="A1614" s="3">
        <v>1613</v>
      </c>
      <c r="B1614" s="23"/>
      <c r="C1614" s="23"/>
      <c r="D1614" s="23"/>
      <c r="E1614" s="23"/>
      <c r="F1614" s="23"/>
      <c r="G1614" s="23"/>
      <c r="H1614" s="23"/>
      <c r="I1614" s="22"/>
      <c r="J1614" s="23"/>
      <c r="K1614" s="23"/>
      <c r="L1614" s="23"/>
      <c r="M1614" s="32" t="s">
        <v>38</v>
      </c>
      <c r="N1614" s="33">
        <v>41</v>
      </c>
      <c r="O1614" s="33">
        <v>0</v>
      </c>
      <c r="P1614" s="33">
        <v>6</v>
      </c>
      <c r="Q1614" s="32">
        <v>0</v>
      </c>
      <c r="R1614" s="33">
        <v>2</v>
      </c>
      <c r="S1614" s="32">
        <v>0</v>
      </c>
      <c r="T1614" s="3">
        <v>0</v>
      </c>
      <c r="U1614" s="3">
        <v>2.4889999999999999E-2</v>
      </c>
      <c r="V1614" s="3">
        <v>3.1649999999999998E-2</v>
      </c>
      <c r="W1614" s="3">
        <v>0</v>
      </c>
      <c r="X1614" s="3">
        <v>0</v>
      </c>
      <c r="Y1614" s="23"/>
      <c r="Z1614" s="23"/>
      <c r="AA1614" s="3" t="str">
        <f t="shared" si="13"/>
        <v>___</v>
      </c>
      <c r="AB1614" s="3" t="str">
        <f t="shared" si="12"/>
        <v>____</v>
      </c>
    </row>
    <row r="1615" spans="1:30" ht="14">
      <c r="A1615" s="3">
        <v>1614</v>
      </c>
      <c r="B1615" s="23"/>
      <c r="C1615" s="23"/>
      <c r="D1615" s="23"/>
      <c r="E1615" s="23"/>
      <c r="F1615" s="23"/>
      <c r="G1615" s="23"/>
      <c r="H1615" s="23"/>
      <c r="I1615" s="22"/>
      <c r="J1615" s="23"/>
      <c r="K1615" s="23"/>
      <c r="L1615" s="23"/>
      <c r="M1615" s="32" t="s">
        <v>39</v>
      </c>
      <c r="N1615" s="33">
        <v>44</v>
      </c>
      <c r="O1615" s="33">
        <v>0</v>
      </c>
      <c r="P1615" s="33">
        <v>8</v>
      </c>
      <c r="Q1615" s="32">
        <v>0</v>
      </c>
      <c r="R1615" s="33">
        <v>0</v>
      </c>
      <c r="S1615" s="32">
        <v>0</v>
      </c>
      <c r="T1615" s="3">
        <v>0</v>
      </c>
      <c r="U1615" s="3">
        <v>3.508E-2</v>
      </c>
      <c r="V1615" s="3">
        <v>0</v>
      </c>
      <c r="W1615" s="3">
        <v>0</v>
      </c>
      <c r="X1615" s="3">
        <v>0</v>
      </c>
      <c r="Y1615" s="23"/>
      <c r="Z1615" s="23"/>
      <c r="AA1615" s="3" t="str">
        <f t="shared" si="13"/>
        <v>___</v>
      </c>
      <c r="AB1615" s="3" t="str">
        <f t="shared" si="12"/>
        <v>____</v>
      </c>
    </row>
    <row r="1616" spans="1:30" ht="14">
      <c r="A1616" s="3">
        <v>1615</v>
      </c>
      <c r="B1616" s="23"/>
      <c r="C1616" s="32">
        <v>1382</v>
      </c>
      <c r="D1616" s="32">
        <v>42</v>
      </c>
      <c r="E1616" s="23"/>
      <c r="F1616" s="23"/>
      <c r="G1616" s="23"/>
      <c r="H1616" s="32" t="s">
        <v>40</v>
      </c>
      <c r="I1616" s="33">
        <v>2</v>
      </c>
      <c r="J1616" s="32">
        <v>13.1</v>
      </c>
      <c r="K1616" s="32">
        <v>15.2</v>
      </c>
      <c r="L1616" s="32">
        <v>5</v>
      </c>
      <c r="M1616" s="32" t="s">
        <v>36</v>
      </c>
      <c r="N1616" s="33">
        <v>6</v>
      </c>
      <c r="O1616" s="33">
        <v>5</v>
      </c>
      <c r="P1616" s="33">
        <v>5</v>
      </c>
      <c r="Q1616" s="32">
        <v>0</v>
      </c>
      <c r="R1616" s="33">
        <v>0</v>
      </c>
      <c r="S1616" s="32">
        <v>0</v>
      </c>
      <c r="T1616" s="3">
        <v>1.44E-2</v>
      </c>
      <c r="U1616" s="3">
        <v>1.89E-3</v>
      </c>
      <c r="V1616" s="3">
        <v>0</v>
      </c>
      <c r="W1616" s="3">
        <v>0</v>
      </c>
      <c r="X1616" s="3">
        <v>0</v>
      </c>
      <c r="Y1616" s="23"/>
      <c r="Z1616" s="23"/>
      <c r="AA1616" s="3" t="str">
        <f t="shared" si="13"/>
        <v>1382_42__vm</v>
      </c>
      <c r="AB1616" s="3" t="str">
        <f t="shared" si="12"/>
        <v>1382_42__vm_2</v>
      </c>
      <c r="AD1616" s="3" t="s">
        <v>37</v>
      </c>
    </row>
    <row r="1617" spans="1:30" ht="14">
      <c r="A1617" s="3">
        <v>1616</v>
      </c>
      <c r="B1617" s="23"/>
      <c r="C1617" s="23"/>
      <c r="D1617" s="23"/>
      <c r="E1617" s="23"/>
      <c r="F1617" s="23"/>
      <c r="G1617" s="23"/>
      <c r="H1617" s="23"/>
      <c r="I1617" s="22"/>
      <c r="J1617" s="23"/>
      <c r="K1617" s="23"/>
      <c r="L1617" s="23"/>
      <c r="M1617" s="32" t="s">
        <v>38</v>
      </c>
      <c r="N1617" s="33">
        <v>54</v>
      </c>
      <c r="O1617" s="33">
        <v>0</v>
      </c>
      <c r="P1617" s="33">
        <v>8</v>
      </c>
      <c r="Q1617" s="32">
        <v>0</v>
      </c>
      <c r="R1617" s="33">
        <v>4</v>
      </c>
      <c r="S1617" s="32">
        <v>0</v>
      </c>
      <c r="T1617" s="3">
        <v>0</v>
      </c>
      <c r="U1617" s="3">
        <v>3.014E-2</v>
      </c>
      <c r="V1617" s="3">
        <v>5.3010000000000002E-2</v>
      </c>
      <c r="W1617" s="3">
        <v>0</v>
      </c>
      <c r="X1617" s="3">
        <v>0</v>
      </c>
      <c r="Y1617" s="23"/>
      <c r="Z1617" s="23"/>
      <c r="AA1617" s="3" t="str">
        <f t="shared" si="13"/>
        <v>___</v>
      </c>
      <c r="AB1617" s="3" t="str">
        <f t="shared" si="12"/>
        <v>____</v>
      </c>
    </row>
    <row r="1618" spans="1:30" ht="14">
      <c r="A1618" s="3">
        <v>1617</v>
      </c>
      <c r="B1618" s="23"/>
      <c r="C1618" s="23"/>
      <c r="D1618" s="23"/>
      <c r="E1618" s="23"/>
      <c r="F1618" s="23"/>
      <c r="G1618" s="23"/>
      <c r="H1618" s="23"/>
      <c r="I1618" s="22"/>
      <c r="J1618" s="23"/>
      <c r="K1618" s="23"/>
      <c r="L1618" s="23"/>
      <c r="M1618" s="32" t="s">
        <v>39</v>
      </c>
      <c r="N1618" s="33">
        <v>55</v>
      </c>
      <c r="O1618" s="33">
        <v>0</v>
      </c>
      <c r="P1618" s="33">
        <v>9</v>
      </c>
      <c r="Q1618" s="32">
        <v>0</v>
      </c>
      <c r="R1618" s="33">
        <v>1</v>
      </c>
      <c r="S1618" s="32">
        <v>0</v>
      </c>
      <c r="T1618" s="3">
        <v>0</v>
      </c>
      <c r="U1618" s="3">
        <v>5.0659999999999997E-2</v>
      </c>
      <c r="V1618" s="3">
        <v>6.0069999999999998E-2</v>
      </c>
      <c r="W1618" s="3">
        <v>0</v>
      </c>
      <c r="X1618" s="3">
        <v>0</v>
      </c>
      <c r="Y1618" s="23"/>
      <c r="Z1618" s="23"/>
      <c r="AA1618" s="3" t="str">
        <f t="shared" si="13"/>
        <v>___</v>
      </c>
      <c r="AB1618" s="3" t="str">
        <f t="shared" si="12"/>
        <v>____</v>
      </c>
    </row>
    <row r="1619" spans="1:30" ht="14">
      <c r="A1619" s="3">
        <v>1618</v>
      </c>
      <c r="B1619" s="23"/>
      <c r="C1619" s="32">
        <v>1382</v>
      </c>
      <c r="D1619" s="32">
        <v>42</v>
      </c>
      <c r="E1619" s="23"/>
      <c r="F1619" s="23"/>
      <c r="G1619" s="23"/>
      <c r="H1619" s="32" t="s">
        <v>40</v>
      </c>
      <c r="I1619" s="33">
        <v>3</v>
      </c>
      <c r="J1619" s="32">
        <v>13.5</v>
      </c>
      <c r="K1619" s="32">
        <v>15.7</v>
      </c>
      <c r="L1619" s="32">
        <v>5</v>
      </c>
      <c r="M1619" s="32" t="s">
        <v>36</v>
      </c>
      <c r="N1619" s="33">
        <v>19</v>
      </c>
      <c r="O1619" s="33">
        <v>5</v>
      </c>
      <c r="P1619" s="33">
        <v>5</v>
      </c>
      <c r="Q1619" s="32">
        <v>0</v>
      </c>
      <c r="R1619" s="33">
        <v>0</v>
      </c>
      <c r="S1619" s="32">
        <v>0</v>
      </c>
      <c r="T1619" s="3">
        <v>1.051E-2</v>
      </c>
      <c r="U1619" s="3">
        <v>4.2399999999999998E-3</v>
      </c>
      <c r="V1619" s="3">
        <v>0</v>
      </c>
      <c r="W1619" s="3">
        <v>0</v>
      </c>
      <c r="X1619" s="3">
        <v>0</v>
      </c>
      <c r="Y1619" s="23"/>
      <c r="Z1619" s="23"/>
      <c r="AA1619" s="3" t="str">
        <f t="shared" si="13"/>
        <v>1382_42__vm</v>
      </c>
      <c r="AB1619" s="3" t="str">
        <f t="shared" si="12"/>
        <v>1382_42__vm_3</v>
      </c>
      <c r="AD1619" s="3" t="s">
        <v>37</v>
      </c>
    </row>
    <row r="1620" spans="1:30" ht="14">
      <c r="A1620" s="3">
        <v>1619</v>
      </c>
      <c r="B1620" s="23"/>
      <c r="C1620" s="23"/>
      <c r="D1620" s="23"/>
      <c r="E1620" s="23"/>
      <c r="F1620" s="23"/>
      <c r="G1620" s="23"/>
      <c r="H1620" s="23"/>
      <c r="I1620" s="22"/>
      <c r="J1620" s="23"/>
      <c r="K1620" s="23"/>
      <c r="L1620" s="23"/>
      <c r="M1620" s="32" t="s">
        <v>38</v>
      </c>
      <c r="N1620" s="33">
        <v>31</v>
      </c>
      <c r="O1620" s="33">
        <v>2</v>
      </c>
      <c r="P1620" s="33">
        <v>6</v>
      </c>
      <c r="Q1620" s="32">
        <v>0</v>
      </c>
      <c r="R1620" s="33">
        <v>0</v>
      </c>
      <c r="S1620" s="32">
        <v>0</v>
      </c>
      <c r="T1620" s="3">
        <v>2.3400000000000001E-3</v>
      </c>
      <c r="U1620" s="3">
        <v>1.026E-2</v>
      </c>
      <c r="V1620" s="3">
        <v>0</v>
      </c>
      <c r="W1620" s="3">
        <v>0</v>
      </c>
      <c r="X1620" s="3">
        <v>0</v>
      </c>
      <c r="Y1620" s="32" t="s">
        <v>223</v>
      </c>
      <c r="Z1620" s="23"/>
      <c r="AA1620" s="3" t="str">
        <f t="shared" si="13"/>
        <v>___</v>
      </c>
      <c r="AB1620" s="3" t="str">
        <f t="shared" si="12"/>
        <v>____</v>
      </c>
    </row>
    <row r="1621" spans="1:30" ht="14">
      <c r="A1621" s="3">
        <v>1620</v>
      </c>
      <c r="B1621" s="23"/>
      <c r="C1621" s="23"/>
      <c r="D1621" s="23"/>
      <c r="E1621" s="23"/>
      <c r="F1621" s="23"/>
      <c r="G1621" s="23"/>
      <c r="H1621" s="23"/>
      <c r="I1621" s="22"/>
      <c r="J1621" s="23"/>
      <c r="K1621" s="23"/>
      <c r="L1621" s="23"/>
      <c r="M1621" s="32" t="s">
        <v>39</v>
      </c>
      <c r="N1621" s="33">
        <v>51</v>
      </c>
      <c r="O1621" s="33">
        <v>0</v>
      </c>
      <c r="P1621" s="33">
        <v>9</v>
      </c>
      <c r="Q1621" s="32">
        <v>0</v>
      </c>
      <c r="R1621" s="33">
        <v>5</v>
      </c>
      <c r="S1621" s="32">
        <v>0</v>
      </c>
      <c r="T1621" s="3">
        <v>0</v>
      </c>
      <c r="U1621" s="3">
        <v>3.1469999999999998E-2</v>
      </c>
      <c r="V1621" s="3">
        <v>3.7920000000000002E-2</v>
      </c>
      <c r="W1621" s="3">
        <v>0</v>
      </c>
      <c r="X1621" s="3">
        <v>0</v>
      </c>
      <c r="Y1621" s="23"/>
      <c r="Z1621" s="23"/>
      <c r="AA1621" s="3" t="str">
        <f t="shared" si="13"/>
        <v>___</v>
      </c>
      <c r="AB1621" s="3" t="str">
        <f t="shared" si="12"/>
        <v>____</v>
      </c>
    </row>
    <row r="1622" spans="1:30" ht="14">
      <c r="A1622" s="3">
        <v>1621</v>
      </c>
      <c r="B1622" s="23"/>
      <c r="C1622" s="32">
        <v>1382</v>
      </c>
      <c r="D1622" s="32">
        <v>42</v>
      </c>
      <c r="E1622" s="23"/>
      <c r="F1622" s="23"/>
      <c r="G1622" s="23"/>
      <c r="H1622" s="32" t="s">
        <v>35</v>
      </c>
      <c r="I1622" s="33">
        <v>1</v>
      </c>
      <c r="J1622" s="32">
        <v>10.6</v>
      </c>
      <c r="K1622" s="32">
        <v>10.7</v>
      </c>
      <c r="L1622" s="32">
        <v>3</v>
      </c>
      <c r="M1622" s="32" t="s">
        <v>36</v>
      </c>
      <c r="N1622" s="33">
        <v>35</v>
      </c>
      <c r="O1622" s="33">
        <v>11</v>
      </c>
      <c r="P1622" s="33">
        <v>12</v>
      </c>
      <c r="Q1622" s="32">
        <v>0</v>
      </c>
      <c r="R1622" s="33">
        <v>0</v>
      </c>
      <c r="S1622" s="32">
        <v>0</v>
      </c>
      <c r="T1622" s="3">
        <v>2.3300000000000001E-2</v>
      </c>
      <c r="U1622" s="3">
        <v>6.5399999999999998E-3</v>
      </c>
      <c r="V1622" s="3">
        <v>0</v>
      </c>
      <c r="W1622" s="3">
        <v>0</v>
      </c>
      <c r="X1622" s="3">
        <v>0</v>
      </c>
      <c r="Y1622" s="23"/>
      <c r="Z1622" s="23"/>
      <c r="AA1622" s="3" t="str">
        <f t="shared" si="13"/>
        <v>1382_42__vv</v>
      </c>
      <c r="AB1622" s="3" t="str">
        <f t="shared" si="12"/>
        <v>1382_42__vv_1</v>
      </c>
      <c r="AD1622" s="3" t="s">
        <v>37</v>
      </c>
    </row>
    <row r="1623" spans="1:30" ht="14">
      <c r="A1623" s="3">
        <v>1622</v>
      </c>
      <c r="B1623" s="23"/>
      <c r="C1623" s="23"/>
      <c r="D1623" s="23"/>
      <c r="E1623" s="23"/>
      <c r="F1623" s="23"/>
      <c r="G1623" s="23"/>
      <c r="H1623" s="23"/>
      <c r="I1623" s="22"/>
      <c r="J1623" s="23"/>
      <c r="K1623" s="23"/>
      <c r="L1623" s="23"/>
      <c r="M1623" s="32" t="s">
        <v>38</v>
      </c>
      <c r="N1623" s="33">
        <v>28</v>
      </c>
      <c r="O1623" s="33">
        <v>3</v>
      </c>
      <c r="P1623" s="33">
        <v>13</v>
      </c>
      <c r="Q1623" s="32">
        <v>0</v>
      </c>
      <c r="R1623" s="33">
        <v>1</v>
      </c>
      <c r="S1623" s="32">
        <v>0</v>
      </c>
      <c r="T1623" s="3">
        <v>2.9389999999999999E-2</v>
      </c>
      <c r="U1623" s="3">
        <v>1.593E-2</v>
      </c>
      <c r="V1623" s="3">
        <v>1.7590000000000001E-2</v>
      </c>
      <c r="W1623" s="3">
        <v>0</v>
      </c>
      <c r="X1623" s="3">
        <v>0</v>
      </c>
      <c r="Y1623" s="23"/>
      <c r="Z1623" s="23"/>
      <c r="AA1623" s="3" t="str">
        <f t="shared" si="13"/>
        <v>___</v>
      </c>
      <c r="AB1623" s="3" t="str">
        <f t="shared" si="12"/>
        <v>____</v>
      </c>
    </row>
    <row r="1624" spans="1:30" ht="14">
      <c r="A1624" s="3">
        <v>1623</v>
      </c>
      <c r="B1624" s="23"/>
      <c r="C1624" s="23"/>
      <c r="D1624" s="23"/>
      <c r="E1624" s="23"/>
      <c r="F1624" s="23"/>
      <c r="G1624" s="23"/>
      <c r="H1624" s="23"/>
      <c r="I1624" s="22"/>
      <c r="J1624" s="23"/>
      <c r="K1624" s="23"/>
      <c r="L1624" s="23"/>
      <c r="M1624" s="32" t="s">
        <v>39</v>
      </c>
      <c r="N1624" s="33">
        <v>39</v>
      </c>
      <c r="O1624" s="33">
        <v>0</v>
      </c>
      <c r="P1624" s="33">
        <v>7</v>
      </c>
      <c r="Q1624" s="32">
        <v>0</v>
      </c>
      <c r="R1624" s="33">
        <v>0</v>
      </c>
      <c r="S1624" s="32">
        <v>0</v>
      </c>
      <c r="T1624" s="3">
        <v>0</v>
      </c>
      <c r="U1624" s="3">
        <v>2.0930000000000001E-2</v>
      </c>
      <c r="V1624" s="3">
        <v>0</v>
      </c>
      <c r="W1624" s="3">
        <v>0</v>
      </c>
      <c r="X1624" s="3">
        <v>0</v>
      </c>
      <c r="Y1624" s="23"/>
      <c r="Z1624" s="23"/>
      <c r="AA1624" s="3" t="str">
        <f t="shared" si="13"/>
        <v>___</v>
      </c>
      <c r="AB1624" s="3" t="str">
        <f t="shared" si="12"/>
        <v>____</v>
      </c>
    </row>
    <row r="1625" spans="1:30" ht="14">
      <c r="A1625" s="3">
        <v>1624</v>
      </c>
      <c r="B1625" s="23"/>
      <c r="C1625" s="32">
        <v>1382</v>
      </c>
      <c r="D1625" s="32">
        <v>42</v>
      </c>
      <c r="E1625" s="23"/>
      <c r="F1625" s="23"/>
      <c r="G1625" s="23"/>
      <c r="H1625" s="32" t="s">
        <v>35</v>
      </c>
      <c r="I1625" s="33">
        <v>2</v>
      </c>
      <c r="J1625" s="32">
        <v>13.8</v>
      </c>
      <c r="K1625" s="32">
        <v>13.8</v>
      </c>
      <c r="L1625" s="32">
        <v>3</v>
      </c>
      <c r="M1625" s="32" t="s">
        <v>36</v>
      </c>
      <c r="N1625" s="33">
        <v>28</v>
      </c>
      <c r="O1625" s="33">
        <v>10</v>
      </c>
      <c r="P1625" s="33">
        <v>12</v>
      </c>
      <c r="Q1625" s="32">
        <v>0</v>
      </c>
      <c r="R1625" s="33">
        <v>0</v>
      </c>
      <c r="S1625" s="32">
        <v>0</v>
      </c>
      <c r="T1625" s="3">
        <v>3.2870000000000003E-2</v>
      </c>
      <c r="U1625" s="3">
        <v>4.4999999999999997E-3</v>
      </c>
      <c r="V1625" s="3">
        <v>0</v>
      </c>
      <c r="W1625" s="3">
        <v>0</v>
      </c>
      <c r="X1625" s="3">
        <v>0</v>
      </c>
      <c r="Y1625" s="23"/>
      <c r="Z1625" s="23"/>
      <c r="AA1625" s="3" t="str">
        <f t="shared" si="13"/>
        <v>1382_42__vv</v>
      </c>
      <c r="AB1625" s="3" t="str">
        <f t="shared" si="12"/>
        <v>1382_42__vv_2</v>
      </c>
      <c r="AD1625" s="3" t="s">
        <v>37</v>
      </c>
    </row>
    <row r="1626" spans="1:30" ht="14">
      <c r="A1626" s="3">
        <v>1625</v>
      </c>
      <c r="B1626" s="23"/>
      <c r="C1626" s="23"/>
      <c r="D1626" s="23"/>
      <c r="E1626" s="23"/>
      <c r="F1626" s="23"/>
      <c r="G1626" s="23"/>
      <c r="H1626" s="23"/>
      <c r="I1626" s="22"/>
      <c r="J1626" s="23"/>
      <c r="K1626" s="23"/>
      <c r="L1626" s="23"/>
      <c r="M1626" s="32" t="s">
        <v>38</v>
      </c>
      <c r="N1626" s="33">
        <v>41</v>
      </c>
      <c r="O1626" s="33">
        <v>9</v>
      </c>
      <c r="P1626" s="33">
        <v>15</v>
      </c>
      <c r="Q1626" s="32">
        <v>0</v>
      </c>
      <c r="R1626" s="33">
        <v>0</v>
      </c>
      <c r="S1626" s="32">
        <v>0</v>
      </c>
      <c r="T1626" s="3">
        <v>7.7799999999999994E-2</v>
      </c>
      <c r="U1626" s="3">
        <v>1.9939999999999999E-2</v>
      </c>
      <c r="V1626" s="3">
        <v>0</v>
      </c>
      <c r="W1626" s="3">
        <v>0</v>
      </c>
      <c r="X1626" s="3">
        <v>0</v>
      </c>
      <c r="Y1626" s="23"/>
      <c r="Z1626" s="23"/>
      <c r="AA1626" s="3" t="str">
        <f t="shared" si="13"/>
        <v>___</v>
      </c>
      <c r="AB1626" s="3" t="str">
        <f t="shared" si="12"/>
        <v>____</v>
      </c>
    </row>
    <row r="1627" spans="1:30" ht="14">
      <c r="A1627" s="3">
        <v>1626</v>
      </c>
      <c r="B1627" s="23"/>
      <c r="C1627" s="23"/>
      <c r="D1627" s="23"/>
      <c r="E1627" s="23"/>
      <c r="F1627" s="23"/>
      <c r="G1627" s="23"/>
      <c r="H1627" s="23"/>
      <c r="I1627" s="22"/>
      <c r="J1627" s="23"/>
      <c r="K1627" s="23"/>
      <c r="L1627" s="23"/>
      <c r="M1627" s="32" t="s">
        <v>39</v>
      </c>
      <c r="N1627" s="33">
        <v>33</v>
      </c>
      <c r="O1627" s="33">
        <v>5</v>
      </c>
      <c r="P1627" s="33">
        <v>12</v>
      </c>
      <c r="Q1627" s="32">
        <v>0</v>
      </c>
      <c r="R1627" s="33">
        <v>1</v>
      </c>
      <c r="S1627" s="32">
        <v>0</v>
      </c>
      <c r="T1627" s="3">
        <v>4.1020000000000001E-2</v>
      </c>
      <c r="U1627" s="3">
        <v>2.103E-2</v>
      </c>
      <c r="V1627" s="3">
        <v>1.2200000000000001E-2</v>
      </c>
      <c r="W1627" s="3">
        <v>0</v>
      </c>
      <c r="X1627" s="3">
        <v>0</v>
      </c>
      <c r="Y1627" s="23"/>
      <c r="Z1627" s="23"/>
      <c r="AA1627" s="3" t="str">
        <f t="shared" si="13"/>
        <v>___</v>
      </c>
      <c r="AB1627" s="3" t="str">
        <f t="shared" si="12"/>
        <v>____</v>
      </c>
    </row>
    <row r="1628" spans="1:30" ht="14">
      <c r="A1628" s="3">
        <v>1627</v>
      </c>
      <c r="B1628" s="23"/>
      <c r="C1628" s="32">
        <v>1382</v>
      </c>
      <c r="D1628" s="32">
        <v>42</v>
      </c>
      <c r="E1628" s="23"/>
      <c r="F1628" s="23"/>
      <c r="G1628" s="23"/>
      <c r="H1628" s="32" t="s">
        <v>35</v>
      </c>
      <c r="I1628" s="33">
        <v>3</v>
      </c>
      <c r="J1628" s="32">
        <v>11.1</v>
      </c>
      <c r="K1628" s="32">
        <v>14.7</v>
      </c>
      <c r="L1628" s="32">
        <v>5</v>
      </c>
      <c r="M1628" s="32" t="s">
        <v>36</v>
      </c>
      <c r="N1628" s="33">
        <v>16</v>
      </c>
      <c r="O1628" s="33">
        <v>9</v>
      </c>
      <c r="P1628" s="33">
        <v>9</v>
      </c>
      <c r="Q1628" s="32">
        <v>0</v>
      </c>
      <c r="R1628" s="33">
        <v>0</v>
      </c>
      <c r="S1628" s="32">
        <v>0</v>
      </c>
      <c r="T1628" s="3">
        <v>6.8360000000000004E-2</v>
      </c>
      <c r="U1628" s="3">
        <v>5.3200000000000001E-3</v>
      </c>
      <c r="V1628" s="3">
        <v>0</v>
      </c>
      <c r="W1628" s="3">
        <v>0</v>
      </c>
      <c r="X1628" s="3">
        <v>0</v>
      </c>
      <c r="Y1628" s="32"/>
      <c r="Z1628" s="23"/>
      <c r="AA1628" s="3" t="str">
        <f t="shared" si="13"/>
        <v>1382_42__vv</v>
      </c>
      <c r="AB1628" s="3" t="str">
        <f t="shared" si="12"/>
        <v>1382_42__vv_3</v>
      </c>
      <c r="AD1628" s="3" t="s">
        <v>37</v>
      </c>
    </row>
    <row r="1629" spans="1:30" ht="14">
      <c r="A1629" s="3">
        <v>1628</v>
      </c>
      <c r="B1629" s="23"/>
      <c r="C1629" s="23"/>
      <c r="D1629" s="23"/>
      <c r="E1629" s="23"/>
      <c r="F1629" s="23"/>
      <c r="G1629" s="23"/>
      <c r="H1629" s="23"/>
      <c r="I1629" s="22"/>
      <c r="J1629" s="23"/>
      <c r="K1629" s="23"/>
      <c r="L1629" s="23"/>
      <c r="M1629" s="32" t="s">
        <v>38</v>
      </c>
      <c r="N1629" s="33">
        <v>43</v>
      </c>
      <c r="O1629" s="33">
        <v>11</v>
      </c>
      <c r="P1629" s="33">
        <v>12</v>
      </c>
      <c r="Q1629" s="32">
        <v>0</v>
      </c>
      <c r="R1629" s="33">
        <v>0</v>
      </c>
      <c r="S1629" s="32">
        <v>0</v>
      </c>
      <c r="T1629" s="3">
        <v>0.17676</v>
      </c>
      <c r="U1629" s="3">
        <v>2.6530000000000001E-2</v>
      </c>
      <c r="V1629" s="3">
        <v>0</v>
      </c>
      <c r="W1629" s="3">
        <v>0</v>
      </c>
      <c r="X1629" s="3">
        <v>0</v>
      </c>
      <c r="Y1629" s="23"/>
      <c r="Z1629" s="23"/>
      <c r="AA1629" s="3" t="str">
        <f t="shared" si="13"/>
        <v>___</v>
      </c>
      <c r="AB1629" s="3" t="str">
        <f t="shared" si="12"/>
        <v>____</v>
      </c>
    </row>
    <row r="1630" spans="1:30" ht="14">
      <c r="A1630" s="3">
        <v>1629</v>
      </c>
      <c r="B1630" s="23"/>
      <c r="C1630" s="23"/>
      <c r="D1630" s="23"/>
      <c r="E1630" s="23"/>
      <c r="F1630" s="23"/>
      <c r="G1630" s="23"/>
      <c r="H1630" s="23"/>
      <c r="I1630" s="22"/>
      <c r="J1630" s="23"/>
      <c r="K1630" s="23"/>
      <c r="L1630" s="23"/>
      <c r="M1630" s="32" t="s">
        <v>39</v>
      </c>
      <c r="N1630" s="33">
        <v>46</v>
      </c>
      <c r="O1630" s="33">
        <v>7</v>
      </c>
      <c r="P1630" s="33">
        <v>9</v>
      </c>
      <c r="Q1630" s="32">
        <v>0</v>
      </c>
      <c r="R1630" s="33">
        <v>0</v>
      </c>
      <c r="S1630" s="32">
        <v>0</v>
      </c>
      <c r="T1630" s="3">
        <v>8.5739999999999997E-2</v>
      </c>
      <c r="U1630" s="3">
        <v>3.3309999999999999E-2</v>
      </c>
      <c r="V1630" s="3">
        <v>0</v>
      </c>
      <c r="W1630" s="3">
        <v>0</v>
      </c>
      <c r="X1630" s="3">
        <v>0</v>
      </c>
      <c r="Y1630" s="23"/>
      <c r="Z1630" s="23"/>
      <c r="AA1630" s="3" t="str">
        <f t="shared" si="13"/>
        <v>___</v>
      </c>
      <c r="AB1630" s="3" t="str">
        <f t="shared" si="12"/>
        <v>____</v>
      </c>
    </row>
    <row r="1631" spans="1:30" ht="14">
      <c r="A1631" s="3">
        <v>1630</v>
      </c>
      <c r="B1631" s="23"/>
      <c r="C1631" s="32">
        <v>926</v>
      </c>
      <c r="D1631" s="32">
        <v>51</v>
      </c>
      <c r="E1631" s="23"/>
      <c r="F1631" s="23"/>
      <c r="G1631" s="23"/>
      <c r="H1631" s="32" t="s">
        <v>35</v>
      </c>
      <c r="I1631" s="33">
        <v>1</v>
      </c>
      <c r="J1631" s="32">
        <v>14.8</v>
      </c>
      <c r="K1631" s="32">
        <v>20.5</v>
      </c>
      <c r="L1631" s="32">
        <v>5</v>
      </c>
      <c r="M1631" s="32" t="s">
        <v>36</v>
      </c>
      <c r="N1631" s="33">
        <v>23</v>
      </c>
      <c r="O1631" s="33">
        <v>10</v>
      </c>
      <c r="P1631" s="33">
        <v>12</v>
      </c>
      <c r="Q1631" s="32">
        <v>0</v>
      </c>
      <c r="R1631" s="33">
        <v>0</v>
      </c>
      <c r="S1631" s="32">
        <v>0</v>
      </c>
      <c r="T1631" s="3">
        <v>4.3209999999999998E-2</v>
      </c>
      <c r="U1631" s="3">
        <v>5.8399999999999997E-3</v>
      </c>
      <c r="V1631" s="3">
        <v>0</v>
      </c>
      <c r="W1631" s="3">
        <v>0</v>
      </c>
      <c r="X1631" s="3">
        <v>0</v>
      </c>
      <c r="Y1631" s="23"/>
      <c r="Z1631" s="23"/>
      <c r="AA1631" s="3" t="str">
        <f t="shared" si="13"/>
        <v>926_51__vv</v>
      </c>
      <c r="AB1631" s="3" t="str">
        <f t="shared" si="12"/>
        <v>926_51__vv_1</v>
      </c>
      <c r="AD1631" s="3" t="s">
        <v>37</v>
      </c>
    </row>
    <row r="1632" spans="1:30" ht="14">
      <c r="A1632" s="3">
        <v>1631</v>
      </c>
      <c r="B1632" s="23"/>
      <c r="C1632" s="23"/>
      <c r="D1632" s="23"/>
      <c r="E1632" s="23"/>
      <c r="F1632" s="23"/>
      <c r="G1632" s="23"/>
      <c r="H1632" s="23"/>
      <c r="I1632" s="22"/>
      <c r="J1632" s="23"/>
      <c r="K1632" s="23"/>
      <c r="L1632" s="23"/>
      <c r="M1632" s="32" t="s">
        <v>38</v>
      </c>
      <c r="N1632" s="33">
        <v>19</v>
      </c>
      <c r="O1632" s="33">
        <v>7</v>
      </c>
      <c r="P1632" s="33">
        <v>8</v>
      </c>
      <c r="Q1632" s="32">
        <v>0</v>
      </c>
      <c r="R1632" s="33">
        <v>0</v>
      </c>
      <c r="S1632" s="32">
        <v>0</v>
      </c>
      <c r="T1632" s="3">
        <v>5.2569999999999999E-2</v>
      </c>
      <c r="U1632" s="3">
        <v>7.79E-3</v>
      </c>
      <c r="V1632" s="3">
        <v>0</v>
      </c>
      <c r="W1632" s="3">
        <v>0</v>
      </c>
      <c r="X1632" s="3">
        <v>0</v>
      </c>
      <c r="Y1632" s="23"/>
      <c r="Z1632" s="23"/>
      <c r="AA1632" s="3" t="str">
        <f t="shared" si="13"/>
        <v>___</v>
      </c>
      <c r="AB1632" s="3" t="str">
        <f t="shared" si="12"/>
        <v>____</v>
      </c>
    </row>
    <row r="1633" spans="1:30" ht="14">
      <c r="A1633" s="3">
        <v>1632</v>
      </c>
      <c r="B1633" s="23"/>
      <c r="C1633" s="23"/>
      <c r="D1633" s="23"/>
      <c r="E1633" s="23"/>
      <c r="F1633" s="23"/>
      <c r="G1633" s="23"/>
      <c r="H1633" s="23"/>
      <c r="I1633" s="22"/>
      <c r="J1633" s="23"/>
      <c r="K1633" s="23"/>
      <c r="L1633" s="23"/>
      <c r="M1633" s="32" t="s">
        <v>39</v>
      </c>
      <c r="N1633" s="33">
        <v>38</v>
      </c>
      <c r="O1633" s="33">
        <v>9</v>
      </c>
      <c r="P1633" s="33">
        <v>14</v>
      </c>
      <c r="Q1633" s="32">
        <v>0</v>
      </c>
      <c r="R1633" s="33">
        <v>0</v>
      </c>
      <c r="S1633" s="32">
        <v>0</v>
      </c>
      <c r="T1633" s="3">
        <v>0.12199</v>
      </c>
      <c r="U1633" s="3">
        <v>2.3789999999999999E-2</v>
      </c>
      <c r="V1633" s="3">
        <v>0</v>
      </c>
      <c r="W1633" s="3">
        <v>0</v>
      </c>
      <c r="X1633" s="3">
        <v>0</v>
      </c>
      <c r="Y1633" s="23"/>
      <c r="Z1633" s="23"/>
      <c r="AA1633" s="3" t="str">
        <f t="shared" si="13"/>
        <v>___</v>
      </c>
      <c r="AB1633" s="3" t="str">
        <f t="shared" si="12"/>
        <v>____</v>
      </c>
    </row>
    <row r="1634" spans="1:30" ht="14">
      <c r="A1634" s="3">
        <v>1633</v>
      </c>
      <c r="B1634" s="23"/>
      <c r="C1634" s="32">
        <v>926</v>
      </c>
      <c r="D1634" s="32">
        <v>51</v>
      </c>
      <c r="E1634" s="23"/>
      <c r="F1634" s="23"/>
      <c r="G1634" s="23"/>
      <c r="H1634" s="32" t="s">
        <v>35</v>
      </c>
      <c r="I1634" s="33">
        <v>2</v>
      </c>
      <c r="J1634" s="32">
        <v>11.2</v>
      </c>
      <c r="K1634" s="32">
        <v>8.3000000000000007</v>
      </c>
      <c r="L1634" s="32">
        <v>2</v>
      </c>
      <c r="M1634" s="32" t="s">
        <v>36</v>
      </c>
      <c r="N1634" s="33">
        <v>44</v>
      </c>
      <c r="O1634" s="33">
        <v>12</v>
      </c>
      <c r="P1634" s="33">
        <v>13</v>
      </c>
      <c r="Q1634" s="32">
        <v>0</v>
      </c>
      <c r="R1634" s="33">
        <v>0</v>
      </c>
      <c r="S1634" s="32">
        <v>0</v>
      </c>
      <c r="T1634" s="3">
        <v>0.11151</v>
      </c>
      <c r="U1634" s="3">
        <v>1.7239999999999998E-2</v>
      </c>
      <c r="V1634" s="3">
        <v>0</v>
      </c>
      <c r="W1634" s="3">
        <v>0</v>
      </c>
      <c r="X1634" s="3">
        <v>0</v>
      </c>
      <c r="Y1634" s="32" t="s">
        <v>224</v>
      </c>
      <c r="Z1634" s="23"/>
      <c r="AA1634" s="3" t="str">
        <f t="shared" si="13"/>
        <v>926_51__vv</v>
      </c>
      <c r="AB1634" s="3" t="str">
        <f t="shared" si="12"/>
        <v>926_51__vv_2</v>
      </c>
      <c r="AD1634" s="3" t="s">
        <v>37</v>
      </c>
    </row>
    <row r="1635" spans="1:30" ht="14">
      <c r="A1635" s="3">
        <v>1634</v>
      </c>
      <c r="B1635" s="23"/>
      <c r="C1635" s="23"/>
      <c r="D1635" s="23"/>
      <c r="E1635" s="23"/>
      <c r="F1635" s="23"/>
      <c r="G1635" s="23"/>
      <c r="H1635" s="23"/>
      <c r="I1635" s="22"/>
      <c r="J1635" s="23"/>
      <c r="K1635" s="23"/>
      <c r="L1635" s="23"/>
      <c r="M1635" s="32" t="s">
        <v>38</v>
      </c>
      <c r="N1635" s="33">
        <v>37</v>
      </c>
      <c r="O1635" s="33">
        <v>8</v>
      </c>
      <c r="P1635" s="33">
        <v>12</v>
      </c>
      <c r="Q1635" s="32">
        <v>0</v>
      </c>
      <c r="R1635" s="33">
        <v>0</v>
      </c>
      <c r="S1635" s="32">
        <v>0</v>
      </c>
      <c r="T1635" s="3">
        <v>8.2309999999999994E-2</v>
      </c>
      <c r="U1635" s="3">
        <v>2.462E-2</v>
      </c>
      <c r="V1635" s="3">
        <v>0</v>
      </c>
      <c r="W1635" s="3">
        <v>0</v>
      </c>
      <c r="X1635" s="3">
        <v>0</v>
      </c>
      <c r="Y1635" s="23"/>
      <c r="Z1635" s="23"/>
      <c r="AA1635" s="3" t="str">
        <f t="shared" si="13"/>
        <v>___</v>
      </c>
      <c r="AB1635" s="3" t="str">
        <f t="shared" si="12"/>
        <v>____</v>
      </c>
    </row>
    <row r="1636" spans="1:30" ht="14">
      <c r="A1636" s="3">
        <v>1635</v>
      </c>
      <c r="B1636" s="23"/>
      <c r="C1636" s="32">
        <v>926</v>
      </c>
      <c r="D1636" s="32">
        <v>51</v>
      </c>
      <c r="E1636" s="23"/>
      <c r="F1636" s="23"/>
      <c r="G1636" s="23"/>
      <c r="H1636" s="32" t="s">
        <v>35</v>
      </c>
      <c r="I1636" s="33">
        <v>3</v>
      </c>
      <c r="J1636" s="32">
        <v>8.5</v>
      </c>
      <c r="K1636" s="32">
        <v>8.1999999999999993</v>
      </c>
      <c r="L1636" s="32">
        <v>3</v>
      </c>
      <c r="M1636" s="32" t="s">
        <v>36</v>
      </c>
      <c r="N1636" s="33">
        <v>34</v>
      </c>
      <c r="O1636" s="33">
        <v>10</v>
      </c>
      <c r="P1636" s="33">
        <v>12</v>
      </c>
      <c r="Q1636" s="32">
        <v>0</v>
      </c>
      <c r="R1636" s="33">
        <v>0</v>
      </c>
      <c r="S1636" s="32">
        <v>0</v>
      </c>
      <c r="T1636" s="3">
        <v>4.8439999999999997E-2</v>
      </c>
      <c r="U1636" s="3">
        <v>9.5700000000000004E-3</v>
      </c>
      <c r="V1636" s="3">
        <v>0</v>
      </c>
      <c r="W1636" s="3">
        <v>0</v>
      </c>
      <c r="X1636" s="3">
        <v>0</v>
      </c>
      <c r="Y1636" s="23"/>
      <c r="Z1636" s="23"/>
      <c r="AA1636" s="3" t="str">
        <f t="shared" si="13"/>
        <v>926_51__vv</v>
      </c>
      <c r="AB1636" s="3" t="str">
        <f t="shared" si="12"/>
        <v>926_51__vv_3</v>
      </c>
      <c r="AD1636" s="3" t="s">
        <v>37</v>
      </c>
    </row>
    <row r="1637" spans="1:30" ht="14">
      <c r="A1637" s="3">
        <v>1636</v>
      </c>
      <c r="B1637" s="23"/>
      <c r="C1637" s="23"/>
      <c r="D1637" s="23"/>
      <c r="E1637" s="23"/>
      <c r="F1637" s="23"/>
      <c r="G1637" s="23"/>
      <c r="H1637" s="23"/>
      <c r="I1637" s="22"/>
      <c r="J1637" s="23"/>
      <c r="K1637" s="23"/>
      <c r="L1637" s="23"/>
      <c r="M1637" s="32" t="s">
        <v>38</v>
      </c>
      <c r="N1637" s="33">
        <v>34</v>
      </c>
      <c r="O1637" s="33">
        <v>3</v>
      </c>
      <c r="P1637" s="33">
        <v>8</v>
      </c>
      <c r="Q1637" s="32">
        <v>0</v>
      </c>
      <c r="R1637" s="33">
        <v>0</v>
      </c>
      <c r="S1637" s="32">
        <v>0</v>
      </c>
      <c r="T1637" s="3">
        <v>7.1399999999999996E-3</v>
      </c>
      <c r="U1637" s="3">
        <v>1.6709999999999999E-2</v>
      </c>
      <c r="V1637" s="3">
        <v>0</v>
      </c>
      <c r="W1637" s="3">
        <v>0</v>
      </c>
      <c r="X1637" s="3">
        <v>0</v>
      </c>
      <c r="Y1637" s="23"/>
      <c r="Z1637" s="23"/>
      <c r="AA1637" s="3" t="str">
        <f t="shared" si="13"/>
        <v>___</v>
      </c>
      <c r="AB1637" s="3" t="str">
        <f t="shared" si="12"/>
        <v>____</v>
      </c>
    </row>
    <row r="1638" spans="1:30" ht="14">
      <c r="A1638" s="3">
        <v>1637</v>
      </c>
      <c r="B1638" s="23"/>
      <c r="C1638" s="23"/>
      <c r="D1638" s="23"/>
      <c r="E1638" s="23"/>
      <c r="F1638" s="23"/>
      <c r="G1638" s="23"/>
      <c r="H1638" s="23"/>
      <c r="I1638" s="22"/>
      <c r="J1638" s="23"/>
      <c r="K1638" s="23"/>
      <c r="L1638" s="23"/>
      <c r="M1638" s="32" t="s">
        <v>39</v>
      </c>
      <c r="N1638" s="33">
        <v>13</v>
      </c>
      <c r="O1638" s="33">
        <v>0</v>
      </c>
      <c r="P1638" s="33">
        <v>4</v>
      </c>
      <c r="Q1638" s="32">
        <v>0</v>
      </c>
      <c r="R1638" s="33">
        <v>0</v>
      </c>
      <c r="S1638" s="32">
        <v>0</v>
      </c>
      <c r="T1638" s="3">
        <v>0</v>
      </c>
      <c r="U1638" s="3">
        <v>5.3E-3</v>
      </c>
      <c r="V1638" s="3">
        <v>0</v>
      </c>
      <c r="W1638" s="3">
        <v>0</v>
      </c>
      <c r="X1638" s="3">
        <v>0</v>
      </c>
      <c r="Y1638" s="23"/>
      <c r="Z1638" s="23"/>
      <c r="AA1638" s="3" t="str">
        <f t="shared" si="13"/>
        <v>___</v>
      </c>
      <c r="AB1638" s="3" t="str">
        <f t="shared" si="12"/>
        <v>____</v>
      </c>
    </row>
    <row r="1639" spans="1:30" ht="14">
      <c r="A1639" s="3">
        <v>1638</v>
      </c>
      <c r="B1639" s="23"/>
      <c r="C1639" s="32">
        <v>926</v>
      </c>
      <c r="D1639" s="32">
        <v>51</v>
      </c>
      <c r="E1639" s="23"/>
      <c r="F1639" s="23"/>
      <c r="G1639" s="23"/>
      <c r="H1639" s="32" t="s">
        <v>40</v>
      </c>
      <c r="I1639" s="33">
        <v>1</v>
      </c>
      <c r="J1639" s="32">
        <v>14.7</v>
      </c>
      <c r="K1639" s="32">
        <v>15.4</v>
      </c>
      <c r="L1639" s="32">
        <v>4</v>
      </c>
      <c r="M1639" s="32" t="s">
        <v>36</v>
      </c>
      <c r="N1639" s="33">
        <v>27</v>
      </c>
      <c r="O1639" s="33">
        <v>6</v>
      </c>
      <c r="P1639" s="33">
        <v>0</v>
      </c>
      <c r="Q1639" s="32">
        <v>0</v>
      </c>
      <c r="R1639" s="33">
        <v>0</v>
      </c>
      <c r="S1639" s="32">
        <v>0</v>
      </c>
      <c r="T1639" s="3">
        <v>2.5180000000000001E-2</v>
      </c>
      <c r="U1639" s="3">
        <v>1.157E-2</v>
      </c>
      <c r="V1639" s="3">
        <v>0</v>
      </c>
      <c r="W1639" s="3">
        <v>0</v>
      </c>
      <c r="X1639" s="3">
        <v>0</v>
      </c>
      <c r="Y1639" s="23"/>
      <c r="Z1639" s="23"/>
      <c r="AA1639" s="3" t="str">
        <f t="shared" si="13"/>
        <v>926_51__vm</v>
      </c>
      <c r="AB1639" s="3" t="str">
        <f t="shared" si="12"/>
        <v>926_51__vm_1</v>
      </c>
      <c r="AD1639" s="3" t="s">
        <v>37</v>
      </c>
    </row>
    <row r="1640" spans="1:30" ht="14">
      <c r="A1640" s="3">
        <v>1639</v>
      </c>
      <c r="B1640" s="23"/>
      <c r="C1640" s="23"/>
      <c r="D1640" s="23"/>
      <c r="E1640" s="23"/>
      <c r="F1640" s="23"/>
      <c r="G1640" s="23"/>
      <c r="H1640" s="23"/>
      <c r="I1640" s="22"/>
      <c r="J1640" s="23"/>
      <c r="K1640" s="23"/>
      <c r="L1640" s="23"/>
      <c r="M1640" s="32" t="s">
        <v>38</v>
      </c>
      <c r="N1640" s="33">
        <v>59</v>
      </c>
      <c r="O1640" s="33">
        <v>0</v>
      </c>
      <c r="P1640" s="33">
        <v>10</v>
      </c>
      <c r="Q1640" s="32">
        <v>0</v>
      </c>
      <c r="R1640" s="33">
        <v>4</v>
      </c>
      <c r="S1640" s="32">
        <v>0</v>
      </c>
      <c r="T1640" s="3">
        <v>0</v>
      </c>
      <c r="U1640" s="3">
        <v>5.7000000000000002E-2</v>
      </c>
      <c r="V1640" s="3">
        <v>9.1609999999999997E-2</v>
      </c>
      <c r="W1640" s="3">
        <v>0</v>
      </c>
      <c r="X1640" s="3">
        <v>0</v>
      </c>
      <c r="Y1640" s="23"/>
      <c r="Z1640" s="23"/>
      <c r="AA1640" s="3" t="str">
        <f t="shared" si="13"/>
        <v>___</v>
      </c>
      <c r="AB1640" s="3" t="str">
        <f t="shared" si="12"/>
        <v>____</v>
      </c>
    </row>
    <row r="1641" spans="1:30" ht="14">
      <c r="A1641" s="3">
        <v>1640</v>
      </c>
      <c r="B1641" s="23"/>
      <c r="C1641" s="23"/>
      <c r="D1641" s="23"/>
      <c r="E1641" s="23"/>
      <c r="F1641" s="23"/>
      <c r="G1641" s="23"/>
      <c r="H1641" s="23"/>
      <c r="I1641" s="22"/>
      <c r="J1641" s="23"/>
      <c r="K1641" s="23"/>
      <c r="L1641" s="23"/>
      <c r="M1641" s="32" t="s">
        <v>39</v>
      </c>
      <c r="N1641" s="33">
        <v>51</v>
      </c>
      <c r="O1641" s="33">
        <v>0</v>
      </c>
      <c r="P1641" s="33">
        <v>8</v>
      </c>
      <c r="Q1641" s="32">
        <v>0</v>
      </c>
      <c r="R1641" s="33">
        <v>2</v>
      </c>
      <c r="S1641" s="32">
        <v>0</v>
      </c>
      <c r="T1641" s="3">
        <v>0</v>
      </c>
      <c r="U1641" s="3">
        <v>4.6330000000000003E-2</v>
      </c>
      <c r="V1641" s="3">
        <v>4.4220000000000002E-2</v>
      </c>
      <c r="W1641" s="3">
        <v>0</v>
      </c>
      <c r="X1641" s="3">
        <v>0</v>
      </c>
      <c r="Y1641" s="23"/>
      <c r="Z1641" s="23"/>
      <c r="AA1641" s="3" t="str">
        <f t="shared" si="13"/>
        <v>___</v>
      </c>
      <c r="AB1641" s="3" t="str">
        <f t="shared" si="12"/>
        <v>____</v>
      </c>
    </row>
    <row r="1642" spans="1:30" ht="14">
      <c r="A1642" s="3">
        <v>1641</v>
      </c>
      <c r="B1642" s="23"/>
      <c r="C1642" s="32">
        <v>926</v>
      </c>
      <c r="D1642" s="32">
        <v>51</v>
      </c>
      <c r="E1642" s="23"/>
      <c r="F1642" s="23"/>
      <c r="G1642" s="23"/>
      <c r="H1642" s="32" t="s">
        <v>40</v>
      </c>
      <c r="I1642" s="33">
        <v>2</v>
      </c>
      <c r="J1642" s="32">
        <v>13.7</v>
      </c>
      <c r="K1642" s="32">
        <v>24</v>
      </c>
      <c r="L1642" s="32">
        <v>7</v>
      </c>
      <c r="M1642" s="32" t="s">
        <v>36</v>
      </c>
      <c r="N1642" s="33">
        <v>12</v>
      </c>
      <c r="O1642" s="33">
        <v>5</v>
      </c>
      <c r="P1642" s="33">
        <v>6</v>
      </c>
      <c r="Q1642" s="32">
        <v>0</v>
      </c>
      <c r="R1642" s="33">
        <v>0</v>
      </c>
      <c r="S1642" s="32">
        <v>0</v>
      </c>
      <c r="T1642" s="3">
        <v>8.8500000000000002E-3</v>
      </c>
      <c r="U1642" s="3">
        <v>2.5899999999999999E-3</v>
      </c>
      <c r="V1642" s="3">
        <v>0</v>
      </c>
      <c r="W1642" s="3">
        <v>0</v>
      </c>
      <c r="X1642" s="3">
        <v>0</v>
      </c>
      <c r="Y1642" s="23"/>
      <c r="Z1642" s="23"/>
      <c r="AA1642" s="3" t="str">
        <f t="shared" si="13"/>
        <v>926_51__vm</v>
      </c>
      <c r="AB1642" s="3" t="str">
        <f t="shared" si="12"/>
        <v>926_51__vm_2</v>
      </c>
      <c r="AD1642" s="3" t="s">
        <v>37</v>
      </c>
    </row>
    <row r="1643" spans="1:30" ht="14">
      <c r="A1643" s="3">
        <v>1642</v>
      </c>
      <c r="B1643" s="23"/>
      <c r="C1643" s="23"/>
      <c r="D1643" s="23"/>
      <c r="E1643" s="23"/>
      <c r="F1643" s="23"/>
      <c r="G1643" s="23"/>
      <c r="H1643" s="23"/>
      <c r="I1643" s="22"/>
      <c r="J1643" s="23"/>
      <c r="K1643" s="23"/>
      <c r="L1643" s="23"/>
      <c r="M1643" s="32" t="s">
        <v>38</v>
      </c>
      <c r="N1643" s="33">
        <v>26</v>
      </c>
      <c r="O1643" s="33">
        <v>0</v>
      </c>
      <c r="P1643" s="33">
        <v>6</v>
      </c>
      <c r="Q1643" s="32">
        <v>0</v>
      </c>
      <c r="R1643" s="33">
        <v>2</v>
      </c>
      <c r="S1643" s="32">
        <v>0</v>
      </c>
      <c r="T1643" s="3">
        <v>0</v>
      </c>
      <c r="U1643" s="3">
        <v>1.142E-2</v>
      </c>
      <c r="V1643" s="3">
        <v>1.553E-2</v>
      </c>
      <c r="W1643" s="3">
        <v>0</v>
      </c>
      <c r="X1643" s="3">
        <v>0</v>
      </c>
      <c r="Y1643" s="23"/>
      <c r="Z1643" s="23"/>
      <c r="AA1643" s="3" t="str">
        <f t="shared" si="13"/>
        <v>___</v>
      </c>
      <c r="AB1643" s="3" t="str">
        <f t="shared" si="12"/>
        <v>____</v>
      </c>
    </row>
    <row r="1644" spans="1:30" ht="14">
      <c r="A1644" s="3">
        <v>1643</v>
      </c>
      <c r="B1644" s="23"/>
      <c r="C1644" s="23"/>
      <c r="D1644" s="23"/>
      <c r="E1644" s="23"/>
      <c r="F1644" s="23"/>
      <c r="G1644" s="23"/>
      <c r="H1644" s="23"/>
      <c r="I1644" s="22"/>
      <c r="J1644" s="23"/>
      <c r="K1644" s="23"/>
      <c r="L1644" s="23"/>
      <c r="M1644" s="32" t="s">
        <v>39</v>
      </c>
      <c r="N1644" s="33">
        <v>41</v>
      </c>
      <c r="O1644" s="33">
        <v>0</v>
      </c>
      <c r="P1644" s="33">
        <v>8</v>
      </c>
      <c r="Q1644" s="32">
        <v>0</v>
      </c>
      <c r="R1644" s="33">
        <v>2</v>
      </c>
      <c r="S1644" s="32">
        <v>0</v>
      </c>
      <c r="T1644" s="3">
        <v>0</v>
      </c>
      <c r="U1644" s="3">
        <v>2.7480000000000001E-2</v>
      </c>
      <c r="V1644" s="3">
        <v>3.4500000000000003E-2</v>
      </c>
      <c r="W1644" s="3">
        <v>0</v>
      </c>
      <c r="X1644" s="3">
        <v>0</v>
      </c>
      <c r="Y1644" s="23"/>
      <c r="Z1644" s="23"/>
      <c r="AA1644" s="3" t="str">
        <f t="shared" si="13"/>
        <v>___</v>
      </c>
      <c r="AB1644" s="3" t="str">
        <f t="shared" si="12"/>
        <v>____</v>
      </c>
    </row>
    <row r="1645" spans="1:30" ht="14">
      <c r="A1645" s="3">
        <v>1644</v>
      </c>
      <c r="B1645" s="23"/>
      <c r="C1645" s="32">
        <v>926</v>
      </c>
      <c r="D1645" s="32">
        <v>51</v>
      </c>
      <c r="E1645" s="23"/>
      <c r="F1645" s="23"/>
      <c r="G1645" s="23"/>
      <c r="H1645" s="32" t="s">
        <v>40</v>
      </c>
      <c r="I1645" s="33">
        <v>3</v>
      </c>
      <c r="J1645" s="32">
        <v>14.5</v>
      </c>
      <c r="K1645" s="32">
        <v>17</v>
      </c>
      <c r="L1645" s="32">
        <v>8</v>
      </c>
      <c r="M1645" s="32" t="s">
        <v>36</v>
      </c>
      <c r="N1645" s="33">
        <v>13</v>
      </c>
      <c r="O1645" s="33">
        <v>5</v>
      </c>
      <c r="P1645" s="33">
        <v>5</v>
      </c>
      <c r="Q1645" s="32">
        <v>0</v>
      </c>
      <c r="R1645" s="33">
        <v>0</v>
      </c>
      <c r="S1645" s="32">
        <v>0</v>
      </c>
      <c r="T1645" s="3">
        <v>1.039E-2</v>
      </c>
      <c r="U1645" s="3">
        <v>3.7200000000000002E-3</v>
      </c>
      <c r="V1645" s="3">
        <v>0</v>
      </c>
      <c r="W1645" s="3">
        <v>0</v>
      </c>
      <c r="X1645" s="3">
        <v>0</v>
      </c>
      <c r="Y1645" s="23"/>
      <c r="Z1645" s="23"/>
      <c r="AA1645" s="3" t="str">
        <f t="shared" si="13"/>
        <v>926_51__vm</v>
      </c>
      <c r="AB1645" s="3" t="str">
        <f t="shared" si="12"/>
        <v>926_51__vm_3</v>
      </c>
      <c r="AD1645" s="3" t="s">
        <v>37</v>
      </c>
    </row>
    <row r="1646" spans="1:30" ht="14">
      <c r="A1646" s="3">
        <v>1645</v>
      </c>
      <c r="B1646" s="23"/>
      <c r="C1646" s="23"/>
      <c r="D1646" s="23"/>
      <c r="E1646" s="23"/>
      <c r="F1646" s="23"/>
      <c r="G1646" s="23"/>
      <c r="H1646" s="23"/>
      <c r="I1646" s="22"/>
      <c r="J1646" s="23"/>
      <c r="K1646" s="23"/>
      <c r="L1646" s="23"/>
      <c r="M1646" s="32" t="s">
        <v>38</v>
      </c>
      <c r="N1646" s="33">
        <v>33</v>
      </c>
      <c r="O1646" s="33">
        <v>0</v>
      </c>
      <c r="P1646" s="33">
        <v>7</v>
      </c>
      <c r="Q1646" s="32">
        <v>0</v>
      </c>
      <c r="R1646" s="33">
        <v>3</v>
      </c>
      <c r="S1646" s="32">
        <v>0</v>
      </c>
      <c r="T1646" s="3">
        <v>0</v>
      </c>
      <c r="U1646" s="3">
        <v>1.669E-2</v>
      </c>
      <c r="V1646" s="3">
        <v>3.1919999999999997E-2</v>
      </c>
      <c r="W1646" s="3">
        <v>0</v>
      </c>
      <c r="X1646" s="3">
        <v>0</v>
      </c>
      <c r="Y1646" s="32" t="s">
        <v>225</v>
      </c>
      <c r="Z1646" s="23"/>
      <c r="AA1646" s="3" t="str">
        <f t="shared" si="13"/>
        <v>___</v>
      </c>
      <c r="AB1646" s="3" t="str">
        <f t="shared" si="12"/>
        <v>____</v>
      </c>
    </row>
    <row r="1647" spans="1:30" ht="14">
      <c r="A1647" s="3">
        <v>1646</v>
      </c>
      <c r="B1647" s="23"/>
      <c r="C1647" s="23"/>
      <c r="D1647" s="23"/>
      <c r="E1647" s="23"/>
      <c r="F1647" s="23"/>
      <c r="G1647" s="23"/>
      <c r="H1647" s="23"/>
      <c r="I1647" s="22"/>
      <c r="J1647" s="23"/>
      <c r="K1647" s="23"/>
      <c r="L1647" s="23"/>
      <c r="M1647" s="32" t="s">
        <v>39</v>
      </c>
      <c r="N1647" s="33">
        <v>51</v>
      </c>
      <c r="O1647" s="33">
        <v>0</v>
      </c>
      <c r="P1647" s="33">
        <v>7</v>
      </c>
      <c r="Q1647" s="32">
        <v>0</v>
      </c>
      <c r="R1647" s="33">
        <v>1</v>
      </c>
      <c r="S1647" s="32">
        <v>0</v>
      </c>
      <c r="T1647" s="3">
        <v>2.9100000000000001E-2</v>
      </c>
      <c r="U1647" s="3">
        <v>3.8269999999999998E-2</v>
      </c>
      <c r="V1647" s="3">
        <v>0</v>
      </c>
      <c r="W1647" s="3">
        <v>0</v>
      </c>
      <c r="X1647" s="3">
        <v>0</v>
      </c>
      <c r="Y1647" s="23"/>
      <c r="Z1647" s="23"/>
      <c r="AA1647" s="3" t="str">
        <f t="shared" si="13"/>
        <v>___</v>
      </c>
      <c r="AB1647" s="3" t="str">
        <f t="shared" si="12"/>
        <v>____</v>
      </c>
    </row>
    <row r="1648" spans="1:30" ht="14">
      <c r="A1648" s="3">
        <v>1647</v>
      </c>
      <c r="B1648" s="23"/>
      <c r="C1648" s="32">
        <v>926</v>
      </c>
      <c r="D1648" s="32">
        <v>64</v>
      </c>
      <c r="E1648" s="23"/>
      <c r="F1648" s="23"/>
      <c r="G1648" s="23"/>
      <c r="H1648" s="32" t="s">
        <v>35</v>
      </c>
      <c r="I1648" s="33">
        <v>1</v>
      </c>
      <c r="J1648" s="32">
        <v>14.3</v>
      </c>
      <c r="K1648" s="32">
        <v>10.8</v>
      </c>
      <c r="L1648" s="32">
        <v>4</v>
      </c>
      <c r="M1648" s="32" t="s">
        <v>36</v>
      </c>
      <c r="N1648" s="33">
        <v>37</v>
      </c>
      <c r="O1648" s="33">
        <v>8</v>
      </c>
      <c r="P1648" s="33">
        <v>8</v>
      </c>
      <c r="Q1648" s="32">
        <v>0</v>
      </c>
      <c r="R1648" s="33">
        <v>0</v>
      </c>
      <c r="S1648" s="32">
        <v>0</v>
      </c>
      <c r="T1648" s="3">
        <v>2.9010000000000001E-2</v>
      </c>
      <c r="U1648" s="3">
        <v>7.8899999999999994E-3</v>
      </c>
      <c r="V1648" s="3">
        <v>0</v>
      </c>
      <c r="W1648" s="3">
        <v>0</v>
      </c>
      <c r="X1648" s="3">
        <v>0</v>
      </c>
      <c r="Y1648" s="23"/>
      <c r="Z1648" s="23"/>
      <c r="AA1648" s="3" t="str">
        <f t="shared" si="13"/>
        <v>926_64__vv</v>
      </c>
      <c r="AB1648" s="3" t="str">
        <f t="shared" si="12"/>
        <v>926_64__vv_1</v>
      </c>
      <c r="AD1648" s="3" t="s">
        <v>37</v>
      </c>
    </row>
    <row r="1649" spans="1:30" ht="14">
      <c r="A1649" s="3">
        <v>1648</v>
      </c>
      <c r="B1649" s="23"/>
      <c r="C1649" s="23"/>
      <c r="D1649" s="23"/>
      <c r="E1649" s="23"/>
      <c r="F1649" s="23"/>
      <c r="G1649" s="23"/>
      <c r="H1649" s="23"/>
      <c r="I1649" s="22"/>
      <c r="J1649" s="23"/>
      <c r="K1649" s="23"/>
      <c r="L1649" s="23"/>
      <c r="M1649" s="32" t="s">
        <v>38</v>
      </c>
      <c r="N1649" s="33">
        <v>37</v>
      </c>
      <c r="O1649" s="33">
        <v>2</v>
      </c>
      <c r="P1649" s="33">
        <v>5</v>
      </c>
      <c r="Q1649" s="32">
        <v>0</v>
      </c>
      <c r="R1649" s="33">
        <v>0</v>
      </c>
      <c r="S1649" s="32">
        <v>0</v>
      </c>
      <c r="T1649" s="3">
        <v>2.2899999999999999E-3</v>
      </c>
      <c r="U1649" s="3">
        <v>9.3200000000000002E-3</v>
      </c>
      <c r="V1649" s="3">
        <v>0</v>
      </c>
      <c r="W1649" s="3">
        <v>0</v>
      </c>
      <c r="X1649" s="3">
        <v>0</v>
      </c>
      <c r="Y1649" s="23"/>
      <c r="Z1649" s="23"/>
      <c r="AA1649" s="3" t="str">
        <f t="shared" si="13"/>
        <v>___</v>
      </c>
      <c r="AB1649" s="3" t="str">
        <f t="shared" si="12"/>
        <v>____</v>
      </c>
    </row>
    <row r="1650" spans="1:30" ht="14">
      <c r="A1650" s="3">
        <v>1649</v>
      </c>
      <c r="B1650" s="23"/>
      <c r="C1650" s="23"/>
      <c r="D1650" s="23"/>
      <c r="E1650" s="23"/>
      <c r="F1650" s="23"/>
      <c r="G1650" s="23"/>
      <c r="H1650" s="23"/>
      <c r="I1650" s="22"/>
      <c r="J1650" s="23"/>
      <c r="K1650" s="23"/>
      <c r="L1650" s="23"/>
      <c r="M1650" s="32" t="s">
        <v>39</v>
      </c>
      <c r="N1650" s="33">
        <v>39</v>
      </c>
      <c r="O1650" s="33">
        <v>0</v>
      </c>
      <c r="P1650" s="33">
        <v>9</v>
      </c>
      <c r="Q1650" s="32">
        <v>1</v>
      </c>
      <c r="R1650" s="33">
        <v>1</v>
      </c>
      <c r="S1650" s="32">
        <v>0</v>
      </c>
      <c r="T1650" s="3">
        <v>0</v>
      </c>
      <c r="U1650" s="3">
        <v>2.5780000000000001E-2</v>
      </c>
      <c r="V1650" s="3">
        <v>0.11443</v>
      </c>
      <c r="W1650" s="3">
        <v>0</v>
      </c>
      <c r="X1650" s="3">
        <v>0</v>
      </c>
      <c r="Y1650" s="23"/>
      <c r="Z1650" s="23"/>
      <c r="AA1650" s="3" t="str">
        <f t="shared" si="13"/>
        <v>___</v>
      </c>
      <c r="AB1650" s="3" t="str">
        <f t="shared" si="12"/>
        <v>____</v>
      </c>
    </row>
    <row r="1651" spans="1:30" ht="14">
      <c r="A1651" s="3">
        <v>1650</v>
      </c>
      <c r="B1651" s="23"/>
      <c r="C1651" s="32">
        <v>926</v>
      </c>
      <c r="D1651" s="32">
        <v>64</v>
      </c>
      <c r="E1651" s="23"/>
      <c r="F1651" s="23"/>
      <c r="G1651" s="23"/>
      <c r="H1651" s="32" t="s">
        <v>35</v>
      </c>
      <c r="I1651" s="33">
        <v>2</v>
      </c>
      <c r="J1651" s="32">
        <v>13.8</v>
      </c>
      <c r="K1651" s="32">
        <v>18.7</v>
      </c>
      <c r="L1651" s="32">
        <v>7</v>
      </c>
      <c r="M1651" s="32" t="s">
        <v>36</v>
      </c>
      <c r="N1651" s="33">
        <v>22</v>
      </c>
      <c r="O1651" s="33">
        <v>11</v>
      </c>
      <c r="P1651" s="33">
        <v>11</v>
      </c>
      <c r="Q1651" s="32">
        <v>0</v>
      </c>
      <c r="R1651" s="33">
        <v>0</v>
      </c>
      <c r="S1651" s="32">
        <v>0</v>
      </c>
      <c r="T1651" s="3">
        <v>6.5699999999999995E-2</v>
      </c>
      <c r="U1651" s="3">
        <v>6.1000000000000004E-3</v>
      </c>
      <c r="V1651" s="3">
        <v>0</v>
      </c>
      <c r="W1651" s="3">
        <v>0</v>
      </c>
      <c r="X1651" s="3">
        <v>0</v>
      </c>
      <c r="Y1651" s="23"/>
      <c r="Z1651" s="23"/>
      <c r="AA1651" s="3" t="str">
        <f t="shared" si="13"/>
        <v>926_64__vv</v>
      </c>
      <c r="AB1651" s="3" t="str">
        <f t="shared" si="12"/>
        <v>926_64__vv_2</v>
      </c>
      <c r="AD1651" s="3" t="s">
        <v>37</v>
      </c>
    </row>
    <row r="1652" spans="1:30" ht="14">
      <c r="A1652" s="3">
        <v>1651</v>
      </c>
      <c r="B1652" s="23"/>
      <c r="C1652" s="23"/>
      <c r="D1652" s="23"/>
      <c r="E1652" s="23"/>
      <c r="F1652" s="23"/>
      <c r="G1652" s="23"/>
      <c r="H1652" s="23"/>
      <c r="I1652" s="22"/>
      <c r="J1652" s="23"/>
      <c r="K1652" s="23"/>
      <c r="L1652" s="23"/>
      <c r="M1652" s="32" t="s">
        <v>38</v>
      </c>
      <c r="N1652" s="33">
        <v>27</v>
      </c>
      <c r="O1652" s="33">
        <v>7</v>
      </c>
      <c r="P1652" s="33">
        <v>9</v>
      </c>
      <c r="Q1652" s="32">
        <v>1</v>
      </c>
      <c r="R1652" s="33">
        <v>1</v>
      </c>
      <c r="S1652" s="32">
        <v>0</v>
      </c>
      <c r="T1652" s="3">
        <v>7.3770000000000002E-2</v>
      </c>
      <c r="U1652" s="3">
        <v>5.0499999999999998E-3</v>
      </c>
      <c r="V1652" s="3">
        <v>1.941E-2</v>
      </c>
      <c r="W1652" s="3">
        <v>0</v>
      </c>
      <c r="X1652" s="3">
        <v>0</v>
      </c>
      <c r="Y1652" s="23"/>
      <c r="Z1652" s="23"/>
      <c r="AA1652" s="3" t="str">
        <f t="shared" si="13"/>
        <v>___</v>
      </c>
      <c r="AB1652" s="3" t="str">
        <f t="shared" si="12"/>
        <v>____</v>
      </c>
    </row>
    <row r="1653" spans="1:30" ht="14">
      <c r="A1653" s="3">
        <v>1652</v>
      </c>
      <c r="B1653" s="23"/>
      <c r="C1653" s="23"/>
      <c r="D1653" s="23"/>
      <c r="E1653" s="23"/>
      <c r="F1653" s="23"/>
      <c r="G1653" s="23"/>
      <c r="H1653" s="23"/>
      <c r="I1653" s="22"/>
      <c r="J1653" s="23"/>
      <c r="K1653" s="23"/>
      <c r="L1653" s="23"/>
      <c r="M1653" s="32" t="s">
        <v>39</v>
      </c>
      <c r="N1653" s="33">
        <v>47</v>
      </c>
      <c r="O1653" s="33">
        <v>9</v>
      </c>
      <c r="P1653" s="33">
        <v>13</v>
      </c>
      <c r="Q1653" s="32">
        <v>0</v>
      </c>
      <c r="R1653" s="33">
        <v>0</v>
      </c>
      <c r="S1653" s="32">
        <v>0</v>
      </c>
      <c r="T1653" s="3">
        <v>0.11990000000000001</v>
      </c>
      <c r="U1653" s="3">
        <v>2.6669999999999999E-2</v>
      </c>
      <c r="V1653" s="3">
        <v>0</v>
      </c>
      <c r="W1653" s="3">
        <v>0</v>
      </c>
      <c r="X1653" s="3">
        <v>0</v>
      </c>
      <c r="Y1653" s="23"/>
      <c r="Z1653" s="23"/>
      <c r="AA1653" s="3" t="str">
        <f t="shared" si="13"/>
        <v>___</v>
      </c>
      <c r="AB1653" s="3" t="str">
        <f t="shared" si="12"/>
        <v>____</v>
      </c>
    </row>
    <row r="1654" spans="1:30" ht="14">
      <c r="A1654" s="3">
        <v>1653</v>
      </c>
      <c r="B1654" s="23"/>
      <c r="C1654" s="32">
        <v>926</v>
      </c>
      <c r="D1654" s="32">
        <v>64</v>
      </c>
      <c r="E1654" s="23"/>
      <c r="F1654" s="23"/>
      <c r="G1654" s="23"/>
      <c r="H1654" s="32" t="s">
        <v>35</v>
      </c>
      <c r="I1654" s="33">
        <v>3</v>
      </c>
      <c r="J1654" s="32">
        <v>8</v>
      </c>
      <c r="K1654" s="32">
        <v>9.6</v>
      </c>
      <c r="L1654" s="32">
        <v>4</v>
      </c>
      <c r="M1654" s="32" t="s">
        <v>36</v>
      </c>
      <c r="N1654" s="33">
        <v>27</v>
      </c>
      <c r="O1654" s="33">
        <v>9</v>
      </c>
      <c r="P1654" s="33">
        <v>11</v>
      </c>
      <c r="Q1654" s="32">
        <v>0</v>
      </c>
      <c r="R1654" s="33">
        <v>0</v>
      </c>
      <c r="S1654" s="32">
        <v>0</v>
      </c>
      <c r="T1654" s="3">
        <v>3.322E-2</v>
      </c>
      <c r="U1654" s="3">
        <v>5.8399999999999997E-3</v>
      </c>
      <c r="V1654" s="3">
        <v>0</v>
      </c>
      <c r="W1654" s="3">
        <v>0</v>
      </c>
      <c r="X1654" s="3">
        <v>0</v>
      </c>
      <c r="Y1654" s="23"/>
      <c r="Z1654" s="23"/>
      <c r="AA1654" s="3" t="str">
        <f t="shared" si="13"/>
        <v>926_64__vv</v>
      </c>
      <c r="AB1654" s="3" t="str">
        <f t="shared" si="12"/>
        <v>926_64__vv_3</v>
      </c>
      <c r="AD1654" s="3" t="s">
        <v>37</v>
      </c>
    </row>
    <row r="1655" spans="1:30" ht="14">
      <c r="A1655" s="3">
        <v>1654</v>
      </c>
      <c r="B1655" s="23"/>
      <c r="C1655" s="23"/>
      <c r="D1655" s="23"/>
      <c r="E1655" s="23"/>
      <c r="F1655" s="23"/>
      <c r="G1655" s="23"/>
      <c r="H1655" s="23"/>
      <c r="I1655" s="22"/>
      <c r="J1655" s="23"/>
      <c r="K1655" s="23"/>
      <c r="L1655" s="23"/>
      <c r="M1655" s="32" t="s">
        <v>38</v>
      </c>
      <c r="N1655" s="33">
        <v>43</v>
      </c>
      <c r="O1655" s="33">
        <v>2</v>
      </c>
      <c r="P1655" s="33">
        <v>7</v>
      </c>
      <c r="Q1655" s="32">
        <v>0</v>
      </c>
      <c r="R1655" s="33">
        <v>0</v>
      </c>
      <c r="S1655" s="32">
        <v>0</v>
      </c>
      <c r="T1655" s="3">
        <v>1.162E-2</v>
      </c>
      <c r="U1655" s="3">
        <v>1.5810000000000001E-2</v>
      </c>
      <c r="V1655" s="3">
        <v>0</v>
      </c>
      <c r="W1655" s="3">
        <v>0</v>
      </c>
      <c r="X1655" s="3">
        <v>0</v>
      </c>
      <c r="Y1655" s="23"/>
      <c r="Z1655" s="23"/>
      <c r="AA1655" s="3" t="str">
        <f t="shared" si="13"/>
        <v>___</v>
      </c>
      <c r="AB1655" s="3" t="str">
        <f t="shared" si="12"/>
        <v>____</v>
      </c>
    </row>
    <row r="1656" spans="1:30" ht="14">
      <c r="A1656" s="3">
        <v>1655</v>
      </c>
      <c r="B1656" s="23"/>
      <c r="C1656" s="23"/>
      <c r="D1656" s="23"/>
      <c r="E1656" s="23"/>
      <c r="F1656" s="23"/>
      <c r="G1656" s="23"/>
      <c r="H1656" s="23"/>
      <c r="I1656" s="22"/>
      <c r="J1656" s="23"/>
      <c r="K1656" s="23"/>
      <c r="L1656" s="23"/>
      <c r="M1656" s="32" t="s">
        <v>39</v>
      </c>
      <c r="N1656" s="33">
        <v>19</v>
      </c>
      <c r="O1656" s="33">
        <v>0</v>
      </c>
      <c r="P1656" s="33">
        <v>6</v>
      </c>
      <c r="Q1656" s="32">
        <v>0</v>
      </c>
      <c r="R1656" s="33">
        <v>0</v>
      </c>
      <c r="S1656" s="32">
        <v>0</v>
      </c>
      <c r="T1656" s="3">
        <v>0</v>
      </c>
      <c r="U1656" s="3">
        <v>4.8199999999999996E-3</v>
      </c>
      <c r="V1656" s="3">
        <v>0</v>
      </c>
      <c r="W1656" s="3">
        <v>0</v>
      </c>
      <c r="X1656" s="3">
        <v>0</v>
      </c>
      <c r="Y1656" s="23"/>
      <c r="Z1656" s="23"/>
      <c r="AA1656" s="3" t="str">
        <f t="shared" si="13"/>
        <v>___</v>
      </c>
      <c r="AB1656" s="3" t="str">
        <f t="shared" si="12"/>
        <v>____</v>
      </c>
    </row>
    <row r="1657" spans="1:30" ht="14">
      <c r="A1657" s="3">
        <v>1656</v>
      </c>
      <c r="B1657" s="23"/>
      <c r="C1657" s="32">
        <v>926</v>
      </c>
      <c r="D1657" s="32">
        <v>64</v>
      </c>
      <c r="E1657" s="23"/>
      <c r="F1657" s="23"/>
      <c r="G1657" s="23"/>
      <c r="H1657" s="32" t="s">
        <v>40</v>
      </c>
      <c r="I1657" s="33">
        <v>1</v>
      </c>
      <c r="J1657" s="32">
        <v>14.4</v>
      </c>
      <c r="K1657" s="32">
        <v>20.5</v>
      </c>
      <c r="L1657" s="32">
        <v>7</v>
      </c>
      <c r="M1657" s="32" t="s">
        <v>36</v>
      </c>
      <c r="N1657" s="33">
        <v>19</v>
      </c>
      <c r="O1657" s="33">
        <v>5</v>
      </c>
      <c r="P1657" s="33">
        <v>5</v>
      </c>
      <c r="Q1657" s="32">
        <v>0</v>
      </c>
      <c r="R1657" s="33">
        <v>0</v>
      </c>
      <c r="S1657" s="32">
        <v>0</v>
      </c>
      <c r="T1657" s="3">
        <v>1.636E-2</v>
      </c>
      <c r="U1657" s="3">
        <v>4.2599999999999999E-3</v>
      </c>
      <c r="V1657" s="3">
        <v>0</v>
      </c>
      <c r="W1657" s="3">
        <v>0</v>
      </c>
      <c r="X1657" s="3">
        <v>0</v>
      </c>
      <c r="Y1657" s="23"/>
      <c r="Z1657" s="23"/>
      <c r="AA1657" s="3" t="str">
        <f t="shared" si="13"/>
        <v>926_64__vm</v>
      </c>
      <c r="AB1657" s="3" t="str">
        <f t="shared" si="12"/>
        <v>926_64__vm_1</v>
      </c>
      <c r="AD1657" s="3" t="s">
        <v>37</v>
      </c>
    </row>
    <row r="1658" spans="1:30" ht="14">
      <c r="A1658" s="3">
        <v>1657</v>
      </c>
      <c r="B1658" s="23"/>
      <c r="C1658" s="23"/>
      <c r="D1658" s="23"/>
      <c r="E1658" s="23"/>
      <c r="F1658" s="23"/>
      <c r="G1658" s="23"/>
      <c r="H1658" s="23"/>
      <c r="I1658" s="22"/>
      <c r="J1658" s="23"/>
      <c r="K1658" s="23"/>
      <c r="L1658" s="23"/>
      <c r="M1658" s="32" t="s">
        <v>38</v>
      </c>
      <c r="N1658" s="33">
        <v>19</v>
      </c>
      <c r="O1658" s="33">
        <v>0</v>
      </c>
      <c r="P1658" s="33">
        <v>2</v>
      </c>
      <c r="Q1658" s="32">
        <v>1</v>
      </c>
      <c r="R1658" s="33">
        <v>1</v>
      </c>
      <c r="S1658" s="32">
        <v>0</v>
      </c>
      <c r="T1658" s="3">
        <v>0</v>
      </c>
      <c r="U1658" s="3">
        <v>5.6699999999999997E-3</v>
      </c>
      <c r="V1658" s="3">
        <v>7.7299999999999999E-3</v>
      </c>
      <c r="W1658" s="3">
        <v>0</v>
      </c>
      <c r="X1658" s="3">
        <v>0</v>
      </c>
      <c r="Y1658" s="23"/>
      <c r="Z1658" s="23"/>
      <c r="AA1658" s="3" t="str">
        <f t="shared" si="13"/>
        <v>___</v>
      </c>
      <c r="AB1658" s="3" t="str">
        <f t="shared" si="12"/>
        <v>____</v>
      </c>
    </row>
    <row r="1659" spans="1:30" ht="14">
      <c r="A1659" s="3">
        <v>1658</v>
      </c>
      <c r="B1659" s="23"/>
      <c r="C1659" s="23"/>
      <c r="D1659" s="23"/>
      <c r="E1659" s="23"/>
      <c r="F1659" s="23"/>
      <c r="G1659" s="23"/>
      <c r="H1659" s="23"/>
      <c r="I1659" s="22"/>
      <c r="J1659" s="23"/>
      <c r="K1659" s="23"/>
      <c r="L1659" s="23"/>
      <c r="M1659" s="32" t="s">
        <v>39</v>
      </c>
      <c r="N1659" s="33">
        <v>24</v>
      </c>
      <c r="O1659" s="33">
        <v>0</v>
      </c>
      <c r="P1659" s="33">
        <v>2</v>
      </c>
      <c r="Q1659" s="32">
        <v>2</v>
      </c>
      <c r="R1659" s="33">
        <v>2</v>
      </c>
      <c r="S1659" s="32">
        <v>0</v>
      </c>
      <c r="T1659" s="3">
        <v>0</v>
      </c>
      <c r="U1659" s="3">
        <v>1.0279999999999999E-2</v>
      </c>
      <c r="V1659" s="3">
        <v>3.347E-2</v>
      </c>
      <c r="W1659" s="3">
        <v>0</v>
      </c>
      <c r="X1659" s="3">
        <v>0</v>
      </c>
      <c r="Y1659" s="23"/>
      <c r="Z1659" s="23"/>
      <c r="AA1659" s="3" t="str">
        <f t="shared" si="13"/>
        <v>___</v>
      </c>
      <c r="AB1659" s="3" t="str">
        <f t="shared" si="12"/>
        <v>____</v>
      </c>
    </row>
    <row r="1660" spans="1:30" ht="14">
      <c r="A1660" s="3">
        <v>1659</v>
      </c>
      <c r="B1660" s="23"/>
      <c r="C1660" s="32">
        <v>926</v>
      </c>
      <c r="D1660" s="32">
        <v>64</v>
      </c>
      <c r="E1660" s="23"/>
      <c r="F1660" s="23"/>
      <c r="G1660" s="23"/>
      <c r="H1660" s="32" t="s">
        <v>40</v>
      </c>
      <c r="I1660" s="33">
        <v>2</v>
      </c>
      <c r="J1660" s="32">
        <v>16.399999999999999</v>
      </c>
      <c r="K1660" s="32">
        <v>20.9</v>
      </c>
      <c r="L1660" s="32">
        <v>5</v>
      </c>
      <c r="M1660" s="32" t="s">
        <v>36</v>
      </c>
      <c r="N1660" s="33">
        <v>18</v>
      </c>
      <c r="O1660" s="33">
        <v>4</v>
      </c>
      <c r="P1660" s="33">
        <v>4</v>
      </c>
      <c r="Q1660" s="32">
        <v>0</v>
      </c>
      <c r="R1660" s="33">
        <v>0</v>
      </c>
      <c r="S1660" s="32">
        <v>0</v>
      </c>
      <c r="T1660" s="3">
        <v>1.5820000000000001E-2</v>
      </c>
      <c r="U1660" s="3">
        <v>4.1599999999999996E-3</v>
      </c>
      <c r="V1660" s="3">
        <v>0</v>
      </c>
      <c r="W1660" s="3">
        <v>0</v>
      </c>
      <c r="X1660" s="3">
        <v>0</v>
      </c>
      <c r="Y1660" s="23"/>
      <c r="Z1660" s="23"/>
      <c r="AA1660" s="3" t="str">
        <f t="shared" si="13"/>
        <v>926_64__vm</v>
      </c>
      <c r="AB1660" s="3" t="str">
        <f t="shared" si="12"/>
        <v>926_64__vm_2</v>
      </c>
      <c r="AD1660" s="3" t="s">
        <v>37</v>
      </c>
    </row>
    <row r="1661" spans="1:30" ht="14">
      <c r="A1661" s="3">
        <v>1660</v>
      </c>
      <c r="B1661" s="23"/>
      <c r="C1661" s="23"/>
      <c r="D1661" s="23"/>
      <c r="E1661" s="23"/>
      <c r="F1661" s="23"/>
      <c r="G1661" s="23"/>
      <c r="H1661" s="23"/>
      <c r="I1661" s="22"/>
      <c r="J1661" s="23"/>
      <c r="K1661" s="23"/>
      <c r="L1661" s="23"/>
      <c r="M1661" s="32" t="s">
        <v>38</v>
      </c>
      <c r="N1661" s="33">
        <v>34</v>
      </c>
      <c r="O1661" s="33">
        <v>0</v>
      </c>
      <c r="P1661" s="33">
        <v>3</v>
      </c>
      <c r="Q1661" s="32">
        <v>3</v>
      </c>
      <c r="R1661" s="33">
        <v>3</v>
      </c>
      <c r="S1661" s="32">
        <v>0</v>
      </c>
      <c r="T1661" s="3">
        <v>0</v>
      </c>
      <c r="U1661" s="3">
        <v>1.5699999999999999E-2</v>
      </c>
      <c r="V1661" s="3">
        <v>2.163E-2</v>
      </c>
      <c r="W1661" s="3">
        <v>0</v>
      </c>
      <c r="X1661" s="3">
        <v>0</v>
      </c>
      <c r="Y1661" s="23"/>
      <c r="Z1661" s="23"/>
      <c r="AA1661" s="3" t="str">
        <f t="shared" si="13"/>
        <v>___</v>
      </c>
      <c r="AB1661" s="3" t="str">
        <f t="shared" si="12"/>
        <v>____</v>
      </c>
    </row>
    <row r="1662" spans="1:30" ht="14">
      <c r="A1662" s="3">
        <v>1661</v>
      </c>
      <c r="B1662" s="23"/>
      <c r="C1662" s="23"/>
      <c r="D1662" s="23"/>
      <c r="E1662" s="23"/>
      <c r="F1662" s="23"/>
      <c r="G1662" s="23"/>
      <c r="H1662" s="23"/>
      <c r="I1662" s="22"/>
      <c r="J1662" s="23"/>
      <c r="K1662" s="23"/>
      <c r="L1662" s="23"/>
      <c r="M1662" s="32" t="s">
        <v>39</v>
      </c>
      <c r="N1662" s="33">
        <v>40</v>
      </c>
      <c r="O1662" s="33">
        <v>0</v>
      </c>
      <c r="P1662" s="33">
        <v>3</v>
      </c>
      <c r="Q1662" s="32">
        <v>2</v>
      </c>
      <c r="R1662" s="33">
        <v>2</v>
      </c>
      <c r="S1662" s="32">
        <v>0</v>
      </c>
      <c r="T1662" s="3">
        <v>0</v>
      </c>
      <c r="U1662" s="3">
        <v>3.227E-2</v>
      </c>
      <c r="V1662" s="3">
        <v>7.0319999999999994E-2</v>
      </c>
      <c r="W1662" s="3">
        <v>0</v>
      </c>
      <c r="X1662" s="3">
        <v>0</v>
      </c>
      <c r="Y1662" s="23"/>
      <c r="Z1662" s="23"/>
      <c r="AA1662" s="3" t="str">
        <f t="shared" si="13"/>
        <v>___</v>
      </c>
      <c r="AB1662" s="3" t="str">
        <f t="shared" si="12"/>
        <v>____</v>
      </c>
    </row>
    <row r="1663" spans="1:30" ht="14">
      <c r="A1663" s="3">
        <v>1662</v>
      </c>
      <c r="B1663" s="23"/>
      <c r="C1663" s="32">
        <v>925</v>
      </c>
      <c r="D1663" s="32">
        <v>64</v>
      </c>
      <c r="E1663" s="23"/>
      <c r="F1663" s="23"/>
      <c r="G1663" s="23"/>
      <c r="H1663" s="32" t="s">
        <v>40</v>
      </c>
      <c r="I1663" s="33">
        <v>3</v>
      </c>
      <c r="J1663" s="32">
        <v>14.8</v>
      </c>
      <c r="K1663" s="32">
        <v>14.8</v>
      </c>
      <c r="L1663" s="32">
        <v>8</v>
      </c>
      <c r="M1663" s="32" t="s">
        <v>36</v>
      </c>
      <c r="N1663" s="33">
        <v>9</v>
      </c>
      <c r="O1663" s="33">
        <v>4</v>
      </c>
      <c r="P1663" s="33">
        <v>4</v>
      </c>
      <c r="Q1663" s="32">
        <v>0</v>
      </c>
      <c r="R1663" s="33">
        <v>0</v>
      </c>
      <c r="S1663" s="32">
        <v>0</v>
      </c>
      <c r="T1663" s="3">
        <v>1.077E-2</v>
      </c>
      <c r="U1663" s="3">
        <v>2.2000000000000001E-3</v>
      </c>
      <c r="V1663" s="3">
        <v>0</v>
      </c>
      <c r="W1663" s="3">
        <v>0</v>
      </c>
      <c r="X1663" s="3">
        <v>0</v>
      </c>
      <c r="Y1663" s="32"/>
      <c r="Z1663" s="23"/>
      <c r="AA1663" s="3" t="str">
        <f t="shared" si="13"/>
        <v>925_64__vm</v>
      </c>
      <c r="AB1663" s="3" t="str">
        <f t="shared" si="12"/>
        <v>925_64__vm_3</v>
      </c>
    </row>
    <row r="1664" spans="1:30" ht="14">
      <c r="A1664" s="3">
        <v>1663</v>
      </c>
      <c r="B1664" s="23"/>
      <c r="C1664" s="23"/>
      <c r="D1664" s="23"/>
      <c r="E1664" s="23"/>
      <c r="F1664" s="23"/>
      <c r="G1664" s="23"/>
      <c r="H1664" s="23"/>
      <c r="I1664" s="22"/>
      <c r="J1664" s="23"/>
      <c r="K1664" s="23"/>
      <c r="L1664" s="23"/>
      <c r="M1664" s="32" t="s">
        <v>38</v>
      </c>
      <c r="N1664" s="33">
        <v>17</v>
      </c>
      <c r="O1664" s="33">
        <v>0</v>
      </c>
      <c r="P1664" s="33">
        <v>2</v>
      </c>
      <c r="Q1664" s="32">
        <v>2</v>
      </c>
      <c r="R1664" s="33">
        <v>2</v>
      </c>
      <c r="S1664" s="32">
        <v>0</v>
      </c>
      <c r="T1664" s="3">
        <v>0</v>
      </c>
      <c r="U1664" s="3">
        <v>8.3099999999999997E-3</v>
      </c>
      <c r="V1664" s="3">
        <v>1.8939999999999999E-2</v>
      </c>
      <c r="W1664" s="3">
        <v>0</v>
      </c>
      <c r="X1664" s="3">
        <v>0</v>
      </c>
      <c r="Y1664" s="23"/>
      <c r="Z1664" s="23"/>
      <c r="AA1664" s="3" t="str">
        <f t="shared" si="13"/>
        <v>___</v>
      </c>
      <c r="AB1664" s="3" t="str">
        <f t="shared" si="12"/>
        <v>____</v>
      </c>
    </row>
    <row r="1665" spans="1:30" ht="14">
      <c r="A1665" s="3">
        <v>1664</v>
      </c>
      <c r="B1665" s="23"/>
      <c r="C1665" s="23"/>
      <c r="D1665" s="23"/>
      <c r="E1665" s="23"/>
      <c r="F1665" s="23"/>
      <c r="G1665" s="23"/>
      <c r="H1665" s="23"/>
      <c r="I1665" s="22"/>
      <c r="J1665" s="23"/>
      <c r="K1665" s="23"/>
      <c r="L1665" s="23"/>
      <c r="M1665" s="32" t="s">
        <v>39</v>
      </c>
      <c r="N1665" s="33">
        <v>8</v>
      </c>
      <c r="O1665" s="33">
        <v>0</v>
      </c>
      <c r="P1665" s="33">
        <v>2</v>
      </c>
      <c r="Q1665" s="32">
        <v>0</v>
      </c>
      <c r="R1665" s="33">
        <v>0</v>
      </c>
      <c r="S1665" s="32">
        <v>0</v>
      </c>
      <c r="T1665" s="3">
        <v>0</v>
      </c>
      <c r="U1665" s="3">
        <v>2.66E-3</v>
      </c>
      <c r="V1665" s="3">
        <v>0</v>
      </c>
      <c r="W1665" s="3">
        <v>0</v>
      </c>
      <c r="X1665" s="3">
        <v>0</v>
      </c>
      <c r="Y1665" s="23"/>
      <c r="Z1665" s="23"/>
      <c r="AA1665" s="3" t="str">
        <f t="shared" si="13"/>
        <v>___</v>
      </c>
      <c r="AB1665" s="3" t="str">
        <f t="shared" si="12"/>
        <v>____</v>
      </c>
    </row>
    <row r="1666" spans="1:30" ht="14">
      <c r="A1666" s="3">
        <v>1665</v>
      </c>
      <c r="B1666" s="23"/>
      <c r="C1666" s="32">
        <v>926</v>
      </c>
      <c r="D1666" s="32">
        <v>46</v>
      </c>
      <c r="E1666" s="23"/>
      <c r="F1666" s="23"/>
      <c r="G1666" s="23"/>
      <c r="H1666" s="32" t="s">
        <v>40</v>
      </c>
      <c r="I1666" s="33">
        <v>1</v>
      </c>
      <c r="J1666" s="32">
        <v>13.8</v>
      </c>
      <c r="K1666" s="32">
        <v>14.3</v>
      </c>
      <c r="L1666" s="32">
        <v>5</v>
      </c>
      <c r="M1666" s="32" t="s">
        <v>36</v>
      </c>
      <c r="N1666" s="33">
        <v>19</v>
      </c>
      <c r="O1666" s="33">
        <v>3</v>
      </c>
      <c r="P1666" s="33">
        <v>4</v>
      </c>
      <c r="Q1666" s="32">
        <v>0</v>
      </c>
      <c r="R1666" s="33">
        <v>0</v>
      </c>
      <c r="S1666" s="32">
        <v>0</v>
      </c>
      <c r="T1666" s="3">
        <v>1.0970000000000001E-2</v>
      </c>
      <c r="U1666" s="3">
        <v>4.3499999999999997E-3</v>
      </c>
      <c r="V1666" s="3">
        <v>0</v>
      </c>
      <c r="W1666" s="3">
        <v>0</v>
      </c>
      <c r="X1666" s="3">
        <v>0</v>
      </c>
      <c r="Y1666" s="23"/>
      <c r="Z1666" s="23"/>
      <c r="AA1666" s="3" t="str">
        <f t="shared" si="13"/>
        <v>926_46__vm</v>
      </c>
      <c r="AB1666" s="3" t="str">
        <f t="shared" si="12"/>
        <v>926_46__vm_1</v>
      </c>
      <c r="AD1666" s="3" t="s">
        <v>37</v>
      </c>
    </row>
    <row r="1667" spans="1:30" ht="14">
      <c r="A1667" s="3">
        <v>1666</v>
      </c>
      <c r="B1667" s="23"/>
      <c r="C1667" s="23"/>
      <c r="D1667" s="23"/>
      <c r="E1667" s="23"/>
      <c r="F1667" s="23"/>
      <c r="G1667" s="23"/>
      <c r="H1667" s="23"/>
      <c r="I1667" s="22"/>
      <c r="J1667" s="23"/>
      <c r="K1667" s="23"/>
      <c r="L1667" s="23"/>
      <c r="M1667" s="32" t="s">
        <v>38</v>
      </c>
      <c r="N1667" s="33">
        <v>39</v>
      </c>
      <c r="O1667" s="33">
        <v>0</v>
      </c>
      <c r="P1667" s="33">
        <v>8</v>
      </c>
      <c r="Q1667" s="32">
        <v>0</v>
      </c>
      <c r="R1667" s="33">
        <v>2</v>
      </c>
      <c r="S1667" s="32">
        <v>0</v>
      </c>
      <c r="T1667" s="3">
        <v>0</v>
      </c>
      <c r="U1667" s="3">
        <v>2.8119999999999999E-2</v>
      </c>
      <c r="V1667" s="3">
        <v>3.6600000000000001E-2</v>
      </c>
      <c r="W1667" s="3">
        <v>0</v>
      </c>
      <c r="X1667" s="3">
        <v>0</v>
      </c>
      <c r="Y1667" s="35" t="s">
        <v>226</v>
      </c>
      <c r="Z1667" s="32"/>
      <c r="AA1667" s="3" t="str">
        <f t="shared" si="13"/>
        <v>___</v>
      </c>
      <c r="AB1667" s="3" t="str">
        <f t="shared" si="12"/>
        <v>____</v>
      </c>
    </row>
    <row r="1668" spans="1:30" ht="14">
      <c r="A1668" s="3">
        <v>1667</v>
      </c>
      <c r="B1668" s="23"/>
      <c r="C1668" s="23"/>
      <c r="D1668" s="23"/>
      <c r="E1668" s="23"/>
      <c r="F1668" s="23"/>
      <c r="G1668" s="23"/>
      <c r="H1668" s="23"/>
      <c r="I1668" s="22"/>
      <c r="J1668" s="23"/>
      <c r="K1668" s="23"/>
      <c r="L1668" s="23"/>
      <c r="M1668" s="32" t="s">
        <v>39</v>
      </c>
      <c r="N1668" s="33">
        <v>35</v>
      </c>
      <c r="O1668" s="33">
        <v>0</v>
      </c>
      <c r="P1668" s="33">
        <v>7</v>
      </c>
      <c r="Q1668" s="32">
        <v>0</v>
      </c>
      <c r="R1668" s="33">
        <v>1</v>
      </c>
      <c r="S1668" s="32">
        <v>0</v>
      </c>
      <c r="T1668" s="3">
        <v>0</v>
      </c>
      <c r="U1668" s="3">
        <v>3.3529999999999997E-2</v>
      </c>
      <c r="V1668" s="3">
        <v>4.5060000000000003E-2</v>
      </c>
      <c r="W1668" s="3">
        <v>0</v>
      </c>
      <c r="X1668" s="3">
        <v>0</v>
      </c>
      <c r="Y1668" s="23"/>
      <c r="Z1668" s="23"/>
      <c r="AA1668" s="3" t="str">
        <f t="shared" si="13"/>
        <v>___</v>
      </c>
      <c r="AB1668" s="3" t="str">
        <f t="shared" si="12"/>
        <v>____</v>
      </c>
    </row>
    <row r="1669" spans="1:30" ht="14">
      <c r="A1669" s="3">
        <v>1668</v>
      </c>
      <c r="B1669" s="23"/>
      <c r="C1669" s="32">
        <v>926</v>
      </c>
      <c r="D1669" s="32">
        <v>46</v>
      </c>
      <c r="E1669" s="23"/>
      <c r="F1669" s="23"/>
      <c r="G1669" s="23"/>
      <c r="H1669" s="32" t="s">
        <v>40</v>
      </c>
      <c r="I1669" s="33">
        <v>2</v>
      </c>
      <c r="J1669" s="32">
        <v>14.2</v>
      </c>
      <c r="K1669" s="32">
        <v>13.4</v>
      </c>
      <c r="L1669" s="32">
        <v>5</v>
      </c>
      <c r="M1669" s="32" t="s">
        <v>36</v>
      </c>
      <c r="N1669" s="33">
        <v>16</v>
      </c>
      <c r="O1669" s="33">
        <v>5</v>
      </c>
      <c r="P1669" s="33">
        <v>5</v>
      </c>
      <c r="Q1669" s="32">
        <v>0</v>
      </c>
      <c r="R1669" s="33">
        <v>0</v>
      </c>
      <c r="S1669" s="32">
        <v>0</v>
      </c>
      <c r="T1669" s="3">
        <v>1.41E-2</v>
      </c>
      <c r="U1669" s="3">
        <v>5.77E-3</v>
      </c>
      <c r="V1669" s="3">
        <v>0</v>
      </c>
      <c r="W1669" s="3">
        <v>0</v>
      </c>
      <c r="X1669" s="3">
        <v>0</v>
      </c>
      <c r="Y1669" s="23"/>
      <c r="Z1669" s="23"/>
      <c r="AA1669" s="3" t="str">
        <f t="shared" si="13"/>
        <v>926_46__vm</v>
      </c>
      <c r="AB1669" s="3" t="str">
        <f t="shared" si="12"/>
        <v>926_46__vm_2</v>
      </c>
      <c r="AD1669" s="3" t="s">
        <v>37</v>
      </c>
    </row>
    <row r="1670" spans="1:30" ht="14">
      <c r="A1670" s="3">
        <v>1669</v>
      </c>
      <c r="B1670" s="23"/>
      <c r="C1670" s="23"/>
      <c r="D1670" s="23"/>
      <c r="E1670" s="23"/>
      <c r="F1670" s="23"/>
      <c r="G1670" s="23"/>
      <c r="H1670" s="23"/>
      <c r="I1670" s="22"/>
      <c r="J1670" s="23"/>
      <c r="K1670" s="23"/>
      <c r="L1670" s="23"/>
      <c r="M1670" s="32" t="s">
        <v>38</v>
      </c>
      <c r="N1670" s="33">
        <v>42</v>
      </c>
      <c r="O1670" s="33">
        <v>0</v>
      </c>
      <c r="P1670" s="33">
        <v>8</v>
      </c>
      <c r="Q1670" s="32">
        <v>0</v>
      </c>
      <c r="R1670" s="33">
        <v>2</v>
      </c>
      <c r="S1670" s="32">
        <v>0</v>
      </c>
      <c r="T1670" s="3">
        <v>0</v>
      </c>
      <c r="U1670" s="3">
        <v>3.0769999999999999E-2</v>
      </c>
      <c r="V1670" s="3">
        <v>5.6600000000000001E-3</v>
      </c>
      <c r="W1670" s="3">
        <v>0</v>
      </c>
      <c r="X1670" s="3">
        <v>0</v>
      </c>
      <c r="Y1670" s="23"/>
      <c r="Z1670" s="23"/>
      <c r="AA1670" s="3" t="str">
        <f t="shared" si="13"/>
        <v>___</v>
      </c>
      <c r="AB1670" s="3" t="str">
        <f t="shared" si="12"/>
        <v>____</v>
      </c>
    </row>
    <row r="1671" spans="1:30" ht="14">
      <c r="A1671" s="3">
        <v>1670</v>
      </c>
      <c r="B1671" s="23"/>
      <c r="C1671" s="23"/>
      <c r="D1671" s="23"/>
      <c r="E1671" s="23"/>
      <c r="F1671" s="23"/>
      <c r="G1671" s="23"/>
      <c r="H1671" s="23"/>
      <c r="I1671" s="22"/>
      <c r="J1671" s="23"/>
      <c r="K1671" s="23"/>
      <c r="L1671" s="23"/>
      <c r="M1671" s="32" t="s">
        <v>39</v>
      </c>
      <c r="N1671" s="33">
        <v>37</v>
      </c>
      <c r="O1671" s="33">
        <v>0</v>
      </c>
      <c r="P1671" s="33">
        <v>8</v>
      </c>
      <c r="Q1671" s="32">
        <v>0</v>
      </c>
      <c r="R1671" s="33">
        <v>1</v>
      </c>
      <c r="S1671" s="32">
        <v>0</v>
      </c>
      <c r="T1671" s="3">
        <v>0</v>
      </c>
      <c r="U1671" s="3">
        <v>3.4459999999999998E-2</v>
      </c>
      <c r="V1671" s="3">
        <v>3.5380000000000002E-2</v>
      </c>
      <c r="W1671" s="3">
        <v>0</v>
      </c>
      <c r="X1671" s="3">
        <v>0</v>
      </c>
      <c r="Y1671" s="23"/>
      <c r="Z1671" s="23"/>
      <c r="AA1671" s="3" t="str">
        <f t="shared" si="13"/>
        <v>___</v>
      </c>
      <c r="AB1671" s="3" t="str">
        <f t="shared" si="12"/>
        <v>____</v>
      </c>
    </row>
    <row r="1672" spans="1:30" ht="14">
      <c r="A1672" s="3">
        <v>1671</v>
      </c>
      <c r="B1672" s="23"/>
      <c r="C1672" s="32">
        <v>926</v>
      </c>
      <c r="D1672" s="32">
        <v>46</v>
      </c>
      <c r="E1672" s="23"/>
      <c r="F1672" s="23"/>
      <c r="G1672" s="23"/>
      <c r="H1672" s="32" t="s">
        <v>40</v>
      </c>
      <c r="I1672" s="33">
        <v>3</v>
      </c>
      <c r="J1672" s="32">
        <v>9.4</v>
      </c>
      <c r="K1672" s="32">
        <v>11.3</v>
      </c>
      <c r="L1672" s="32">
        <v>5</v>
      </c>
      <c r="M1672" s="32" t="s">
        <v>36</v>
      </c>
      <c r="N1672" s="33">
        <v>18</v>
      </c>
      <c r="O1672" s="33">
        <v>6</v>
      </c>
      <c r="P1672" s="33">
        <v>6</v>
      </c>
      <c r="Q1672" s="32">
        <v>0</v>
      </c>
      <c r="R1672" s="33">
        <v>0</v>
      </c>
      <c r="S1672" s="32">
        <v>0</v>
      </c>
      <c r="T1672" s="3">
        <v>4.3299999999999996E-3</v>
      </c>
      <c r="U1672" s="3">
        <v>5.2599999999999999E-3</v>
      </c>
      <c r="V1672" s="3">
        <v>0</v>
      </c>
      <c r="W1672" s="3">
        <v>0</v>
      </c>
      <c r="X1672" s="3">
        <v>0</v>
      </c>
      <c r="Y1672" s="23"/>
      <c r="Z1672" s="23"/>
      <c r="AA1672" s="3" t="str">
        <f t="shared" si="13"/>
        <v>926_46__vm</v>
      </c>
      <c r="AB1672" s="3" t="str">
        <f t="shared" si="12"/>
        <v>926_46__vm_3</v>
      </c>
      <c r="AD1672" s="3" t="s">
        <v>37</v>
      </c>
    </row>
    <row r="1673" spans="1:30" ht="14">
      <c r="A1673" s="3">
        <v>1672</v>
      </c>
      <c r="B1673" s="23"/>
      <c r="C1673" s="23"/>
      <c r="D1673" s="23"/>
      <c r="E1673" s="23"/>
      <c r="F1673" s="23"/>
      <c r="G1673" s="23"/>
      <c r="H1673" s="23"/>
      <c r="I1673" s="22"/>
      <c r="J1673" s="23"/>
      <c r="K1673" s="23"/>
      <c r="L1673" s="23"/>
      <c r="M1673" s="32" t="s">
        <v>38</v>
      </c>
      <c r="N1673" s="33">
        <v>46</v>
      </c>
      <c r="O1673" s="33">
        <v>0</v>
      </c>
      <c r="P1673" s="33">
        <v>14</v>
      </c>
      <c r="Q1673" s="32">
        <v>0</v>
      </c>
      <c r="R1673" s="33">
        <v>1</v>
      </c>
      <c r="S1673" s="32">
        <v>0</v>
      </c>
      <c r="T1673" s="3">
        <v>0</v>
      </c>
      <c r="U1673" s="3">
        <v>2.1350000000000001E-2</v>
      </c>
      <c r="V1673" s="3">
        <v>1.014E-2</v>
      </c>
      <c r="W1673" s="3">
        <v>0</v>
      </c>
      <c r="X1673" s="3">
        <v>0</v>
      </c>
      <c r="Y1673" s="23"/>
      <c r="Z1673" s="23"/>
      <c r="AA1673" s="3" t="str">
        <f t="shared" si="13"/>
        <v>___</v>
      </c>
      <c r="AB1673" s="3" t="str">
        <f t="shared" si="12"/>
        <v>____</v>
      </c>
    </row>
    <row r="1674" spans="1:30" ht="14">
      <c r="A1674" s="3">
        <v>1673</v>
      </c>
      <c r="B1674" s="23"/>
      <c r="C1674" s="23"/>
      <c r="D1674" s="23"/>
      <c r="E1674" s="23"/>
      <c r="F1674" s="23"/>
      <c r="G1674" s="23"/>
      <c r="H1674" s="23"/>
      <c r="I1674" s="22"/>
      <c r="J1674" s="23"/>
      <c r="K1674" s="23"/>
      <c r="L1674" s="23"/>
      <c r="M1674" s="32" t="s">
        <v>39</v>
      </c>
      <c r="N1674" s="33">
        <v>24</v>
      </c>
      <c r="O1674" s="33">
        <v>0</v>
      </c>
      <c r="P1674" s="33">
        <v>8</v>
      </c>
      <c r="Q1674" s="32">
        <v>0</v>
      </c>
      <c r="R1674" s="33">
        <v>0</v>
      </c>
      <c r="S1674" s="32">
        <v>0</v>
      </c>
      <c r="T1674" s="3">
        <v>0</v>
      </c>
      <c r="U1674" s="3">
        <v>1.3729999999999999E-2</v>
      </c>
      <c r="V1674" s="3">
        <v>0</v>
      </c>
      <c r="W1674" s="3">
        <v>0</v>
      </c>
      <c r="X1674" s="3">
        <v>0</v>
      </c>
      <c r="Y1674" s="23"/>
      <c r="Z1674" s="23"/>
      <c r="AA1674" s="3" t="str">
        <f t="shared" si="13"/>
        <v>___</v>
      </c>
      <c r="AB1674" s="3" t="str">
        <f t="shared" si="12"/>
        <v>____</v>
      </c>
    </row>
    <row r="1675" spans="1:30" ht="14">
      <c r="A1675" s="3">
        <v>1674</v>
      </c>
      <c r="B1675" s="23"/>
      <c r="C1675" s="32">
        <v>926</v>
      </c>
      <c r="D1675" s="32">
        <v>46</v>
      </c>
      <c r="E1675" s="23"/>
      <c r="F1675" s="23"/>
      <c r="G1675" s="23"/>
      <c r="H1675" s="32" t="s">
        <v>35</v>
      </c>
      <c r="I1675" s="33">
        <v>1</v>
      </c>
      <c r="J1675" s="32">
        <v>5.4</v>
      </c>
      <c r="K1675" s="32">
        <v>5.5</v>
      </c>
      <c r="L1675" s="32">
        <v>3</v>
      </c>
      <c r="M1675" s="32" t="s">
        <v>36</v>
      </c>
      <c r="N1675" s="33">
        <v>11</v>
      </c>
      <c r="O1675" s="33">
        <v>8</v>
      </c>
      <c r="P1675" s="33">
        <v>9</v>
      </c>
      <c r="Q1675" s="32">
        <v>0</v>
      </c>
      <c r="R1675" s="33">
        <v>0</v>
      </c>
      <c r="S1675" s="32">
        <v>0</v>
      </c>
      <c r="T1675" s="3">
        <v>2.5329999999999998E-2</v>
      </c>
      <c r="U1675" s="3">
        <v>1.5200000000000001E-3</v>
      </c>
      <c r="V1675" s="3">
        <v>0</v>
      </c>
      <c r="W1675" s="3">
        <v>0</v>
      </c>
      <c r="X1675" s="3">
        <v>0</v>
      </c>
      <c r="Y1675" s="23"/>
      <c r="Z1675" s="23"/>
      <c r="AA1675" s="3" t="str">
        <f t="shared" si="13"/>
        <v>926_46__vv</v>
      </c>
      <c r="AB1675" s="3" t="str">
        <f t="shared" si="12"/>
        <v>926_46__vv_1</v>
      </c>
      <c r="AD1675" s="3" t="s">
        <v>37</v>
      </c>
    </row>
    <row r="1676" spans="1:30" ht="14">
      <c r="A1676" s="3">
        <v>1675</v>
      </c>
      <c r="B1676" s="23"/>
      <c r="C1676" s="23"/>
      <c r="D1676" s="23"/>
      <c r="E1676" s="23"/>
      <c r="F1676" s="23"/>
      <c r="G1676" s="23"/>
      <c r="H1676" s="23"/>
      <c r="I1676" s="22"/>
      <c r="J1676" s="23"/>
      <c r="K1676" s="23"/>
      <c r="L1676" s="23"/>
      <c r="M1676" s="32" t="s">
        <v>38</v>
      </c>
      <c r="N1676" s="33">
        <v>14</v>
      </c>
      <c r="O1676" s="33">
        <v>4</v>
      </c>
      <c r="P1676" s="33">
        <v>8</v>
      </c>
      <c r="Q1676" s="32">
        <v>0</v>
      </c>
      <c r="R1676" s="33">
        <v>0</v>
      </c>
      <c r="S1676" s="32">
        <v>0</v>
      </c>
      <c r="T1676" s="3">
        <v>1.5429999999999999E-2</v>
      </c>
      <c r="U1676" s="3">
        <v>3.62E-3</v>
      </c>
      <c r="V1676" s="3">
        <v>0</v>
      </c>
      <c r="W1676" s="3">
        <v>0</v>
      </c>
      <c r="X1676" s="3">
        <v>0</v>
      </c>
      <c r="Y1676" s="23"/>
      <c r="Z1676" s="23"/>
      <c r="AA1676" s="3" t="str">
        <f t="shared" si="13"/>
        <v>___</v>
      </c>
      <c r="AB1676" s="3" t="str">
        <f t="shared" si="12"/>
        <v>____</v>
      </c>
    </row>
    <row r="1677" spans="1:30" ht="14">
      <c r="A1677" s="3">
        <v>1676</v>
      </c>
      <c r="B1677" s="23"/>
      <c r="C1677" s="23"/>
      <c r="D1677" s="23"/>
      <c r="E1677" s="23"/>
      <c r="F1677" s="23"/>
      <c r="G1677" s="23"/>
      <c r="H1677" s="23"/>
      <c r="I1677" s="22"/>
      <c r="J1677" s="23"/>
      <c r="K1677" s="23"/>
      <c r="L1677" s="23"/>
      <c r="M1677" s="32" t="s">
        <v>39</v>
      </c>
      <c r="N1677" s="33">
        <v>32</v>
      </c>
      <c r="O1677" s="33">
        <v>1</v>
      </c>
      <c r="P1677" s="33">
        <v>9</v>
      </c>
      <c r="Q1677" s="32">
        <v>0</v>
      </c>
      <c r="R1677" s="33">
        <v>0</v>
      </c>
      <c r="S1677" s="32">
        <v>0</v>
      </c>
      <c r="T1677" s="3">
        <v>2.2300000000000002E-3</v>
      </c>
      <c r="U1677" s="3">
        <v>1.1390000000000001E-2</v>
      </c>
      <c r="V1677" s="3">
        <v>0</v>
      </c>
      <c r="W1677" s="3">
        <v>0</v>
      </c>
      <c r="X1677" s="3">
        <v>0</v>
      </c>
      <c r="Y1677" s="23"/>
      <c r="Z1677" s="23"/>
      <c r="AA1677" s="3" t="str">
        <f t="shared" si="13"/>
        <v>___</v>
      </c>
      <c r="AB1677" s="3" t="str">
        <f t="shared" si="12"/>
        <v>____</v>
      </c>
    </row>
    <row r="1678" spans="1:30" ht="14">
      <c r="A1678" s="3">
        <v>1677</v>
      </c>
      <c r="B1678" s="23"/>
      <c r="C1678" s="32">
        <v>926</v>
      </c>
      <c r="D1678" s="32">
        <v>46</v>
      </c>
      <c r="E1678" s="23"/>
      <c r="F1678" s="23"/>
      <c r="G1678" s="23"/>
      <c r="H1678" s="32" t="s">
        <v>35</v>
      </c>
      <c r="I1678" s="33">
        <v>2</v>
      </c>
      <c r="J1678" s="32">
        <v>4.3</v>
      </c>
      <c r="K1678" s="32">
        <v>4.7</v>
      </c>
      <c r="L1678" s="32">
        <v>4</v>
      </c>
      <c r="M1678" s="32" t="s">
        <v>36</v>
      </c>
      <c r="N1678" s="33">
        <v>12</v>
      </c>
      <c r="O1678" s="33">
        <v>8</v>
      </c>
      <c r="P1678" s="33">
        <v>11</v>
      </c>
      <c r="Q1678" s="32">
        <v>0</v>
      </c>
      <c r="R1678" s="33">
        <v>0</v>
      </c>
      <c r="S1678" s="32">
        <v>4</v>
      </c>
      <c r="T1678" s="3">
        <v>2.963E-2</v>
      </c>
      <c r="U1678" s="3">
        <v>2.5400000000000002E-3</v>
      </c>
      <c r="V1678" s="3">
        <v>0</v>
      </c>
      <c r="W1678" s="3">
        <v>1.1310000000000001E-2</v>
      </c>
      <c r="X1678" s="3">
        <v>0</v>
      </c>
      <c r="Y1678" s="32"/>
      <c r="Z1678" s="23"/>
      <c r="AA1678" s="3" t="str">
        <f t="shared" si="13"/>
        <v>926_46__vv</v>
      </c>
      <c r="AB1678" s="3" t="str">
        <f t="shared" si="12"/>
        <v>926_46__vv_2</v>
      </c>
      <c r="AD1678" s="3" t="s">
        <v>37</v>
      </c>
    </row>
    <row r="1679" spans="1:30" ht="14">
      <c r="A1679" s="3">
        <v>1678</v>
      </c>
      <c r="B1679" s="23"/>
      <c r="C1679" s="23"/>
      <c r="D1679" s="23"/>
      <c r="E1679" s="23"/>
      <c r="F1679" s="23"/>
      <c r="G1679" s="23"/>
      <c r="H1679" s="23"/>
      <c r="I1679" s="22"/>
      <c r="J1679" s="23"/>
      <c r="K1679" s="23"/>
      <c r="L1679" s="23"/>
      <c r="M1679" s="32" t="s">
        <v>38</v>
      </c>
      <c r="N1679" s="33">
        <v>17</v>
      </c>
      <c r="O1679" s="33">
        <v>3</v>
      </c>
      <c r="P1679" s="33">
        <v>9</v>
      </c>
      <c r="Q1679" s="32">
        <v>0</v>
      </c>
      <c r="R1679" s="33">
        <v>0</v>
      </c>
      <c r="S1679" s="32">
        <v>0</v>
      </c>
      <c r="T1679" s="3">
        <v>2.6620000000000001E-2</v>
      </c>
      <c r="U1679" s="3">
        <v>5.4299999999999999E-3</v>
      </c>
      <c r="V1679" s="3">
        <v>0</v>
      </c>
      <c r="W1679" s="3">
        <v>0</v>
      </c>
      <c r="X1679" s="3">
        <v>0</v>
      </c>
      <c r="Y1679" s="32"/>
      <c r="Z1679" s="23"/>
      <c r="AA1679" s="3" t="str">
        <f t="shared" si="13"/>
        <v>___</v>
      </c>
      <c r="AB1679" s="3" t="str">
        <f t="shared" si="12"/>
        <v>____</v>
      </c>
    </row>
    <row r="1680" spans="1:30" ht="14">
      <c r="A1680" s="3">
        <v>1679</v>
      </c>
      <c r="B1680" s="23"/>
      <c r="C1680" s="23"/>
      <c r="D1680" s="23"/>
      <c r="E1680" s="23"/>
      <c r="F1680" s="23"/>
      <c r="G1680" s="23"/>
      <c r="H1680" s="23"/>
      <c r="I1680" s="22"/>
      <c r="J1680" s="23"/>
      <c r="K1680" s="23"/>
      <c r="L1680" s="23"/>
      <c r="M1680" s="32" t="s">
        <v>39</v>
      </c>
      <c r="N1680" s="33">
        <v>13</v>
      </c>
      <c r="O1680" s="33">
        <v>0</v>
      </c>
      <c r="P1680" s="33">
        <v>7</v>
      </c>
      <c r="Q1680" s="32">
        <v>0</v>
      </c>
      <c r="R1680" s="33">
        <v>0</v>
      </c>
      <c r="S1680" s="32">
        <v>0</v>
      </c>
      <c r="T1680" s="3">
        <v>0</v>
      </c>
      <c r="U1680" s="3">
        <v>5.5599999999999998E-3</v>
      </c>
      <c r="V1680" s="3">
        <v>0</v>
      </c>
      <c r="W1680" s="3">
        <v>0</v>
      </c>
      <c r="X1680" s="3">
        <v>0</v>
      </c>
      <c r="Y1680" s="23"/>
      <c r="Z1680" s="23"/>
      <c r="AA1680" s="3" t="str">
        <f t="shared" si="13"/>
        <v>___</v>
      </c>
      <c r="AB1680" s="3" t="str">
        <f t="shared" si="12"/>
        <v>____</v>
      </c>
    </row>
    <row r="1681" spans="1:30" ht="14">
      <c r="A1681" s="3">
        <v>1680</v>
      </c>
      <c r="B1681" s="23"/>
      <c r="C1681" s="32">
        <v>926</v>
      </c>
      <c r="D1681" s="32">
        <v>46</v>
      </c>
      <c r="E1681" s="32"/>
      <c r="F1681" s="23"/>
      <c r="G1681" s="23"/>
      <c r="H1681" s="32" t="s">
        <v>35</v>
      </c>
      <c r="I1681" s="33">
        <v>3</v>
      </c>
      <c r="J1681" s="32">
        <v>6.8</v>
      </c>
      <c r="K1681" s="32">
        <v>7.4</v>
      </c>
      <c r="L1681" s="32">
        <v>5</v>
      </c>
      <c r="M1681" s="32" t="s">
        <v>36</v>
      </c>
      <c r="N1681" s="33">
        <v>14</v>
      </c>
      <c r="O1681" s="33">
        <v>6</v>
      </c>
      <c r="P1681" s="33">
        <v>11</v>
      </c>
      <c r="Q1681" s="32">
        <v>0</v>
      </c>
      <c r="R1681" s="33">
        <v>0</v>
      </c>
      <c r="S1681" s="32">
        <v>0</v>
      </c>
      <c r="T1681" s="3">
        <v>4.4889999999999999E-2</v>
      </c>
      <c r="U1681" s="3">
        <v>1.239E-2</v>
      </c>
      <c r="V1681" s="3">
        <v>0</v>
      </c>
      <c r="W1681" s="3">
        <v>0</v>
      </c>
      <c r="X1681" s="3">
        <v>0</v>
      </c>
      <c r="Y1681" s="23"/>
      <c r="Z1681" s="23"/>
      <c r="AA1681" s="3" t="str">
        <f t="shared" si="13"/>
        <v>926_46__vv</v>
      </c>
      <c r="AB1681" s="3" t="str">
        <f t="shared" si="12"/>
        <v>926_46__vv_3</v>
      </c>
      <c r="AD1681" s="3" t="s">
        <v>37</v>
      </c>
    </row>
    <row r="1682" spans="1:30" ht="14">
      <c r="A1682" s="3">
        <v>1681</v>
      </c>
      <c r="B1682" s="23"/>
      <c r="C1682" s="23"/>
      <c r="D1682" s="23"/>
      <c r="E1682" s="23"/>
      <c r="F1682" s="23"/>
      <c r="G1682" s="23"/>
      <c r="H1682" s="23"/>
      <c r="I1682" s="22"/>
      <c r="J1682" s="23"/>
      <c r="K1682" s="23"/>
      <c r="L1682" s="23"/>
      <c r="M1682" s="32" t="s">
        <v>38</v>
      </c>
      <c r="N1682" s="33">
        <v>8</v>
      </c>
      <c r="O1682" s="33">
        <v>1</v>
      </c>
      <c r="P1682" s="33">
        <v>6</v>
      </c>
      <c r="Q1682" s="32">
        <v>0</v>
      </c>
      <c r="R1682" s="33">
        <v>0</v>
      </c>
      <c r="S1682" s="32">
        <v>0</v>
      </c>
      <c r="T1682" s="3">
        <v>5.6100000000000004E-3</v>
      </c>
      <c r="U1682" s="3">
        <v>2.2899999999999999E-3</v>
      </c>
      <c r="V1682" s="3">
        <v>0</v>
      </c>
      <c r="W1682" s="3">
        <v>0</v>
      </c>
      <c r="X1682" s="3">
        <v>0</v>
      </c>
      <c r="Y1682" s="23"/>
      <c r="Z1682" s="23"/>
      <c r="AA1682" s="3" t="str">
        <f t="shared" si="13"/>
        <v>___</v>
      </c>
      <c r="AB1682" s="3" t="str">
        <f t="shared" si="12"/>
        <v>____</v>
      </c>
    </row>
    <row r="1683" spans="1:30" ht="14">
      <c r="A1683" s="3">
        <v>1682</v>
      </c>
      <c r="B1683" s="23"/>
      <c r="C1683" s="23"/>
      <c r="D1683" s="23"/>
      <c r="E1683" s="23"/>
      <c r="F1683" s="23"/>
      <c r="G1683" s="23"/>
      <c r="H1683" s="23"/>
      <c r="I1683" s="22"/>
      <c r="J1683" s="23"/>
      <c r="K1683" s="23"/>
      <c r="L1683" s="23"/>
      <c r="M1683" s="32" t="s">
        <v>39</v>
      </c>
      <c r="N1683" s="33">
        <v>18</v>
      </c>
      <c r="O1683" s="33">
        <v>1</v>
      </c>
      <c r="P1683" s="33">
        <v>12</v>
      </c>
      <c r="Q1683" s="32">
        <v>0</v>
      </c>
      <c r="R1683" s="33">
        <v>0</v>
      </c>
      <c r="S1683" s="32">
        <v>0</v>
      </c>
      <c r="T1683" s="3">
        <v>5.0800000000000003E-3</v>
      </c>
      <c r="U1683" s="3">
        <v>7.5500000000000003E-3</v>
      </c>
      <c r="V1683" s="3">
        <v>0</v>
      </c>
      <c r="W1683" s="3">
        <v>0</v>
      </c>
      <c r="X1683" s="3">
        <v>0</v>
      </c>
      <c r="Y1683" s="23"/>
      <c r="Z1683" s="23"/>
      <c r="AA1683" s="3" t="str">
        <f t="shared" si="13"/>
        <v>___</v>
      </c>
      <c r="AB1683" s="3" t="str">
        <f t="shared" si="12"/>
        <v>____</v>
      </c>
    </row>
    <row r="1684" spans="1:30" ht="14">
      <c r="A1684" s="3">
        <v>1683</v>
      </c>
      <c r="B1684" s="23"/>
      <c r="C1684" s="32">
        <v>89</v>
      </c>
      <c r="D1684" s="32">
        <v>33</v>
      </c>
      <c r="E1684" s="23"/>
      <c r="F1684" s="23"/>
      <c r="G1684" s="23"/>
      <c r="H1684" s="32" t="s">
        <v>40</v>
      </c>
      <c r="I1684" s="33">
        <v>1</v>
      </c>
      <c r="J1684" s="32">
        <v>28.8</v>
      </c>
      <c r="K1684" s="32">
        <v>28.5</v>
      </c>
      <c r="L1684" s="32">
        <v>6</v>
      </c>
      <c r="M1684" s="32" t="s">
        <v>36</v>
      </c>
      <c r="N1684" s="33">
        <v>16</v>
      </c>
      <c r="O1684" s="33">
        <v>4</v>
      </c>
      <c r="P1684" s="33">
        <v>4</v>
      </c>
      <c r="Q1684" s="32">
        <v>0</v>
      </c>
      <c r="R1684" s="33">
        <v>0</v>
      </c>
      <c r="S1684" s="32">
        <v>0</v>
      </c>
      <c r="T1684" s="3">
        <v>1.635E-2</v>
      </c>
      <c r="U1684" s="3">
        <v>4.0299999999999997E-3</v>
      </c>
      <c r="V1684" s="3">
        <v>0</v>
      </c>
      <c r="W1684" s="3">
        <v>0</v>
      </c>
      <c r="X1684" s="3">
        <v>0</v>
      </c>
      <c r="Y1684" s="23"/>
      <c r="Z1684" s="23"/>
      <c r="AA1684" s="3" t="str">
        <f t="shared" si="13"/>
        <v>89_33__vm</v>
      </c>
      <c r="AB1684" s="3" t="str">
        <f t="shared" si="12"/>
        <v>89_33__vm_1</v>
      </c>
      <c r="AD1684" s="3" t="s">
        <v>37</v>
      </c>
    </row>
    <row r="1685" spans="1:30" ht="14">
      <c r="A1685" s="3">
        <v>1684</v>
      </c>
      <c r="B1685" s="23"/>
      <c r="C1685" s="23"/>
      <c r="D1685" s="23"/>
      <c r="E1685" s="23"/>
      <c r="F1685" s="23"/>
      <c r="G1685" s="23"/>
      <c r="H1685" s="23"/>
      <c r="I1685" s="22"/>
      <c r="J1685" s="23"/>
      <c r="K1685" s="23"/>
      <c r="L1685" s="23"/>
      <c r="M1685" s="32" t="s">
        <v>38</v>
      </c>
      <c r="N1685" s="33">
        <v>29</v>
      </c>
      <c r="O1685" s="33">
        <v>0</v>
      </c>
      <c r="P1685" s="33">
        <v>5</v>
      </c>
      <c r="Q1685" s="32">
        <v>0</v>
      </c>
      <c r="R1685" s="33">
        <v>1</v>
      </c>
      <c r="S1685" s="32">
        <v>0</v>
      </c>
      <c r="T1685" s="3">
        <v>0</v>
      </c>
      <c r="U1685" s="3">
        <v>1.1220000000000001E-2</v>
      </c>
      <c r="V1685" s="3">
        <v>8.6300000000000005E-3</v>
      </c>
      <c r="W1685" s="3">
        <v>0</v>
      </c>
      <c r="X1685" s="3">
        <v>0</v>
      </c>
      <c r="Y1685" s="23"/>
      <c r="Z1685" s="23"/>
      <c r="AA1685" s="3" t="str">
        <f t="shared" si="13"/>
        <v>___</v>
      </c>
      <c r="AB1685" s="3" t="str">
        <f t="shared" si="12"/>
        <v>____</v>
      </c>
    </row>
    <row r="1686" spans="1:30" ht="14">
      <c r="A1686" s="3">
        <v>1685</v>
      </c>
      <c r="B1686" s="23"/>
      <c r="C1686" s="23"/>
      <c r="D1686" s="23"/>
      <c r="E1686" s="23"/>
      <c r="F1686" s="23"/>
      <c r="G1686" s="23"/>
      <c r="H1686" s="23"/>
      <c r="I1686" s="22"/>
      <c r="J1686" s="23"/>
      <c r="K1686" s="23"/>
      <c r="L1686" s="23"/>
      <c r="M1686" s="32" t="s">
        <v>39</v>
      </c>
      <c r="N1686" s="33">
        <v>56</v>
      </c>
      <c r="O1686" s="33">
        <v>0</v>
      </c>
      <c r="P1686" s="33">
        <v>8</v>
      </c>
      <c r="Q1686" s="32">
        <v>0</v>
      </c>
      <c r="R1686" s="33">
        <v>2</v>
      </c>
      <c r="S1686" s="32">
        <v>0</v>
      </c>
      <c r="T1686" s="3">
        <v>0</v>
      </c>
      <c r="U1686" s="3">
        <v>3.5740000000000001E-2</v>
      </c>
      <c r="V1686" s="3">
        <v>6.3780000000000003E-2</v>
      </c>
      <c r="W1686" s="3">
        <v>0</v>
      </c>
      <c r="X1686" s="3">
        <v>0</v>
      </c>
      <c r="Y1686" s="23"/>
      <c r="Z1686" s="23"/>
      <c r="AA1686" s="3" t="str">
        <f t="shared" si="13"/>
        <v>___</v>
      </c>
      <c r="AB1686" s="3" t="str">
        <f t="shared" si="12"/>
        <v>____</v>
      </c>
    </row>
    <row r="1687" spans="1:30" ht="14">
      <c r="A1687" s="3">
        <v>1686</v>
      </c>
      <c r="B1687" s="23"/>
      <c r="C1687" s="32">
        <v>89</v>
      </c>
      <c r="D1687" s="32">
        <v>33</v>
      </c>
      <c r="E1687" s="23"/>
      <c r="F1687" s="23"/>
      <c r="G1687" s="23"/>
      <c r="H1687" s="32" t="s">
        <v>40</v>
      </c>
      <c r="I1687" s="33">
        <v>2</v>
      </c>
      <c r="J1687" s="32">
        <v>28</v>
      </c>
      <c r="K1687" s="32">
        <v>28.8</v>
      </c>
      <c r="L1687" s="32">
        <v>5</v>
      </c>
      <c r="M1687" s="32" t="s">
        <v>36</v>
      </c>
      <c r="N1687" s="33">
        <v>51</v>
      </c>
      <c r="O1687" s="33">
        <v>7</v>
      </c>
      <c r="P1687" s="33">
        <v>7</v>
      </c>
      <c r="Q1687" s="32">
        <v>0</v>
      </c>
      <c r="R1687" s="33">
        <v>0</v>
      </c>
      <c r="S1687" s="32">
        <v>0</v>
      </c>
      <c r="T1687" s="3">
        <v>5.1810000000000002E-2</v>
      </c>
      <c r="U1687" s="3">
        <v>2.6880000000000001E-2</v>
      </c>
      <c r="V1687" s="3">
        <v>0</v>
      </c>
      <c r="W1687" s="3">
        <v>0</v>
      </c>
      <c r="X1687" s="3">
        <v>0</v>
      </c>
      <c r="Y1687" s="23"/>
      <c r="Z1687" s="23"/>
      <c r="AA1687" s="3" t="str">
        <f t="shared" si="13"/>
        <v>89_33__vm</v>
      </c>
      <c r="AB1687" s="3" t="str">
        <f t="shared" si="12"/>
        <v>89_33__vm_2</v>
      </c>
      <c r="AD1687" s="3" t="s">
        <v>37</v>
      </c>
    </row>
    <row r="1688" spans="1:30" ht="14">
      <c r="A1688" s="3">
        <v>1687</v>
      </c>
      <c r="B1688" s="23"/>
      <c r="C1688" s="23"/>
      <c r="D1688" s="23"/>
      <c r="E1688" s="23"/>
      <c r="F1688" s="23"/>
      <c r="G1688" s="23"/>
      <c r="H1688" s="23"/>
      <c r="I1688" s="22"/>
      <c r="J1688" s="23"/>
      <c r="K1688" s="23"/>
      <c r="L1688" s="23"/>
      <c r="M1688" s="32" t="s">
        <v>38</v>
      </c>
      <c r="N1688" s="33">
        <v>89</v>
      </c>
      <c r="O1688" s="33">
        <v>0</v>
      </c>
      <c r="P1688" s="33">
        <v>10</v>
      </c>
      <c r="Q1688" s="32">
        <v>0</v>
      </c>
      <c r="R1688" s="33">
        <v>4</v>
      </c>
      <c r="S1688" s="32">
        <v>0</v>
      </c>
      <c r="T1688" s="3">
        <v>0</v>
      </c>
      <c r="U1688" s="3">
        <v>0.12681000000000001</v>
      </c>
      <c r="V1688" s="3">
        <v>0.18451999999999999</v>
      </c>
      <c r="W1688" s="3">
        <v>0</v>
      </c>
      <c r="X1688" s="3">
        <v>0</v>
      </c>
      <c r="Y1688" s="23"/>
      <c r="Z1688" s="23"/>
      <c r="AA1688" s="3" t="str">
        <f t="shared" si="13"/>
        <v>___</v>
      </c>
      <c r="AB1688" s="3" t="str">
        <f t="shared" si="12"/>
        <v>____</v>
      </c>
    </row>
    <row r="1689" spans="1:30" ht="14">
      <c r="A1689" s="3">
        <v>1688</v>
      </c>
      <c r="B1689" s="23"/>
      <c r="C1689" s="23"/>
      <c r="D1689" s="23"/>
      <c r="E1689" s="23"/>
      <c r="F1689" s="23"/>
      <c r="G1689" s="23"/>
      <c r="H1689" s="23"/>
      <c r="I1689" s="22"/>
      <c r="J1689" s="23"/>
      <c r="K1689" s="23"/>
      <c r="L1689" s="23"/>
      <c r="M1689" s="32" t="s">
        <v>39</v>
      </c>
      <c r="N1689" s="33">
        <v>87</v>
      </c>
      <c r="O1689" s="33">
        <v>0</v>
      </c>
      <c r="P1689" s="33">
        <v>7</v>
      </c>
      <c r="Q1689" s="32">
        <v>0</v>
      </c>
      <c r="R1689" s="33">
        <v>1</v>
      </c>
      <c r="S1689" s="32">
        <v>0</v>
      </c>
      <c r="T1689" s="3">
        <v>0</v>
      </c>
      <c r="U1689" s="3">
        <v>0.26163999999999998</v>
      </c>
      <c r="V1689" s="3">
        <v>0.37380999999999998</v>
      </c>
      <c r="W1689" s="3">
        <v>0</v>
      </c>
      <c r="X1689" s="3">
        <v>0</v>
      </c>
      <c r="Y1689" s="23"/>
      <c r="Z1689" s="23"/>
      <c r="AA1689" s="3" t="str">
        <f t="shared" si="13"/>
        <v>___</v>
      </c>
      <c r="AB1689" s="3" t="str">
        <f t="shared" si="12"/>
        <v>____</v>
      </c>
    </row>
    <row r="1690" spans="1:30" ht="14">
      <c r="A1690" s="3">
        <v>1689</v>
      </c>
      <c r="B1690" s="23"/>
      <c r="C1690" s="32">
        <v>89</v>
      </c>
      <c r="D1690" s="32">
        <v>33</v>
      </c>
      <c r="E1690" s="23"/>
      <c r="F1690" s="23"/>
      <c r="G1690" s="23"/>
      <c r="H1690" s="32" t="s">
        <v>40</v>
      </c>
      <c r="I1690" s="33">
        <v>3</v>
      </c>
      <c r="J1690" s="32">
        <v>35.5</v>
      </c>
      <c r="K1690" s="32">
        <v>33.200000000000003</v>
      </c>
      <c r="L1690" s="32">
        <v>5</v>
      </c>
      <c r="M1690" s="32" t="s">
        <v>36</v>
      </c>
      <c r="N1690" s="33">
        <v>91</v>
      </c>
      <c r="O1690" s="33">
        <v>10</v>
      </c>
      <c r="P1690" s="33">
        <v>10</v>
      </c>
      <c r="Q1690" s="32">
        <v>0</v>
      </c>
      <c r="R1690" s="33">
        <v>0</v>
      </c>
      <c r="S1690" s="32">
        <v>1</v>
      </c>
      <c r="T1690" s="3">
        <v>9.9460000000000007E-2</v>
      </c>
      <c r="U1690" s="3">
        <v>7.6810000000000003E-2</v>
      </c>
      <c r="V1690" s="3">
        <v>0</v>
      </c>
      <c r="W1690" s="3">
        <v>2.2239999999999999E-2</v>
      </c>
      <c r="X1690" s="3">
        <v>0</v>
      </c>
      <c r="Y1690" s="23"/>
      <c r="Z1690" s="23"/>
      <c r="AA1690" s="3" t="str">
        <f t="shared" si="13"/>
        <v>89_33__vm</v>
      </c>
      <c r="AB1690" s="3" t="str">
        <f t="shared" si="12"/>
        <v>89_33__vm_3</v>
      </c>
      <c r="AD1690" s="3" t="s">
        <v>37</v>
      </c>
    </row>
    <row r="1691" spans="1:30" ht="14">
      <c r="A1691" s="3">
        <v>1690</v>
      </c>
      <c r="B1691" s="23"/>
      <c r="C1691" s="23"/>
      <c r="D1691" s="23"/>
      <c r="E1691" s="23"/>
      <c r="F1691" s="23"/>
      <c r="G1691" s="23"/>
      <c r="H1691" s="23"/>
      <c r="I1691" s="22"/>
      <c r="J1691" s="23"/>
      <c r="K1691" s="23"/>
      <c r="L1691" s="23"/>
      <c r="M1691" s="32" t="s">
        <v>38</v>
      </c>
      <c r="N1691" s="33">
        <v>126</v>
      </c>
      <c r="O1691" s="33">
        <v>0</v>
      </c>
      <c r="P1691" s="33">
        <v>9</v>
      </c>
      <c r="Q1691" s="32">
        <v>0</v>
      </c>
      <c r="R1691" s="33">
        <v>3</v>
      </c>
      <c r="S1691" s="32">
        <v>0</v>
      </c>
      <c r="T1691" s="3">
        <v>0</v>
      </c>
      <c r="U1691" s="3">
        <v>0.28821000000000002</v>
      </c>
      <c r="V1691" s="3">
        <v>0.49297999999999997</v>
      </c>
      <c r="W1691" s="3">
        <v>0</v>
      </c>
      <c r="X1691" s="3">
        <v>0</v>
      </c>
      <c r="Y1691" s="23"/>
      <c r="Z1691" s="23"/>
      <c r="AA1691" s="3" t="str">
        <f t="shared" si="13"/>
        <v>___</v>
      </c>
      <c r="AB1691" s="3" t="str">
        <f t="shared" si="12"/>
        <v>____</v>
      </c>
    </row>
    <row r="1692" spans="1:30" ht="14">
      <c r="A1692" s="3">
        <v>1691</v>
      </c>
      <c r="B1692" s="23"/>
      <c r="C1692" s="23"/>
      <c r="D1692" s="23"/>
      <c r="E1692" s="23"/>
      <c r="F1692" s="23"/>
      <c r="G1692" s="23"/>
      <c r="H1692" s="23"/>
      <c r="I1692" s="22"/>
      <c r="J1692" s="23"/>
      <c r="K1692" s="23"/>
      <c r="L1692" s="23"/>
      <c r="M1692" s="32" t="s">
        <v>39</v>
      </c>
      <c r="N1692" s="33">
        <v>65</v>
      </c>
      <c r="O1692" s="33">
        <v>0</v>
      </c>
      <c r="P1692" s="33">
        <v>7</v>
      </c>
      <c r="Q1692" s="32">
        <v>0</v>
      </c>
      <c r="R1692" s="33">
        <v>1</v>
      </c>
      <c r="S1692" s="32">
        <v>0</v>
      </c>
      <c r="T1692" s="3">
        <v>0</v>
      </c>
      <c r="U1692" s="3">
        <v>0.23977999999999999</v>
      </c>
      <c r="V1692" s="3">
        <v>0.22692999999999999</v>
      </c>
      <c r="W1692" s="3">
        <v>0</v>
      </c>
      <c r="X1692" s="3">
        <v>0</v>
      </c>
      <c r="Y1692" s="32" t="s">
        <v>227</v>
      </c>
      <c r="Z1692" s="23"/>
      <c r="AA1692" s="3" t="str">
        <f t="shared" si="13"/>
        <v>___</v>
      </c>
      <c r="AB1692" s="3" t="str">
        <f t="shared" si="12"/>
        <v>____</v>
      </c>
    </row>
    <row r="1693" spans="1:30" ht="14">
      <c r="A1693" s="3">
        <v>1692</v>
      </c>
      <c r="B1693" s="23"/>
      <c r="C1693" s="32">
        <v>89</v>
      </c>
      <c r="D1693" s="32">
        <v>33</v>
      </c>
      <c r="E1693" s="23"/>
      <c r="F1693" s="23"/>
      <c r="G1693" s="23"/>
      <c r="H1693" s="32" t="s">
        <v>35</v>
      </c>
      <c r="I1693" s="33">
        <v>1</v>
      </c>
      <c r="J1693" s="32">
        <v>9.3000000000000007</v>
      </c>
      <c r="K1693" s="32">
        <v>11.1</v>
      </c>
      <c r="L1693" s="32">
        <v>3</v>
      </c>
      <c r="M1693" s="32" t="s">
        <v>36</v>
      </c>
      <c r="N1693" s="33">
        <v>44</v>
      </c>
      <c r="O1693" s="33">
        <v>11</v>
      </c>
      <c r="P1693" s="33">
        <v>11</v>
      </c>
      <c r="Q1693" s="32">
        <v>0</v>
      </c>
      <c r="R1693" s="33">
        <v>0</v>
      </c>
      <c r="S1693" s="32">
        <v>0</v>
      </c>
      <c r="T1693" s="3">
        <v>8.5300000000000001E-2</v>
      </c>
      <c r="U1693" s="3">
        <v>1.512E-2</v>
      </c>
      <c r="V1693" s="3">
        <v>0</v>
      </c>
      <c r="W1693" s="3">
        <v>0</v>
      </c>
      <c r="X1693" s="3">
        <v>0</v>
      </c>
      <c r="Y1693" s="23"/>
      <c r="Z1693" s="23"/>
      <c r="AA1693" s="3" t="str">
        <f t="shared" si="13"/>
        <v>89_33__vv</v>
      </c>
      <c r="AB1693" s="3" t="str">
        <f t="shared" si="12"/>
        <v>89_33__vv_1</v>
      </c>
      <c r="AD1693" s="3" t="s">
        <v>37</v>
      </c>
    </row>
    <row r="1694" spans="1:30" ht="14">
      <c r="A1694" s="3">
        <v>1693</v>
      </c>
      <c r="B1694" s="23"/>
      <c r="C1694" s="23"/>
      <c r="D1694" s="23"/>
      <c r="E1694" s="23"/>
      <c r="F1694" s="23"/>
      <c r="G1694" s="23"/>
      <c r="H1694" s="23"/>
      <c r="I1694" s="22"/>
      <c r="J1694" s="23"/>
      <c r="K1694" s="23"/>
      <c r="L1694" s="23"/>
      <c r="M1694" s="32" t="s">
        <v>38</v>
      </c>
      <c r="N1694" s="33">
        <v>42</v>
      </c>
      <c r="O1694" s="33">
        <v>4</v>
      </c>
      <c r="P1694" s="33">
        <v>7</v>
      </c>
      <c r="Q1694" s="32">
        <v>0</v>
      </c>
      <c r="R1694" s="33">
        <v>0</v>
      </c>
      <c r="S1694" s="32">
        <v>0</v>
      </c>
      <c r="T1694" s="3">
        <v>3.8539999999999998E-2</v>
      </c>
      <c r="U1694" s="3">
        <v>1.814E-2</v>
      </c>
      <c r="V1694" s="3">
        <v>0</v>
      </c>
      <c r="W1694" s="3">
        <v>0</v>
      </c>
      <c r="X1694" s="3">
        <v>0</v>
      </c>
      <c r="Y1694" s="23"/>
      <c r="Z1694" s="23"/>
      <c r="AA1694" s="3" t="str">
        <f t="shared" si="13"/>
        <v>___</v>
      </c>
      <c r="AB1694" s="3" t="str">
        <f t="shared" si="12"/>
        <v>____</v>
      </c>
    </row>
    <row r="1695" spans="1:30" ht="14">
      <c r="A1695" s="3">
        <v>1694</v>
      </c>
      <c r="B1695" s="23"/>
      <c r="C1695" s="23"/>
      <c r="D1695" s="23"/>
      <c r="E1695" s="23"/>
      <c r="F1695" s="23"/>
      <c r="G1695" s="23"/>
      <c r="H1695" s="23"/>
      <c r="I1695" s="22"/>
      <c r="J1695" s="23"/>
      <c r="K1695" s="23"/>
      <c r="L1695" s="23"/>
      <c r="M1695" s="32" t="s">
        <v>39</v>
      </c>
      <c r="N1695" s="33">
        <v>28</v>
      </c>
      <c r="O1695" s="33">
        <v>0</v>
      </c>
      <c r="P1695" s="33">
        <v>4</v>
      </c>
      <c r="Q1695" s="32">
        <v>0</v>
      </c>
      <c r="R1695" s="33">
        <v>0</v>
      </c>
      <c r="S1695" s="32">
        <v>0</v>
      </c>
      <c r="T1695" s="3">
        <v>0</v>
      </c>
      <c r="U1695" s="3">
        <v>1.0869999999999999E-2</v>
      </c>
      <c r="V1695" s="3">
        <v>0</v>
      </c>
      <c r="W1695" s="3">
        <v>0</v>
      </c>
      <c r="X1695" s="3">
        <v>0</v>
      </c>
      <c r="Y1695" s="23"/>
      <c r="Z1695" s="23"/>
      <c r="AA1695" s="3" t="str">
        <f t="shared" si="13"/>
        <v>___</v>
      </c>
      <c r="AB1695" s="3" t="str">
        <f t="shared" si="12"/>
        <v>____</v>
      </c>
    </row>
    <row r="1696" spans="1:30" ht="14">
      <c r="A1696" s="3">
        <v>1695</v>
      </c>
      <c r="B1696" s="23"/>
      <c r="C1696" s="32">
        <v>89</v>
      </c>
      <c r="D1696" s="32">
        <v>33</v>
      </c>
      <c r="E1696" s="23"/>
      <c r="F1696" s="23"/>
      <c r="G1696" s="23"/>
      <c r="H1696" s="32" t="s">
        <v>35</v>
      </c>
      <c r="I1696" s="33">
        <v>2</v>
      </c>
      <c r="J1696" s="32">
        <v>19.399999999999999</v>
      </c>
      <c r="K1696" s="32">
        <v>17.2</v>
      </c>
      <c r="L1696" s="32">
        <v>4</v>
      </c>
      <c r="M1696" s="32" t="s">
        <v>36</v>
      </c>
      <c r="N1696" s="33">
        <v>52</v>
      </c>
      <c r="O1696" s="33">
        <v>14</v>
      </c>
      <c r="P1696" s="33">
        <v>15</v>
      </c>
      <c r="Q1696" s="32">
        <v>0</v>
      </c>
      <c r="R1696" s="33">
        <v>0</v>
      </c>
      <c r="S1696" s="32">
        <v>0</v>
      </c>
      <c r="T1696" s="3">
        <v>0.18878</v>
      </c>
      <c r="U1696" s="3">
        <v>2.776E-2</v>
      </c>
      <c r="V1696" s="3">
        <v>0</v>
      </c>
      <c r="W1696" s="3">
        <v>0</v>
      </c>
      <c r="X1696" s="3">
        <v>0</v>
      </c>
      <c r="Y1696" s="23"/>
      <c r="Z1696" s="23"/>
      <c r="AA1696" s="3" t="str">
        <f t="shared" si="13"/>
        <v>89_33__vv</v>
      </c>
      <c r="AB1696" s="3" t="str">
        <f t="shared" si="12"/>
        <v>89_33__vv_2</v>
      </c>
      <c r="AD1696" s="3" t="s">
        <v>37</v>
      </c>
    </row>
    <row r="1697" spans="1:30" ht="14">
      <c r="A1697" s="3">
        <v>1696</v>
      </c>
      <c r="B1697" s="23"/>
      <c r="C1697" s="23"/>
      <c r="D1697" s="23"/>
      <c r="E1697" s="23"/>
      <c r="F1697" s="23"/>
      <c r="G1697" s="23"/>
      <c r="H1697" s="23"/>
      <c r="I1697" s="22"/>
      <c r="J1697" s="23"/>
      <c r="K1697" s="23"/>
      <c r="L1697" s="23"/>
      <c r="M1697" s="32" t="s">
        <v>38</v>
      </c>
      <c r="N1697" s="33">
        <v>64</v>
      </c>
      <c r="O1697" s="33">
        <v>10</v>
      </c>
      <c r="P1697" s="33">
        <v>13</v>
      </c>
      <c r="Q1697" s="32">
        <v>0</v>
      </c>
      <c r="R1697" s="33">
        <v>1</v>
      </c>
      <c r="S1697" s="32">
        <v>0</v>
      </c>
      <c r="T1697" s="3">
        <v>0.20319000000000001</v>
      </c>
      <c r="U1697" s="3">
        <v>5.8049999999999997E-2</v>
      </c>
      <c r="V1697" s="3">
        <v>3.388E-2</v>
      </c>
      <c r="W1697" s="3">
        <v>0</v>
      </c>
      <c r="X1697" s="3">
        <v>0</v>
      </c>
      <c r="Y1697" s="23"/>
      <c r="Z1697" s="23"/>
      <c r="AA1697" s="3" t="str">
        <f t="shared" si="13"/>
        <v>___</v>
      </c>
      <c r="AB1697" s="3" t="str">
        <f t="shared" si="12"/>
        <v>____</v>
      </c>
    </row>
    <row r="1698" spans="1:30" ht="14">
      <c r="A1698" s="3">
        <v>1697</v>
      </c>
      <c r="B1698" s="23"/>
      <c r="C1698" s="23"/>
      <c r="D1698" s="23"/>
      <c r="E1698" s="23"/>
      <c r="F1698" s="23"/>
      <c r="G1698" s="23"/>
      <c r="H1698" s="23"/>
      <c r="I1698" s="22"/>
      <c r="J1698" s="23"/>
      <c r="K1698" s="23"/>
      <c r="L1698" s="23"/>
      <c r="M1698" s="32" t="s">
        <v>39</v>
      </c>
      <c r="N1698" s="33">
        <v>47</v>
      </c>
      <c r="O1698" s="33">
        <v>0</v>
      </c>
      <c r="P1698" s="33">
        <v>11</v>
      </c>
      <c r="Q1698" s="32">
        <v>0</v>
      </c>
      <c r="R1698" s="33">
        <v>0</v>
      </c>
      <c r="S1698" s="32">
        <v>0</v>
      </c>
      <c r="T1698" s="3">
        <v>5.5700000000000003E-3</v>
      </c>
      <c r="U1698" s="3">
        <v>4.4499999999999998E-2</v>
      </c>
      <c r="V1698" s="3">
        <v>0</v>
      </c>
      <c r="W1698" s="3">
        <v>0</v>
      </c>
      <c r="X1698" s="3">
        <v>0</v>
      </c>
      <c r="Y1698" s="32" t="s">
        <v>228</v>
      </c>
      <c r="Z1698" s="23"/>
      <c r="AA1698" s="3" t="str">
        <f t="shared" si="13"/>
        <v>___</v>
      </c>
      <c r="AB1698" s="3" t="str">
        <f t="shared" si="12"/>
        <v>____</v>
      </c>
    </row>
    <row r="1699" spans="1:30" ht="14">
      <c r="A1699" s="3">
        <v>1698</v>
      </c>
      <c r="B1699" s="23"/>
      <c r="C1699" s="32">
        <v>89</v>
      </c>
      <c r="D1699" s="32">
        <v>33</v>
      </c>
      <c r="E1699" s="23"/>
      <c r="F1699" s="23"/>
      <c r="G1699" s="23"/>
      <c r="H1699" s="32" t="s">
        <v>35</v>
      </c>
      <c r="I1699" s="33">
        <v>3</v>
      </c>
      <c r="J1699" s="32">
        <v>12.7</v>
      </c>
      <c r="K1699" s="32">
        <v>13.6</v>
      </c>
      <c r="L1699" s="32">
        <v>3</v>
      </c>
      <c r="M1699" s="32" t="s">
        <v>36</v>
      </c>
      <c r="N1699" s="33">
        <v>56</v>
      </c>
      <c r="O1699" s="33">
        <v>11</v>
      </c>
      <c r="P1699" s="33">
        <v>14</v>
      </c>
      <c r="Q1699" s="32">
        <v>0</v>
      </c>
      <c r="R1699" s="33">
        <v>0</v>
      </c>
      <c r="S1699" s="32">
        <v>0</v>
      </c>
      <c r="T1699" s="3">
        <v>7.7160000000000006E-2</v>
      </c>
      <c r="U1699" s="3">
        <v>2.2530000000000001E-2</v>
      </c>
      <c r="V1699" s="3">
        <v>0</v>
      </c>
      <c r="W1699" s="3">
        <v>0</v>
      </c>
      <c r="X1699" s="3">
        <v>0</v>
      </c>
      <c r="Y1699" s="23"/>
      <c r="Z1699" s="23"/>
      <c r="AA1699" s="3" t="str">
        <f t="shared" si="13"/>
        <v>89_33__vv</v>
      </c>
      <c r="AB1699" s="3" t="str">
        <f t="shared" si="12"/>
        <v>89_33__vv_3</v>
      </c>
      <c r="AD1699" s="3" t="s">
        <v>37</v>
      </c>
    </row>
    <row r="1700" spans="1:30" ht="14">
      <c r="A1700" s="3">
        <v>1699</v>
      </c>
      <c r="B1700" s="23"/>
      <c r="C1700" s="23"/>
      <c r="D1700" s="23"/>
      <c r="E1700" s="23"/>
      <c r="F1700" s="23"/>
      <c r="G1700" s="23"/>
      <c r="H1700" s="23"/>
      <c r="I1700" s="22"/>
      <c r="J1700" s="23"/>
      <c r="K1700" s="23"/>
      <c r="L1700" s="23"/>
      <c r="M1700" s="32" t="s">
        <v>38</v>
      </c>
      <c r="N1700" s="33">
        <v>24</v>
      </c>
      <c r="O1700" s="33">
        <v>2</v>
      </c>
      <c r="P1700" s="33">
        <v>5</v>
      </c>
      <c r="Q1700" s="32">
        <v>0</v>
      </c>
      <c r="R1700" s="33">
        <v>0</v>
      </c>
      <c r="S1700" s="32">
        <v>0</v>
      </c>
      <c r="T1700" s="3">
        <v>1.0959999999999999E-2</v>
      </c>
      <c r="U1700" s="3">
        <v>1.312E-2</v>
      </c>
      <c r="V1700" s="3">
        <v>0</v>
      </c>
      <c r="W1700" s="3">
        <v>0</v>
      </c>
      <c r="X1700" s="3">
        <v>0</v>
      </c>
      <c r="Y1700" s="23"/>
      <c r="Z1700" s="23"/>
      <c r="AA1700" s="3" t="str">
        <f t="shared" si="13"/>
        <v>___</v>
      </c>
      <c r="AB1700" s="3" t="str">
        <f t="shared" si="12"/>
        <v>____</v>
      </c>
    </row>
    <row r="1701" spans="1:30" ht="14">
      <c r="A1701" s="3">
        <v>1700</v>
      </c>
      <c r="B1701" s="23"/>
      <c r="C1701" s="23"/>
      <c r="D1701" s="23"/>
      <c r="E1701" s="23"/>
      <c r="F1701" s="23"/>
      <c r="G1701" s="23"/>
      <c r="H1701" s="23"/>
      <c r="I1701" s="22"/>
      <c r="J1701" s="23"/>
      <c r="K1701" s="23"/>
      <c r="L1701" s="23"/>
      <c r="M1701" s="32" t="s">
        <v>39</v>
      </c>
      <c r="N1701" s="33">
        <v>57</v>
      </c>
      <c r="O1701" s="33">
        <v>0</v>
      </c>
      <c r="P1701" s="33">
        <v>9</v>
      </c>
      <c r="Q1701" s="32">
        <v>0</v>
      </c>
      <c r="R1701" s="33">
        <v>0</v>
      </c>
      <c r="S1701" s="32">
        <v>0</v>
      </c>
      <c r="T1701" s="3">
        <v>0</v>
      </c>
      <c r="U1701" s="3">
        <v>2.2380000000000001E-2</v>
      </c>
      <c r="V1701" s="3">
        <v>0</v>
      </c>
      <c r="W1701" s="3">
        <v>0</v>
      </c>
      <c r="X1701" s="3">
        <v>0</v>
      </c>
      <c r="Y1701" s="23"/>
      <c r="Z1701" s="23"/>
      <c r="AA1701" s="3" t="str">
        <f t="shared" si="13"/>
        <v>___</v>
      </c>
      <c r="AB1701" s="3" t="str">
        <f t="shared" si="12"/>
        <v>____</v>
      </c>
    </row>
    <row r="1702" spans="1:30" ht="14">
      <c r="A1702" s="3">
        <v>1701</v>
      </c>
      <c r="B1702" s="23"/>
      <c r="C1702" s="32">
        <v>926</v>
      </c>
      <c r="D1702" s="32">
        <v>53</v>
      </c>
      <c r="E1702" s="23"/>
      <c r="F1702" s="23"/>
      <c r="G1702" s="23"/>
      <c r="H1702" s="32" t="s">
        <v>40</v>
      </c>
      <c r="I1702" s="33">
        <v>1</v>
      </c>
      <c r="J1702" s="32">
        <v>10.7</v>
      </c>
      <c r="K1702" s="32">
        <v>12.8</v>
      </c>
      <c r="L1702" s="32">
        <v>5</v>
      </c>
      <c r="M1702" s="32" t="s">
        <v>36</v>
      </c>
      <c r="N1702" s="33">
        <v>16</v>
      </c>
      <c r="O1702" s="33">
        <v>4</v>
      </c>
      <c r="P1702" s="33">
        <v>4</v>
      </c>
      <c r="Q1702" s="32">
        <v>0</v>
      </c>
      <c r="R1702" s="33">
        <v>0</v>
      </c>
      <c r="S1702" s="32">
        <v>0</v>
      </c>
      <c r="T1702" s="3">
        <v>1.0279999999999999E-2</v>
      </c>
      <c r="U1702" s="3">
        <v>4.0800000000000003E-3</v>
      </c>
      <c r="V1702" s="3">
        <v>0</v>
      </c>
      <c r="W1702" s="3">
        <v>0</v>
      </c>
      <c r="X1702" s="3">
        <v>0</v>
      </c>
      <c r="Y1702" s="23"/>
      <c r="Z1702" s="23"/>
      <c r="AA1702" s="3" t="str">
        <f t="shared" si="13"/>
        <v>926_53__vm</v>
      </c>
      <c r="AB1702" s="3" t="str">
        <f t="shared" si="12"/>
        <v>926_53__vm_1</v>
      </c>
      <c r="AD1702" s="3" t="s">
        <v>37</v>
      </c>
    </row>
    <row r="1703" spans="1:30" ht="14">
      <c r="A1703" s="3">
        <v>1702</v>
      </c>
      <c r="B1703" s="23"/>
      <c r="C1703" s="23"/>
      <c r="D1703" s="23"/>
      <c r="E1703" s="23"/>
      <c r="F1703" s="23"/>
      <c r="G1703" s="23"/>
      <c r="H1703" s="23"/>
      <c r="I1703" s="22"/>
      <c r="J1703" s="23"/>
      <c r="K1703" s="23"/>
      <c r="L1703" s="23"/>
      <c r="M1703" s="32" t="s">
        <v>38</v>
      </c>
      <c r="N1703" s="33">
        <v>20</v>
      </c>
      <c r="O1703" s="33">
        <v>0</v>
      </c>
      <c r="P1703" s="33">
        <v>2</v>
      </c>
      <c r="Q1703" s="32">
        <v>1</v>
      </c>
      <c r="R1703" s="33">
        <v>1</v>
      </c>
      <c r="S1703" s="32">
        <v>0</v>
      </c>
      <c r="T1703" s="3">
        <v>0</v>
      </c>
      <c r="U1703" s="3">
        <v>7.8600000000000007E-3</v>
      </c>
      <c r="V1703" s="3">
        <v>8.0599999999999995E-3</v>
      </c>
      <c r="W1703" s="3">
        <v>0</v>
      </c>
      <c r="X1703" s="3">
        <v>0</v>
      </c>
      <c r="Y1703" s="23"/>
      <c r="Z1703" s="23"/>
      <c r="AA1703" s="3" t="str">
        <f t="shared" si="13"/>
        <v>___</v>
      </c>
      <c r="AB1703" s="3" t="str">
        <f t="shared" si="12"/>
        <v>____</v>
      </c>
    </row>
    <row r="1704" spans="1:30" ht="14">
      <c r="A1704" s="3">
        <v>1703</v>
      </c>
      <c r="B1704" s="23"/>
      <c r="C1704" s="23"/>
      <c r="D1704" s="23"/>
      <c r="E1704" s="23"/>
      <c r="F1704" s="23"/>
      <c r="G1704" s="23"/>
      <c r="H1704" s="23"/>
      <c r="I1704" s="22"/>
      <c r="J1704" s="23"/>
      <c r="K1704" s="23"/>
      <c r="L1704" s="23"/>
      <c r="M1704" s="32" t="s">
        <v>39</v>
      </c>
      <c r="N1704" s="33">
        <v>34</v>
      </c>
      <c r="O1704" s="33">
        <v>0</v>
      </c>
      <c r="P1704" s="33">
        <v>4</v>
      </c>
      <c r="Q1704" s="32">
        <v>1</v>
      </c>
      <c r="R1704" s="33">
        <v>1</v>
      </c>
      <c r="S1704" s="32">
        <v>0</v>
      </c>
      <c r="T1704" s="3">
        <v>0</v>
      </c>
      <c r="U1704" s="3">
        <v>1.7600000000000001E-2</v>
      </c>
      <c r="V1704" s="3">
        <v>1.6879999999999999E-2</v>
      </c>
      <c r="W1704" s="3">
        <v>0</v>
      </c>
      <c r="X1704" s="3">
        <v>0</v>
      </c>
      <c r="Y1704" s="23"/>
      <c r="Z1704" s="23"/>
      <c r="AA1704" s="3" t="str">
        <f t="shared" si="13"/>
        <v>___</v>
      </c>
      <c r="AB1704" s="3" t="str">
        <f t="shared" si="12"/>
        <v>____</v>
      </c>
    </row>
    <row r="1705" spans="1:30" ht="14">
      <c r="A1705" s="3">
        <v>1704</v>
      </c>
      <c r="B1705" s="23"/>
      <c r="C1705" s="32">
        <v>926</v>
      </c>
      <c r="D1705" s="32">
        <v>53</v>
      </c>
      <c r="E1705" s="23"/>
      <c r="F1705" s="23"/>
      <c r="G1705" s="23"/>
      <c r="H1705" s="32" t="s">
        <v>40</v>
      </c>
      <c r="I1705" s="33">
        <v>2</v>
      </c>
      <c r="J1705" s="32">
        <v>11.8</v>
      </c>
      <c r="K1705" s="32">
        <v>16.5</v>
      </c>
      <c r="L1705" s="32">
        <v>11</v>
      </c>
      <c r="M1705" s="32" t="s">
        <v>36</v>
      </c>
      <c r="N1705" s="33">
        <v>8</v>
      </c>
      <c r="O1705" s="33">
        <v>3</v>
      </c>
      <c r="P1705" s="33">
        <v>3</v>
      </c>
      <c r="Q1705" s="32">
        <v>0</v>
      </c>
      <c r="R1705" s="33">
        <v>0</v>
      </c>
      <c r="S1705" s="32">
        <v>0</v>
      </c>
      <c r="T1705" s="3">
        <v>7.8799999999999999E-3</v>
      </c>
      <c r="U1705" s="3">
        <v>1.41E-3</v>
      </c>
      <c r="V1705" s="3">
        <v>0</v>
      </c>
      <c r="W1705" s="3">
        <v>0</v>
      </c>
      <c r="X1705" s="3">
        <v>0</v>
      </c>
      <c r="Y1705" s="23"/>
      <c r="Z1705" s="23"/>
      <c r="AA1705" s="3" t="str">
        <f t="shared" si="13"/>
        <v>926_53__vm</v>
      </c>
      <c r="AB1705" s="3" t="str">
        <f t="shared" si="12"/>
        <v>926_53__vm_2</v>
      </c>
      <c r="AD1705" s="3" t="s">
        <v>37</v>
      </c>
    </row>
    <row r="1706" spans="1:30" ht="14">
      <c r="A1706" s="3">
        <v>1705</v>
      </c>
      <c r="B1706" s="23"/>
      <c r="C1706" s="23"/>
      <c r="D1706" s="23"/>
      <c r="E1706" s="23"/>
      <c r="F1706" s="23"/>
      <c r="G1706" s="23"/>
      <c r="H1706" s="23"/>
      <c r="I1706" s="22"/>
      <c r="J1706" s="23"/>
      <c r="K1706" s="23"/>
      <c r="L1706" s="23"/>
      <c r="M1706" s="32" t="s">
        <v>38</v>
      </c>
      <c r="N1706" s="33">
        <v>22</v>
      </c>
      <c r="O1706" s="33">
        <v>0</v>
      </c>
      <c r="P1706" s="33">
        <v>2</v>
      </c>
      <c r="Q1706" s="32">
        <v>1</v>
      </c>
      <c r="R1706" s="33">
        <v>1</v>
      </c>
      <c r="S1706" s="32">
        <v>0</v>
      </c>
      <c r="T1706" s="3">
        <v>0</v>
      </c>
      <c r="U1706" s="36">
        <v>1.1520000000000001E-2</v>
      </c>
      <c r="V1706" s="3">
        <v>5.8500000000000002E-3</v>
      </c>
      <c r="W1706" s="3">
        <v>0</v>
      </c>
      <c r="X1706" s="3">
        <v>0</v>
      </c>
      <c r="Y1706" s="23"/>
      <c r="Z1706" s="23"/>
      <c r="AA1706" s="3" t="str">
        <f t="shared" si="13"/>
        <v>___</v>
      </c>
      <c r="AB1706" s="3" t="str">
        <f t="shared" si="12"/>
        <v>____</v>
      </c>
    </row>
    <row r="1707" spans="1:30" ht="14">
      <c r="A1707" s="3">
        <v>1706</v>
      </c>
      <c r="B1707" s="23"/>
      <c r="C1707" s="23"/>
      <c r="D1707" s="23"/>
      <c r="E1707" s="23"/>
      <c r="F1707" s="23"/>
      <c r="G1707" s="23"/>
      <c r="H1707" s="23"/>
      <c r="I1707" s="22"/>
      <c r="J1707" s="23"/>
      <c r="K1707" s="23"/>
      <c r="L1707" s="23"/>
      <c r="M1707" s="32" t="s">
        <v>39</v>
      </c>
      <c r="N1707" s="33">
        <v>16</v>
      </c>
      <c r="O1707" s="33">
        <v>0</v>
      </c>
      <c r="P1707" s="33">
        <v>1</v>
      </c>
      <c r="Q1707" s="32">
        <v>3</v>
      </c>
      <c r="R1707" s="33">
        <v>1</v>
      </c>
      <c r="S1707" s="32">
        <v>0</v>
      </c>
      <c r="T1707" s="3">
        <v>0</v>
      </c>
      <c r="U1707" s="3">
        <v>5.45E-3</v>
      </c>
      <c r="V1707" s="3">
        <v>1.056E-2</v>
      </c>
      <c r="W1707" s="3">
        <v>0</v>
      </c>
      <c r="X1707" s="3">
        <v>0</v>
      </c>
      <c r="Y1707" s="23"/>
      <c r="Z1707" s="23"/>
      <c r="AA1707" s="3" t="str">
        <f t="shared" si="13"/>
        <v>___</v>
      </c>
      <c r="AB1707" s="3" t="str">
        <f t="shared" si="12"/>
        <v>____</v>
      </c>
    </row>
    <row r="1708" spans="1:30" ht="14">
      <c r="A1708" s="3">
        <v>1707</v>
      </c>
      <c r="B1708" s="23"/>
      <c r="C1708" s="32">
        <v>926</v>
      </c>
      <c r="D1708" s="32">
        <v>53</v>
      </c>
      <c r="E1708" s="23"/>
      <c r="F1708" s="23"/>
      <c r="G1708" s="23"/>
      <c r="H1708" s="32" t="s">
        <v>40</v>
      </c>
      <c r="I1708" s="33">
        <v>3</v>
      </c>
      <c r="J1708" s="32">
        <v>14</v>
      </c>
      <c r="K1708" s="32">
        <v>10.8</v>
      </c>
      <c r="L1708" s="32">
        <v>6</v>
      </c>
      <c r="M1708" s="32" t="s">
        <v>36</v>
      </c>
      <c r="N1708" s="33">
        <v>17</v>
      </c>
      <c r="O1708" s="33">
        <v>5</v>
      </c>
      <c r="P1708" s="33">
        <v>5</v>
      </c>
      <c r="Q1708" s="32">
        <v>0</v>
      </c>
      <c r="R1708" s="33">
        <v>0</v>
      </c>
      <c r="S1708" s="32">
        <v>0</v>
      </c>
      <c r="T1708" s="3">
        <v>1.3780000000000001E-2</v>
      </c>
      <c r="U1708" s="3">
        <v>4.7200000000000002E-3</v>
      </c>
      <c r="V1708" s="3">
        <v>0</v>
      </c>
      <c r="W1708" s="3">
        <v>0</v>
      </c>
      <c r="X1708" s="3">
        <v>0</v>
      </c>
      <c r="Y1708" s="23"/>
      <c r="Z1708" s="23"/>
      <c r="AA1708" s="3" t="str">
        <f t="shared" si="13"/>
        <v>926_53__vm</v>
      </c>
      <c r="AB1708" s="3" t="str">
        <f t="shared" si="12"/>
        <v>926_53__vm_3</v>
      </c>
      <c r="AD1708" s="3" t="s">
        <v>37</v>
      </c>
    </row>
    <row r="1709" spans="1:30" ht="14">
      <c r="A1709" s="3">
        <v>1708</v>
      </c>
      <c r="B1709" s="23"/>
      <c r="C1709" s="23"/>
      <c r="D1709" s="23"/>
      <c r="E1709" s="23"/>
      <c r="F1709" s="23"/>
      <c r="G1709" s="23"/>
      <c r="H1709" s="23"/>
      <c r="I1709" s="22"/>
      <c r="J1709" s="23"/>
      <c r="K1709" s="23"/>
      <c r="L1709" s="23"/>
      <c r="M1709" s="32" t="s">
        <v>38</v>
      </c>
      <c r="N1709" s="33">
        <v>40</v>
      </c>
      <c r="O1709" s="33">
        <v>0</v>
      </c>
      <c r="P1709" s="33">
        <v>3</v>
      </c>
      <c r="Q1709" s="32">
        <v>3</v>
      </c>
      <c r="R1709" s="33">
        <v>3</v>
      </c>
      <c r="S1709" s="32">
        <v>0</v>
      </c>
      <c r="T1709" s="3">
        <v>0</v>
      </c>
      <c r="U1709" s="3">
        <v>0.2283</v>
      </c>
      <c r="V1709" s="3">
        <v>2.5510000000000001E-2</v>
      </c>
      <c r="W1709" s="3">
        <v>0</v>
      </c>
      <c r="X1709" s="3">
        <v>0</v>
      </c>
      <c r="Y1709" s="23"/>
      <c r="Z1709" s="23"/>
      <c r="AA1709" s="3" t="str">
        <f t="shared" si="13"/>
        <v>___</v>
      </c>
      <c r="AB1709" s="3" t="str">
        <f t="shared" si="12"/>
        <v>____</v>
      </c>
    </row>
    <row r="1710" spans="1:30" ht="14">
      <c r="A1710" s="3">
        <v>1709</v>
      </c>
      <c r="B1710" s="23"/>
      <c r="C1710" s="23"/>
      <c r="D1710" s="23"/>
      <c r="E1710" s="23"/>
      <c r="F1710" s="23"/>
      <c r="G1710" s="23"/>
      <c r="H1710" s="23"/>
      <c r="I1710" s="22"/>
      <c r="J1710" s="23"/>
      <c r="K1710" s="23"/>
      <c r="L1710" s="23"/>
      <c r="M1710" s="32" t="s">
        <v>39</v>
      </c>
      <c r="N1710" s="33">
        <v>36</v>
      </c>
      <c r="O1710" s="33">
        <v>0</v>
      </c>
      <c r="P1710" s="33">
        <v>5</v>
      </c>
      <c r="Q1710" s="32">
        <v>1</v>
      </c>
      <c r="R1710" s="33">
        <v>1</v>
      </c>
      <c r="S1710" s="32">
        <v>0</v>
      </c>
      <c r="T1710" s="3">
        <v>0</v>
      </c>
      <c r="U1710" s="3">
        <v>3.576E-2</v>
      </c>
      <c r="V1710" s="3">
        <v>4.7890000000000002E-2</v>
      </c>
      <c r="W1710" s="3">
        <v>0</v>
      </c>
      <c r="X1710" s="3">
        <v>0</v>
      </c>
      <c r="Y1710" s="23"/>
      <c r="Z1710" s="23"/>
      <c r="AA1710" s="3" t="str">
        <f t="shared" si="13"/>
        <v>___</v>
      </c>
      <c r="AB1710" s="3" t="str">
        <f t="shared" si="12"/>
        <v>____</v>
      </c>
    </row>
    <row r="1711" spans="1:30" ht="14">
      <c r="A1711" s="3">
        <v>1710</v>
      </c>
      <c r="B1711" s="23"/>
      <c r="C1711" s="32">
        <v>238</v>
      </c>
      <c r="D1711" s="32">
        <v>35</v>
      </c>
      <c r="E1711" s="23"/>
      <c r="F1711" s="23"/>
      <c r="G1711" s="23"/>
      <c r="H1711" s="32" t="s">
        <v>35</v>
      </c>
      <c r="I1711" s="33">
        <v>1</v>
      </c>
      <c r="J1711" s="32">
        <v>15.3</v>
      </c>
      <c r="K1711" s="32">
        <v>12.9</v>
      </c>
      <c r="L1711" s="32">
        <v>2</v>
      </c>
      <c r="M1711" s="32" t="s">
        <v>36</v>
      </c>
      <c r="N1711" s="33">
        <v>92</v>
      </c>
      <c r="O1711" s="33">
        <v>12</v>
      </c>
      <c r="P1711" s="33">
        <v>15</v>
      </c>
      <c r="Q1711" s="32">
        <v>0</v>
      </c>
      <c r="R1711" s="33">
        <v>0</v>
      </c>
      <c r="S1711" s="32">
        <v>0</v>
      </c>
      <c r="T1711" s="3">
        <v>8.3019999999999997E-2</v>
      </c>
      <c r="U1711" s="3">
        <v>3.9419999999999997E-2</v>
      </c>
      <c r="V1711" s="3">
        <v>0</v>
      </c>
      <c r="W1711" s="3">
        <v>0</v>
      </c>
      <c r="X1711" s="3">
        <v>0</v>
      </c>
      <c r="Y1711" s="23"/>
      <c r="Z1711" s="23"/>
      <c r="AA1711" s="3" t="str">
        <f t="shared" si="13"/>
        <v>238_35__vv</v>
      </c>
      <c r="AB1711" s="3" t="str">
        <f t="shared" si="12"/>
        <v>238_35__vv_1</v>
      </c>
      <c r="AD1711" s="3" t="s">
        <v>37</v>
      </c>
    </row>
    <row r="1712" spans="1:30" ht="14">
      <c r="A1712" s="3">
        <v>1711</v>
      </c>
      <c r="B1712" s="23"/>
      <c r="C1712" s="23"/>
      <c r="D1712" s="23"/>
      <c r="E1712" s="23"/>
      <c r="F1712" s="23"/>
      <c r="G1712" s="23"/>
      <c r="H1712" s="23"/>
      <c r="I1712" s="22"/>
      <c r="J1712" s="23"/>
      <c r="K1712" s="23"/>
      <c r="L1712" s="23"/>
      <c r="M1712" s="32" t="s">
        <v>38</v>
      </c>
      <c r="N1712" s="33">
        <v>44</v>
      </c>
      <c r="O1712" s="33">
        <v>0</v>
      </c>
      <c r="P1712" s="33">
        <v>10</v>
      </c>
      <c r="Q1712" s="32">
        <v>0</v>
      </c>
      <c r="R1712" s="33">
        <v>1</v>
      </c>
      <c r="S1712" s="32">
        <v>0</v>
      </c>
      <c r="T1712" s="3">
        <v>0</v>
      </c>
      <c r="U1712" s="3">
        <v>3.5749999999999997E-2</v>
      </c>
      <c r="V1712" s="3">
        <v>0.16802</v>
      </c>
      <c r="W1712" s="3">
        <v>0</v>
      </c>
      <c r="X1712" s="3">
        <v>0</v>
      </c>
      <c r="Y1712" s="32" t="s">
        <v>229</v>
      </c>
      <c r="Z1712" s="23"/>
      <c r="AA1712" s="3" t="str">
        <f t="shared" si="13"/>
        <v>___</v>
      </c>
      <c r="AB1712" s="3" t="str">
        <f t="shared" si="12"/>
        <v>____</v>
      </c>
    </row>
    <row r="1713" spans="1:30" ht="14">
      <c r="A1713" s="3">
        <v>1712</v>
      </c>
      <c r="B1713" s="23"/>
      <c r="C1713" s="32">
        <v>238</v>
      </c>
      <c r="D1713" s="32">
        <v>35</v>
      </c>
      <c r="E1713" s="23"/>
      <c r="F1713" s="23"/>
      <c r="G1713" s="23"/>
      <c r="H1713" s="32" t="s">
        <v>35</v>
      </c>
      <c r="I1713" s="33">
        <v>2</v>
      </c>
      <c r="J1713" s="32">
        <v>23.8</v>
      </c>
      <c r="K1713" s="32">
        <v>26.2</v>
      </c>
      <c r="L1713" s="32">
        <v>5</v>
      </c>
      <c r="M1713" s="32" t="s">
        <v>36</v>
      </c>
      <c r="N1713" s="33">
        <v>35</v>
      </c>
      <c r="O1713" s="33">
        <v>10</v>
      </c>
      <c r="P1713" s="33">
        <v>0</v>
      </c>
      <c r="Q1713" s="32">
        <v>0</v>
      </c>
      <c r="R1713" s="33">
        <v>0</v>
      </c>
      <c r="S1713" s="32">
        <v>0</v>
      </c>
      <c r="T1713" s="3">
        <v>5.2240000000000002E-2</v>
      </c>
      <c r="U1713" s="3">
        <v>8.77E-3</v>
      </c>
      <c r="V1713" s="3">
        <v>0</v>
      </c>
      <c r="W1713" s="3">
        <v>0</v>
      </c>
      <c r="X1713" s="3">
        <v>0</v>
      </c>
      <c r="Y1713" s="23"/>
      <c r="Z1713" s="23"/>
      <c r="AA1713" s="3" t="str">
        <f t="shared" si="13"/>
        <v>238_35__vv</v>
      </c>
      <c r="AB1713" s="3" t="str">
        <f t="shared" si="12"/>
        <v>238_35__vv_2</v>
      </c>
      <c r="AD1713" s="3" t="s">
        <v>37</v>
      </c>
    </row>
    <row r="1714" spans="1:30" ht="14">
      <c r="A1714" s="3">
        <v>1713</v>
      </c>
      <c r="B1714" s="23"/>
      <c r="C1714" s="23"/>
      <c r="D1714" s="23"/>
      <c r="E1714" s="23"/>
      <c r="F1714" s="23"/>
      <c r="G1714" s="23"/>
      <c r="H1714" s="23"/>
      <c r="I1714" s="22"/>
      <c r="J1714" s="23"/>
      <c r="K1714" s="23"/>
      <c r="L1714" s="23"/>
      <c r="M1714" s="32" t="s">
        <v>38</v>
      </c>
      <c r="N1714" s="33">
        <v>58</v>
      </c>
      <c r="O1714" s="33">
        <v>11</v>
      </c>
      <c r="P1714" s="33">
        <v>14</v>
      </c>
      <c r="Q1714" s="32">
        <v>0</v>
      </c>
      <c r="R1714" s="33">
        <v>2</v>
      </c>
      <c r="S1714" s="32">
        <v>0</v>
      </c>
      <c r="T1714" s="3">
        <v>0.14802000000000001</v>
      </c>
      <c r="U1714" s="3">
        <v>4.3400000000000001E-2</v>
      </c>
      <c r="V1714" s="3">
        <v>3.1820000000000001E-2</v>
      </c>
      <c r="W1714" s="3">
        <v>0</v>
      </c>
      <c r="X1714" s="3">
        <v>0</v>
      </c>
      <c r="Y1714" s="23"/>
      <c r="Z1714" s="23"/>
      <c r="AA1714" s="3" t="str">
        <f t="shared" si="13"/>
        <v>___</v>
      </c>
      <c r="AB1714" s="3" t="str">
        <f t="shared" si="12"/>
        <v>____</v>
      </c>
    </row>
    <row r="1715" spans="1:30" ht="14">
      <c r="A1715" s="3">
        <v>1714</v>
      </c>
      <c r="B1715" s="23"/>
      <c r="C1715" s="23"/>
      <c r="D1715" s="23"/>
      <c r="E1715" s="23"/>
      <c r="F1715" s="23"/>
      <c r="G1715" s="23"/>
      <c r="H1715" s="23"/>
      <c r="I1715" s="22"/>
      <c r="J1715" s="23"/>
      <c r="K1715" s="23"/>
      <c r="L1715" s="23"/>
      <c r="M1715" s="32" t="s">
        <v>39</v>
      </c>
      <c r="N1715" s="33">
        <v>45</v>
      </c>
      <c r="O1715" s="33">
        <v>4</v>
      </c>
      <c r="P1715" s="33">
        <v>11</v>
      </c>
      <c r="Q1715" s="32">
        <v>0</v>
      </c>
      <c r="R1715" s="33">
        <v>1</v>
      </c>
      <c r="S1715" s="32">
        <v>0</v>
      </c>
      <c r="T1715" s="3">
        <v>6.4140000000000003E-2</v>
      </c>
      <c r="U1715" s="3">
        <v>5.0070000000000003E-2</v>
      </c>
      <c r="V1715" s="3">
        <v>1.4880000000000001E-2</v>
      </c>
      <c r="W1715" s="3">
        <v>0</v>
      </c>
      <c r="X1715" s="3">
        <v>0</v>
      </c>
      <c r="Y1715" s="23"/>
      <c r="Z1715" s="23"/>
      <c r="AA1715" s="3" t="str">
        <f t="shared" si="13"/>
        <v>___</v>
      </c>
      <c r="AB1715" s="3" t="str">
        <f t="shared" si="12"/>
        <v>____</v>
      </c>
    </row>
    <row r="1716" spans="1:30" ht="14">
      <c r="A1716" s="3">
        <v>1715</v>
      </c>
      <c r="B1716" s="23"/>
      <c r="C1716" s="32">
        <v>238</v>
      </c>
      <c r="D1716" s="32">
        <v>35</v>
      </c>
      <c r="E1716" s="23"/>
      <c r="F1716" s="23"/>
      <c r="G1716" s="23"/>
      <c r="H1716" s="32" t="s">
        <v>35</v>
      </c>
      <c r="I1716" s="33">
        <v>3</v>
      </c>
      <c r="J1716" s="32">
        <v>19.3</v>
      </c>
      <c r="K1716" s="32">
        <v>18.2</v>
      </c>
      <c r="L1716" s="32">
        <v>4</v>
      </c>
      <c r="M1716" s="32" t="s">
        <v>36</v>
      </c>
      <c r="N1716" s="33">
        <v>27</v>
      </c>
      <c r="O1716" s="33">
        <v>10</v>
      </c>
      <c r="P1716" s="33">
        <v>10</v>
      </c>
      <c r="Q1716" s="32">
        <v>0</v>
      </c>
      <c r="R1716" s="33">
        <v>0</v>
      </c>
      <c r="S1716" s="32">
        <v>0</v>
      </c>
      <c r="T1716" s="3">
        <v>2.3380000000000001E-2</v>
      </c>
      <c r="U1716" s="3">
        <v>5.64E-3</v>
      </c>
      <c r="V1716" s="3">
        <v>0</v>
      </c>
      <c r="W1716" s="3">
        <v>0</v>
      </c>
      <c r="X1716" s="3">
        <v>0</v>
      </c>
      <c r="Y1716" s="23"/>
      <c r="Z1716" s="23"/>
      <c r="AA1716" s="3" t="str">
        <f t="shared" si="13"/>
        <v>238_35__vv</v>
      </c>
      <c r="AB1716" s="3" t="str">
        <f t="shared" si="12"/>
        <v>238_35__vv_3</v>
      </c>
      <c r="AD1716" s="3" t="s">
        <v>37</v>
      </c>
    </row>
    <row r="1717" spans="1:30" ht="14">
      <c r="A1717" s="3">
        <v>1716</v>
      </c>
      <c r="B1717" s="23"/>
      <c r="C1717" s="23"/>
      <c r="D1717" s="23"/>
      <c r="E1717" s="23"/>
      <c r="F1717" s="23"/>
      <c r="G1717" s="23"/>
      <c r="H1717" s="23"/>
      <c r="I1717" s="22"/>
      <c r="J1717" s="23"/>
      <c r="K1717" s="23"/>
      <c r="L1717" s="23"/>
      <c r="M1717" s="32" t="s">
        <v>38</v>
      </c>
      <c r="N1717" s="33">
        <v>87</v>
      </c>
      <c r="O1717" s="33">
        <v>9</v>
      </c>
      <c r="P1717" s="33">
        <v>14</v>
      </c>
      <c r="Q1717" s="32">
        <v>0</v>
      </c>
      <c r="R1717" s="33">
        <v>3</v>
      </c>
      <c r="S1717" s="32">
        <v>0</v>
      </c>
      <c r="T1717" s="3">
        <v>0.10592</v>
      </c>
      <c r="U1717" s="3">
        <v>6.8279999999999993E-2</v>
      </c>
      <c r="V1717" s="3">
        <v>3.1879999999999999E-2</v>
      </c>
      <c r="W1717" s="3">
        <v>0</v>
      </c>
      <c r="X1717" s="3">
        <v>0</v>
      </c>
      <c r="Y1717" s="32" t="s">
        <v>230</v>
      </c>
      <c r="Z1717" s="23"/>
      <c r="AA1717" s="3" t="str">
        <f t="shared" si="13"/>
        <v>___</v>
      </c>
      <c r="AB1717" s="3" t="str">
        <f t="shared" si="12"/>
        <v>____</v>
      </c>
    </row>
    <row r="1718" spans="1:30" ht="14">
      <c r="A1718" s="3">
        <v>1717</v>
      </c>
      <c r="B1718" s="23"/>
      <c r="C1718" s="23"/>
      <c r="D1718" s="23"/>
      <c r="E1718" s="23"/>
      <c r="F1718" s="23"/>
      <c r="G1718" s="23"/>
      <c r="H1718" s="23"/>
      <c r="I1718" s="22"/>
      <c r="J1718" s="23"/>
      <c r="K1718" s="23"/>
      <c r="L1718" s="23"/>
      <c r="M1718" s="32" t="s">
        <v>39</v>
      </c>
      <c r="N1718" s="33">
        <v>84</v>
      </c>
      <c r="O1718" s="33">
        <v>3</v>
      </c>
      <c r="P1718" s="33">
        <v>13</v>
      </c>
      <c r="Q1718" s="32">
        <v>0</v>
      </c>
      <c r="R1718" s="33">
        <v>2</v>
      </c>
      <c r="S1718" s="32">
        <v>0</v>
      </c>
      <c r="T1718" s="3">
        <v>4.3799999999999999E-2</v>
      </c>
      <c r="U1718" s="3">
        <v>0.11251</v>
      </c>
      <c r="V1718" s="3">
        <v>0.356018</v>
      </c>
      <c r="W1718" s="3">
        <v>0</v>
      </c>
      <c r="X1718" s="3">
        <v>0</v>
      </c>
      <c r="Y1718" s="23"/>
      <c r="Z1718" s="23"/>
      <c r="AA1718" s="3" t="str">
        <f t="shared" si="13"/>
        <v>___</v>
      </c>
      <c r="AB1718" s="3" t="str">
        <f t="shared" si="12"/>
        <v>____</v>
      </c>
    </row>
    <row r="1719" spans="1:30" ht="14">
      <c r="A1719" s="3">
        <v>1718</v>
      </c>
      <c r="B1719" s="23"/>
      <c r="C1719" s="32">
        <v>238</v>
      </c>
      <c r="D1719" s="32">
        <v>35</v>
      </c>
      <c r="E1719" s="23"/>
      <c r="F1719" s="23"/>
      <c r="G1719" s="23"/>
      <c r="H1719" s="32" t="s">
        <v>40</v>
      </c>
      <c r="I1719" s="33">
        <v>1</v>
      </c>
      <c r="J1719" s="32">
        <v>29.4</v>
      </c>
      <c r="K1719" s="32">
        <v>35.200000000000003</v>
      </c>
      <c r="L1719" s="32">
        <v>7</v>
      </c>
      <c r="M1719" s="32" t="s">
        <v>36</v>
      </c>
      <c r="N1719" s="33">
        <v>17</v>
      </c>
      <c r="O1719" s="33">
        <v>3</v>
      </c>
      <c r="P1719" s="33">
        <v>3</v>
      </c>
      <c r="Q1719" s="32">
        <v>0</v>
      </c>
      <c r="R1719" s="33">
        <v>0</v>
      </c>
      <c r="S1719" s="32">
        <v>0</v>
      </c>
      <c r="T1719" s="3">
        <v>1.6830000000000001E-2</v>
      </c>
      <c r="U1719" s="3">
        <v>5.5900000000000004E-3</v>
      </c>
      <c r="V1719" s="3">
        <v>0</v>
      </c>
      <c r="W1719" s="3">
        <v>0</v>
      </c>
      <c r="X1719" s="3">
        <v>0</v>
      </c>
      <c r="Y1719" s="23"/>
      <c r="Z1719" s="23"/>
      <c r="AA1719" s="3" t="str">
        <f t="shared" si="13"/>
        <v>238_35__vm</v>
      </c>
      <c r="AB1719" s="3" t="str">
        <f t="shared" si="12"/>
        <v>238_35__vm_1</v>
      </c>
      <c r="AD1719" s="3" t="s">
        <v>37</v>
      </c>
    </row>
    <row r="1720" spans="1:30" ht="14">
      <c r="A1720" s="3">
        <v>1719</v>
      </c>
      <c r="B1720" s="23"/>
      <c r="C1720" s="23"/>
      <c r="D1720" s="23"/>
      <c r="E1720" s="23"/>
      <c r="F1720" s="23"/>
      <c r="G1720" s="23"/>
      <c r="H1720" s="23"/>
      <c r="I1720" s="22"/>
      <c r="J1720" s="23"/>
      <c r="K1720" s="23"/>
      <c r="L1720" s="23"/>
      <c r="M1720" s="32" t="s">
        <v>38</v>
      </c>
      <c r="N1720" s="33">
        <v>37</v>
      </c>
      <c r="O1720" s="33">
        <v>0</v>
      </c>
      <c r="P1720" s="33">
        <v>6</v>
      </c>
      <c r="Q1720" s="32">
        <v>0</v>
      </c>
      <c r="R1720" s="33">
        <v>2</v>
      </c>
      <c r="S1720" s="32">
        <v>0</v>
      </c>
      <c r="T1720" s="3">
        <v>0</v>
      </c>
      <c r="U1720" s="3">
        <v>1.9879999999999998E-2</v>
      </c>
      <c r="V1720" s="3">
        <v>2.1479999999999999E-2</v>
      </c>
      <c r="W1720" s="3">
        <v>0</v>
      </c>
      <c r="X1720" s="3">
        <v>0</v>
      </c>
      <c r="Y1720" s="23"/>
      <c r="Z1720" s="23"/>
      <c r="AA1720" s="3" t="str">
        <f t="shared" si="13"/>
        <v>___</v>
      </c>
      <c r="AB1720" s="3" t="str">
        <f t="shared" si="12"/>
        <v>____</v>
      </c>
    </row>
    <row r="1721" spans="1:30" ht="14">
      <c r="A1721" s="3">
        <v>1720</v>
      </c>
      <c r="B1721" s="23"/>
      <c r="C1721" s="23"/>
      <c r="D1721" s="23"/>
      <c r="E1721" s="23"/>
      <c r="F1721" s="23"/>
      <c r="G1721" s="23"/>
      <c r="H1721" s="23"/>
      <c r="I1721" s="22"/>
      <c r="J1721" s="23"/>
      <c r="K1721" s="23"/>
      <c r="L1721" s="23"/>
      <c r="M1721" s="32" t="s">
        <v>39</v>
      </c>
      <c r="N1721" s="33">
        <v>75</v>
      </c>
      <c r="O1721" s="33">
        <v>0</v>
      </c>
      <c r="P1721" s="33">
        <v>8</v>
      </c>
      <c r="Q1721" s="32">
        <v>0</v>
      </c>
      <c r="R1721" s="33">
        <v>3</v>
      </c>
      <c r="S1721" s="32">
        <v>0</v>
      </c>
      <c r="T1721" s="3">
        <v>0</v>
      </c>
      <c r="U1721" s="3">
        <v>9.2179999999999998E-2</v>
      </c>
      <c r="V1721" s="3">
        <v>0.19892000000000001</v>
      </c>
      <c r="W1721" s="3">
        <v>0</v>
      </c>
      <c r="X1721" s="3">
        <v>0</v>
      </c>
      <c r="Y1721" s="23"/>
      <c r="Z1721" s="23"/>
      <c r="AA1721" s="3" t="str">
        <f t="shared" si="13"/>
        <v>___</v>
      </c>
      <c r="AB1721" s="3" t="str">
        <f t="shared" si="12"/>
        <v>____</v>
      </c>
    </row>
    <row r="1722" spans="1:30" ht="14">
      <c r="A1722" s="3">
        <v>1721</v>
      </c>
      <c r="B1722" s="23"/>
      <c r="C1722" s="32">
        <v>238</v>
      </c>
      <c r="D1722" s="32">
        <v>35</v>
      </c>
      <c r="E1722" s="23"/>
      <c r="F1722" s="23"/>
      <c r="G1722" s="23"/>
      <c r="H1722" s="32" t="s">
        <v>40</v>
      </c>
      <c r="I1722" s="33">
        <v>2</v>
      </c>
      <c r="J1722" s="32">
        <v>34.799999999999997</v>
      </c>
      <c r="K1722" s="32">
        <v>29.7</v>
      </c>
      <c r="L1722" s="32">
        <v>5</v>
      </c>
      <c r="M1722" s="32" t="s">
        <v>36</v>
      </c>
      <c r="N1722" s="33">
        <v>46</v>
      </c>
      <c r="O1722" s="33">
        <v>6</v>
      </c>
      <c r="P1722" s="33">
        <v>7</v>
      </c>
      <c r="Q1722" s="32">
        <v>0</v>
      </c>
      <c r="R1722" s="33">
        <v>0</v>
      </c>
      <c r="S1722" s="32">
        <v>0</v>
      </c>
      <c r="T1722" s="3">
        <v>3.61E-2</v>
      </c>
      <c r="U1722" s="3">
        <v>2.027E-2</v>
      </c>
      <c r="V1722" s="3">
        <v>0</v>
      </c>
      <c r="W1722" s="3">
        <v>0</v>
      </c>
      <c r="X1722" s="3">
        <v>0</v>
      </c>
      <c r="Y1722" s="23"/>
      <c r="Z1722" s="23"/>
      <c r="AA1722" s="3" t="str">
        <f t="shared" si="13"/>
        <v>238_35__vm</v>
      </c>
      <c r="AB1722" s="3" t="str">
        <f t="shared" si="12"/>
        <v>238_35__vm_2</v>
      </c>
      <c r="AD1722" s="3" t="s">
        <v>37</v>
      </c>
    </row>
    <row r="1723" spans="1:30" ht="14">
      <c r="A1723" s="3">
        <v>1722</v>
      </c>
      <c r="B1723" s="23"/>
      <c r="C1723" s="23"/>
      <c r="D1723" s="23"/>
      <c r="E1723" s="23"/>
      <c r="F1723" s="23"/>
      <c r="G1723" s="23"/>
      <c r="H1723" s="23"/>
      <c r="I1723" s="22"/>
      <c r="J1723" s="23"/>
      <c r="K1723" s="23"/>
      <c r="L1723" s="23"/>
      <c r="M1723" s="32" t="s">
        <v>38</v>
      </c>
      <c r="N1723" s="33">
        <v>99</v>
      </c>
      <c r="O1723" s="33">
        <v>0</v>
      </c>
      <c r="P1723" s="33">
        <v>10</v>
      </c>
      <c r="Q1723" s="32">
        <v>0</v>
      </c>
      <c r="R1723" s="33">
        <v>3</v>
      </c>
      <c r="S1723" s="32">
        <v>0</v>
      </c>
      <c r="T1723" s="3">
        <v>0</v>
      </c>
      <c r="U1723" s="3">
        <v>9.6780000000000005E-2</v>
      </c>
      <c r="V1723" s="3">
        <v>0.13796</v>
      </c>
      <c r="W1723" s="3">
        <v>0</v>
      </c>
      <c r="X1723" s="3">
        <v>0</v>
      </c>
      <c r="Y1723" s="23"/>
      <c r="Z1723" s="23"/>
      <c r="AA1723" s="3" t="str">
        <f t="shared" si="13"/>
        <v>___</v>
      </c>
      <c r="AB1723" s="3" t="str">
        <f t="shared" si="12"/>
        <v>____</v>
      </c>
    </row>
    <row r="1724" spans="1:30" ht="14">
      <c r="A1724" s="3">
        <v>1723</v>
      </c>
      <c r="B1724" s="23"/>
      <c r="C1724" s="23"/>
      <c r="D1724" s="23"/>
      <c r="E1724" s="23"/>
      <c r="F1724" s="23"/>
      <c r="G1724" s="23"/>
      <c r="H1724" s="23"/>
      <c r="I1724" s="22"/>
      <c r="J1724" s="23"/>
      <c r="K1724" s="23"/>
      <c r="L1724" s="23"/>
      <c r="M1724" s="32" t="s">
        <v>39</v>
      </c>
      <c r="N1724" s="33">
        <v>102</v>
      </c>
      <c r="O1724" s="33">
        <v>0</v>
      </c>
      <c r="P1724" s="33">
        <v>11</v>
      </c>
      <c r="Q1724" s="32">
        <v>0</v>
      </c>
      <c r="R1724" s="33">
        <v>3</v>
      </c>
      <c r="S1724" s="32">
        <v>0</v>
      </c>
      <c r="T1724" s="3">
        <v>0</v>
      </c>
      <c r="U1724" s="3">
        <v>0.24468999999999999</v>
      </c>
      <c r="V1724" s="3">
        <v>0.36304999999999998</v>
      </c>
      <c r="W1724" s="3">
        <v>0</v>
      </c>
      <c r="X1724" s="3">
        <v>0</v>
      </c>
      <c r="Y1724" s="23"/>
      <c r="Z1724" s="23"/>
      <c r="AA1724" s="3" t="str">
        <f t="shared" si="13"/>
        <v>___</v>
      </c>
      <c r="AB1724" s="3" t="str">
        <f t="shared" si="12"/>
        <v>____</v>
      </c>
    </row>
    <row r="1725" spans="1:30" ht="14">
      <c r="A1725" s="3">
        <v>1724</v>
      </c>
      <c r="B1725" s="23"/>
      <c r="C1725" s="32">
        <v>238</v>
      </c>
      <c r="D1725" s="32">
        <v>35</v>
      </c>
      <c r="E1725" s="23"/>
      <c r="F1725" s="23"/>
      <c r="G1725" s="23"/>
      <c r="H1725" s="32" t="s">
        <v>40</v>
      </c>
      <c r="I1725" s="33">
        <v>3</v>
      </c>
      <c r="J1725" s="32">
        <v>24</v>
      </c>
      <c r="K1725" s="32">
        <v>30.7</v>
      </c>
      <c r="L1725" s="32">
        <v>10</v>
      </c>
      <c r="M1725" s="32" t="s">
        <v>36</v>
      </c>
      <c r="N1725" s="33">
        <v>51</v>
      </c>
      <c r="O1725" s="33">
        <v>6</v>
      </c>
      <c r="P1725" s="33">
        <v>7</v>
      </c>
      <c r="Q1725" s="32">
        <v>0</v>
      </c>
      <c r="R1725" s="33">
        <v>0</v>
      </c>
      <c r="S1725" s="32">
        <v>0</v>
      </c>
      <c r="T1725" s="3">
        <v>4.5359999999999998E-2</v>
      </c>
      <c r="U1725" s="3">
        <v>2.7689999999999999E-2</v>
      </c>
      <c r="V1725" s="3">
        <v>0</v>
      </c>
      <c r="W1725" s="3">
        <v>0</v>
      </c>
      <c r="X1725" s="3">
        <v>0</v>
      </c>
      <c r="Y1725" s="32" t="s">
        <v>231</v>
      </c>
      <c r="Z1725" s="23"/>
      <c r="AA1725" s="3" t="str">
        <f t="shared" si="13"/>
        <v>238_35__vm</v>
      </c>
      <c r="AB1725" s="3" t="str">
        <f t="shared" si="12"/>
        <v>238_35__vm_3</v>
      </c>
      <c r="AD1725" s="3" t="s">
        <v>37</v>
      </c>
    </row>
    <row r="1726" spans="1:30" ht="14">
      <c r="A1726" s="3">
        <v>1725</v>
      </c>
      <c r="B1726" s="23"/>
      <c r="C1726" s="23"/>
      <c r="D1726" s="23"/>
      <c r="E1726" s="23"/>
      <c r="F1726" s="23"/>
      <c r="G1726" s="23"/>
      <c r="H1726" s="23"/>
      <c r="I1726" s="22"/>
      <c r="J1726" s="23"/>
      <c r="K1726" s="23"/>
      <c r="L1726" s="23"/>
      <c r="M1726" s="32" t="s">
        <v>38</v>
      </c>
      <c r="N1726" s="33">
        <v>64</v>
      </c>
      <c r="O1726" s="33">
        <v>0</v>
      </c>
      <c r="P1726" s="33">
        <v>8</v>
      </c>
      <c r="Q1726" s="32">
        <v>0</v>
      </c>
      <c r="R1726" s="33">
        <v>1</v>
      </c>
      <c r="S1726" s="32">
        <v>0</v>
      </c>
      <c r="T1726" s="3">
        <v>0</v>
      </c>
      <c r="U1726" s="3">
        <v>5.3690000000000002E-2</v>
      </c>
      <c r="V1726" s="3">
        <v>5.2290000000000003E-2</v>
      </c>
      <c r="W1726" s="3">
        <v>0</v>
      </c>
      <c r="X1726" s="3">
        <v>0</v>
      </c>
      <c r="Y1726" s="32" t="s">
        <v>232</v>
      </c>
      <c r="Z1726" s="23"/>
      <c r="AA1726" s="3" t="str">
        <f t="shared" si="13"/>
        <v>___</v>
      </c>
      <c r="AB1726" s="3" t="str">
        <f t="shared" si="12"/>
        <v>____</v>
      </c>
    </row>
    <row r="1727" spans="1:30" ht="14">
      <c r="A1727" s="3">
        <v>1726</v>
      </c>
      <c r="B1727" s="23"/>
      <c r="C1727" s="23"/>
      <c r="D1727" s="23"/>
      <c r="E1727" s="23"/>
      <c r="F1727" s="23"/>
      <c r="G1727" s="23"/>
      <c r="H1727" s="23"/>
      <c r="I1727" s="22"/>
      <c r="J1727" s="23"/>
      <c r="K1727" s="23"/>
      <c r="L1727" s="23"/>
      <c r="M1727" s="32" t="s">
        <v>39</v>
      </c>
      <c r="N1727" s="33">
        <v>86</v>
      </c>
      <c r="O1727" s="33">
        <v>0</v>
      </c>
      <c r="P1727" s="33">
        <v>9</v>
      </c>
      <c r="Q1727" s="32">
        <v>0</v>
      </c>
      <c r="R1727" s="33">
        <v>3</v>
      </c>
      <c r="S1727" s="32">
        <v>0</v>
      </c>
      <c r="T1727" s="3">
        <v>0</v>
      </c>
      <c r="U1727" s="3">
        <v>0.18225</v>
      </c>
      <c r="V1727" s="3">
        <v>0.52080000000000004</v>
      </c>
      <c r="W1727" s="3">
        <v>0</v>
      </c>
      <c r="X1727" s="3">
        <v>0</v>
      </c>
      <c r="Y1727" s="23"/>
      <c r="Z1727" s="23"/>
      <c r="AA1727" s="3" t="str">
        <f t="shared" si="13"/>
        <v>___</v>
      </c>
      <c r="AB1727" s="3" t="str">
        <f t="shared" si="12"/>
        <v>____</v>
      </c>
    </row>
    <row r="1728" spans="1:30" ht="14">
      <c r="A1728" s="3">
        <v>1727</v>
      </c>
      <c r="B1728" s="23"/>
      <c r="C1728" s="32">
        <v>238</v>
      </c>
      <c r="D1728" s="32">
        <v>46</v>
      </c>
      <c r="E1728" s="23"/>
      <c r="F1728" s="23"/>
      <c r="G1728" s="23"/>
      <c r="H1728" s="32" t="s">
        <v>35</v>
      </c>
      <c r="I1728" s="33">
        <v>1</v>
      </c>
      <c r="J1728" s="32">
        <v>18</v>
      </c>
      <c r="K1728" s="32">
        <v>11.5</v>
      </c>
      <c r="L1728" s="32">
        <v>2</v>
      </c>
      <c r="M1728" s="32" t="s">
        <v>36</v>
      </c>
      <c r="N1728" s="33">
        <v>57</v>
      </c>
      <c r="O1728" s="33">
        <v>11</v>
      </c>
      <c r="P1728" s="33">
        <v>14</v>
      </c>
      <c r="Q1728" s="32">
        <v>0</v>
      </c>
      <c r="R1728" s="33">
        <v>0</v>
      </c>
      <c r="S1728" s="32">
        <v>0</v>
      </c>
      <c r="T1728" s="3">
        <v>0.108</v>
      </c>
      <c r="U1728" s="3">
        <v>2.767E-2</v>
      </c>
      <c r="V1728" s="3">
        <v>0</v>
      </c>
      <c r="W1728" s="3">
        <v>0</v>
      </c>
      <c r="X1728" s="3">
        <v>0</v>
      </c>
      <c r="Y1728" s="23"/>
      <c r="Z1728" s="23"/>
      <c r="AA1728" s="3" t="str">
        <f t="shared" si="13"/>
        <v>238_46__vv</v>
      </c>
      <c r="AB1728" s="3" t="str">
        <f t="shared" si="12"/>
        <v>238_46__vv_1</v>
      </c>
      <c r="AD1728" s="3" t="s">
        <v>37</v>
      </c>
    </row>
    <row r="1729" spans="1:30" ht="14">
      <c r="A1729" s="3">
        <v>1728</v>
      </c>
      <c r="B1729" s="23"/>
      <c r="C1729" s="23"/>
      <c r="D1729" s="23"/>
      <c r="E1729" s="23"/>
      <c r="F1729" s="23"/>
      <c r="G1729" s="23"/>
      <c r="H1729" s="23"/>
      <c r="I1729" s="22"/>
      <c r="J1729" s="23"/>
      <c r="K1729" s="23"/>
      <c r="L1729" s="23"/>
      <c r="M1729" s="32" t="s">
        <v>38</v>
      </c>
      <c r="N1729" s="33">
        <v>67</v>
      </c>
      <c r="O1729" s="33">
        <v>8</v>
      </c>
      <c r="P1729" s="33">
        <v>15</v>
      </c>
      <c r="Q1729" s="32">
        <v>0</v>
      </c>
      <c r="R1729" s="33">
        <v>1</v>
      </c>
      <c r="S1729" s="32">
        <v>0</v>
      </c>
      <c r="T1729" s="3">
        <v>0.12562000000000001</v>
      </c>
      <c r="U1729" s="3">
        <v>5.9549999999999999E-2</v>
      </c>
      <c r="V1729" s="3">
        <v>3.125E-2</v>
      </c>
      <c r="W1729" s="3">
        <v>0</v>
      </c>
      <c r="X1729" s="3">
        <v>0</v>
      </c>
      <c r="Y1729" s="23"/>
      <c r="Z1729" s="23"/>
      <c r="AA1729" s="3" t="str">
        <f t="shared" si="13"/>
        <v>___</v>
      </c>
      <c r="AB1729" s="3" t="str">
        <f t="shared" si="12"/>
        <v>____</v>
      </c>
    </row>
    <row r="1730" spans="1:30" ht="14">
      <c r="A1730" s="3">
        <v>1729</v>
      </c>
      <c r="B1730" s="23"/>
      <c r="C1730" s="32">
        <v>238</v>
      </c>
      <c r="D1730" s="32">
        <v>46</v>
      </c>
      <c r="E1730" s="23"/>
      <c r="F1730" s="23"/>
      <c r="G1730" s="23"/>
      <c r="H1730" s="32" t="s">
        <v>35</v>
      </c>
      <c r="I1730" s="33">
        <v>2</v>
      </c>
      <c r="J1730" s="32">
        <v>28</v>
      </c>
      <c r="K1730" s="32">
        <v>22.3</v>
      </c>
      <c r="L1730" s="32">
        <v>6</v>
      </c>
      <c r="M1730" s="32" t="s">
        <v>36</v>
      </c>
      <c r="N1730" s="33">
        <v>41</v>
      </c>
      <c r="O1730" s="33">
        <v>11</v>
      </c>
      <c r="P1730" s="33">
        <v>11</v>
      </c>
      <c r="Q1730" s="32">
        <v>0</v>
      </c>
      <c r="R1730" s="33">
        <v>0</v>
      </c>
      <c r="S1730" s="32">
        <v>0</v>
      </c>
      <c r="T1730" s="3">
        <v>0.13048000000000001</v>
      </c>
      <c r="U1730" s="3">
        <v>1.473E-2</v>
      </c>
      <c r="V1730" s="3">
        <v>0</v>
      </c>
      <c r="W1730" s="3">
        <v>0</v>
      </c>
      <c r="X1730" s="3">
        <v>0</v>
      </c>
      <c r="Y1730" s="23"/>
      <c r="Z1730" s="23"/>
      <c r="AA1730" s="3" t="str">
        <f t="shared" si="13"/>
        <v>238_46__vv</v>
      </c>
      <c r="AB1730" s="3" t="str">
        <f t="shared" si="12"/>
        <v>238_46__vv_2</v>
      </c>
      <c r="AD1730" s="3" t="s">
        <v>37</v>
      </c>
    </row>
    <row r="1731" spans="1:30" ht="14">
      <c r="A1731" s="3">
        <v>1730</v>
      </c>
      <c r="B1731" s="23"/>
      <c r="C1731" s="23"/>
      <c r="D1731" s="23"/>
      <c r="E1731" s="23"/>
      <c r="F1731" s="23"/>
      <c r="G1731" s="23"/>
      <c r="H1731" s="23"/>
      <c r="I1731" s="22"/>
      <c r="J1731" s="23"/>
      <c r="K1731" s="23"/>
      <c r="L1731" s="23"/>
      <c r="M1731" s="32" t="s">
        <v>38</v>
      </c>
      <c r="N1731" s="33">
        <v>54</v>
      </c>
      <c r="O1731" s="33">
        <v>9</v>
      </c>
      <c r="P1731" s="33">
        <v>14</v>
      </c>
      <c r="Q1731" s="32">
        <v>0</v>
      </c>
      <c r="R1731" s="33">
        <v>0</v>
      </c>
      <c r="S1731" s="32">
        <v>0</v>
      </c>
      <c r="T1731" s="3">
        <v>0.21535000000000001</v>
      </c>
      <c r="U1731" s="3">
        <v>4.1119999999999997E-2</v>
      </c>
      <c r="V1731" s="3">
        <v>0</v>
      </c>
      <c r="W1731" s="3">
        <v>0</v>
      </c>
      <c r="X1731" s="3">
        <v>0</v>
      </c>
      <c r="Y1731" s="23"/>
      <c r="Z1731" s="23"/>
      <c r="AA1731" s="3" t="str">
        <f t="shared" si="13"/>
        <v>___</v>
      </c>
      <c r="AB1731" s="3" t="str">
        <f t="shared" si="12"/>
        <v>____</v>
      </c>
    </row>
    <row r="1732" spans="1:30" ht="14">
      <c r="A1732" s="3">
        <v>1731</v>
      </c>
      <c r="B1732" s="23"/>
      <c r="C1732" s="23"/>
      <c r="D1732" s="23"/>
      <c r="E1732" s="23"/>
      <c r="F1732" s="23"/>
      <c r="G1732" s="23"/>
      <c r="H1732" s="23"/>
      <c r="I1732" s="22"/>
      <c r="J1732" s="23"/>
      <c r="K1732" s="23"/>
      <c r="L1732" s="23"/>
      <c r="M1732" s="32" t="s">
        <v>39</v>
      </c>
      <c r="N1732" s="33">
        <v>61</v>
      </c>
      <c r="O1732" s="33">
        <v>6</v>
      </c>
      <c r="P1732" s="33">
        <v>15</v>
      </c>
      <c r="Q1732" s="32">
        <v>0</v>
      </c>
      <c r="R1732" s="33">
        <v>1</v>
      </c>
      <c r="S1732" s="32">
        <v>0</v>
      </c>
      <c r="T1732" s="3">
        <v>8.7279999999999996E-2</v>
      </c>
      <c r="U1732" s="3">
        <v>6.9940000000000002E-2</v>
      </c>
      <c r="V1732" s="3">
        <v>0.14516999999999999</v>
      </c>
      <c r="W1732" s="3">
        <v>0</v>
      </c>
      <c r="X1732" s="3">
        <v>0</v>
      </c>
      <c r="Y1732" s="23"/>
      <c r="Z1732" s="23"/>
      <c r="AA1732" s="3" t="str">
        <f t="shared" si="13"/>
        <v>___</v>
      </c>
      <c r="AB1732" s="3" t="str">
        <f t="shared" si="12"/>
        <v>____</v>
      </c>
    </row>
    <row r="1733" spans="1:30" ht="14">
      <c r="A1733" s="3">
        <v>1732</v>
      </c>
      <c r="B1733" s="23"/>
      <c r="C1733" s="32">
        <v>238</v>
      </c>
      <c r="D1733" s="32">
        <v>46</v>
      </c>
      <c r="E1733" s="23"/>
      <c r="F1733" s="23"/>
      <c r="G1733" s="23"/>
      <c r="H1733" s="32" t="s">
        <v>35</v>
      </c>
      <c r="I1733" s="33">
        <v>3</v>
      </c>
      <c r="J1733" s="32">
        <v>23.3</v>
      </c>
      <c r="K1733" s="32">
        <v>21.2</v>
      </c>
      <c r="L1733" s="32">
        <v>5</v>
      </c>
      <c r="M1733" s="32" t="s">
        <v>36</v>
      </c>
      <c r="N1733" s="33">
        <v>34</v>
      </c>
      <c r="O1733" s="33">
        <v>11</v>
      </c>
      <c r="P1733" s="33">
        <v>12</v>
      </c>
      <c r="Q1733" s="32">
        <v>0</v>
      </c>
      <c r="R1733" s="33">
        <v>0</v>
      </c>
      <c r="S1733" s="32">
        <v>0</v>
      </c>
      <c r="T1733" s="3">
        <v>8.0579999999999999E-2</v>
      </c>
      <c r="U1733" s="3">
        <v>9.3100000000000006E-3</v>
      </c>
      <c r="V1733" s="3">
        <v>0</v>
      </c>
      <c r="W1733" s="3">
        <v>0</v>
      </c>
      <c r="X1733" s="3">
        <v>0</v>
      </c>
      <c r="Y1733" s="23"/>
      <c r="Z1733" s="23"/>
      <c r="AA1733" s="3" t="str">
        <f t="shared" si="13"/>
        <v>238_46__vv</v>
      </c>
      <c r="AB1733" s="3" t="str">
        <f t="shared" si="12"/>
        <v>238_46__vv_3</v>
      </c>
      <c r="AD1733" s="3" t="s">
        <v>37</v>
      </c>
    </row>
    <row r="1734" spans="1:30" ht="14">
      <c r="A1734" s="3">
        <v>1733</v>
      </c>
      <c r="B1734" s="23"/>
      <c r="C1734" s="23"/>
      <c r="D1734" s="23"/>
      <c r="E1734" s="23"/>
      <c r="F1734" s="23"/>
      <c r="G1734" s="23"/>
      <c r="H1734" s="23"/>
      <c r="I1734" s="22"/>
      <c r="J1734" s="23"/>
      <c r="K1734" s="23"/>
      <c r="L1734" s="23"/>
      <c r="M1734" s="32" t="s">
        <v>38</v>
      </c>
      <c r="N1734" s="33">
        <v>24</v>
      </c>
      <c r="O1734" s="33">
        <v>5</v>
      </c>
      <c r="P1734" s="33">
        <v>8</v>
      </c>
      <c r="Q1734" s="32">
        <v>0</v>
      </c>
      <c r="R1734" s="33">
        <v>0</v>
      </c>
      <c r="S1734" s="32">
        <v>0</v>
      </c>
      <c r="T1734" s="3">
        <v>6.2120000000000002E-2</v>
      </c>
      <c r="U1734" s="3">
        <v>1.8460000000000001E-2</v>
      </c>
      <c r="V1734" s="3">
        <v>0</v>
      </c>
      <c r="W1734" s="3">
        <v>0</v>
      </c>
      <c r="X1734" s="3">
        <v>0</v>
      </c>
      <c r="Y1734" s="23"/>
      <c r="Z1734" s="23"/>
      <c r="AA1734" s="3" t="str">
        <f t="shared" si="13"/>
        <v>___</v>
      </c>
      <c r="AB1734" s="3" t="str">
        <f t="shared" si="12"/>
        <v>____</v>
      </c>
    </row>
    <row r="1735" spans="1:30" ht="14">
      <c r="A1735" s="3">
        <v>1734</v>
      </c>
      <c r="B1735" s="23"/>
      <c r="C1735" s="23"/>
      <c r="D1735" s="23"/>
      <c r="E1735" s="23"/>
      <c r="F1735" s="23"/>
      <c r="G1735" s="23"/>
      <c r="H1735" s="23"/>
      <c r="I1735" s="22"/>
      <c r="J1735" s="23"/>
      <c r="K1735" s="23"/>
      <c r="L1735" s="23"/>
      <c r="M1735" s="32" t="s">
        <v>39</v>
      </c>
      <c r="N1735" s="33">
        <v>59</v>
      </c>
      <c r="O1735" s="33">
        <v>6</v>
      </c>
      <c r="P1735" s="33">
        <v>13</v>
      </c>
      <c r="Q1735" s="32">
        <v>0</v>
      </c>
      <c r="R1735" s="33">
        <v>0</v>
      </c>
      <c r="S1735" s="32">
        <v>0</v>
      </c>
      <c r="T1735" s="3">
        <v>0.16713</v>
      </c>
      <c r="U1735" s="3">
        <v>5.7349999999999998E-2</v>
      </c>
      <c r="V1735" s="3">
        <v>0</v>
      </c>
      <c r="W1735" s="3">
        <v>0</v>
      </c>
      <c r="X1735" s="3">
        <v>0</v>
      </c>
      <c r="Y1735" s="23"/>
      <c r="Z1735" s="23"/>
      <c r="AA1735" s="3" t="str">
        <f t="shared" si="13"/>
        <v>___</v>
      </c>
      <c r="AB1735" s="3" t="str">
        <f t="shared" si="12"/>
        <v>____</v>
      </c>
    </row>
    <row r="1736" spans="1:30" ht="14">
      <c r="A1736" s="3">
        <v>1735</v>
      </c>
      <c r="B1736" s="23"/>
      <c r="C1736" s="32">
        <v>238</v>
      </c>
      <c r="D1736" s="32">
        <v>46</v>
      </c>
      <c r="E1736" s="23"/>
      <c r="F1736" s="23"/>
      <c r="G1736" s="23"/>
      <c r="H1736" s="32" t="s">
        <v>40</v>
      </c>
      <c r="I1736" s="33">
        <v>1</v>
      </c>
      <c r="J1736" s="32">
        <v>31.6</v>
      </c>
      <c r="K1736" s="32">
        <v>34.200000000000003</v>
      </c>
      <c r="L1736" s="32">
        <v>6</v>
      </c>
      <c r="M1736" s="32" t="s">
        <v>36</v>
      </c>
      <c r="N1736" s="33">
        <v>56</v>
      </c>
      <c r="O1736" s="33">
        <v>9</v>
      </c>
      <c r="P1736" s="33">
        <v>9</v>
      </c>
      <c r="Q1736" s="32">
        <v>0</v>
      </c>
      <c r="R1736" s="33">
        <v>0</v>
      </c>
      <c r="S1736" s="32">
        <v>5</v>
      </c>
      <c r="T1736" s="3">
        <v>5.4019999999999999E-2</v>
      </c>
      <c r="U1736" s="3">
        <v>6.6650000000000001E-2</v>
      </c>
      <c r="V1736" s="3">
        <v>0</v>
      </c>
      <c r="W1736" s="3">
        <v>1.304E-2</v>
      </c>
      <c r="X1736" s="3">
        <v>0</v>
      </c>
      <c r="Y1736" s="32" t="s">
        <v>233</v>
      </c>
      <c r="Z1736" s="23"/>
      <c r="AA1736" s="3" t="str">
        <f t="shared" si="13"/>
        <v>238_46__vm</v>
      </c>
      <c r="AB1736" s="3" t="str">
        <f t="shared" si="12"/>
        <v>238_46__vm_1</v>
      </c>
      <c r="AD1736" s="3" t="s">
        <v>37</v>
      </c>
    </row>
    <row r="1737" spans="1:30" ht="14">
      <c r="A1737" s="3">
        <v>1736</v>
      </c>
      <c r="B1737" s="23"/>
      <c r="C1737" s="23"/>
      <c r="D1737" s="23"/>
      <c r="E1737" s="23"/>
      <c r="F1737" s="23"/>
      <c r="G1737" s="23"/>
      <c r="H1737" s="23"/>
      <c r="I1737" s="22"/>
      <c r="J1737" s="23"/>
      <c r="K1737" s="23"/>
      <c r="L1737" s="23"/>
      <c r="M1737" s="32" t="s">
        <v>38</v>
      </c>
      <c r="N1737" s="33">
        <v>87</v>
      </c>
      <c r="O1737" s="33">
        <v>0</v>
      </c>
      <c r="P1737" s="33">
        <v>9</v>
      </c>
      <c r="Q1737" s="32">
        <v>0</v>
      </c>
      <c r="R1737" s="33">
        <v>1</v>
      </c>
      <c r="S1737" s="32">
        <v>0</v>
      </c>
      <c r="T1737" s="3">
        <v>0</v>
      </c>
      <c r="U1737" s="3">
        <v>0.14854000000000001</v>
      </c>
      <c r="V1737" s="3">
        <v>8.9810000000000001E-2</v>
      </c>
      <c r="W1737" s="3">
        <v>0</v>
      </c>
      <c r="X1737" s="3">
        <v>0</v>
      </c>
      <c r="Y1737" s="23"/>
      <c r="Z1737" s="23"/>
      <c r="AA1737" s="3" t="str">
        <f t="shared" si="13"/>
        <v>___</v>
      </c>
      <c r="AB1737" s="3" t="str">
        <f t="shared" si="12"/>
        <v>____</v>
      </c>
    </row>
    <row r="1738" spans="1:30" ht="14">
      <c r="A1738" s="3">
        <v>1737</v>
      </c>
      <c r="B1738" s="23"/>
      <c r="C1738" s="23"/>
      <c r="D1738" s="23"/>
      <c r="E1738" s="23"/>
      <c r="F1738" s="23"/>
      <c r="G1738" s="23"/>
      <c r="H1738" s="23"/>
      <c r="I1738" s="22"/>
      <c r="J1738" s="23"/>
      <c r="K1738" s="23"/>
      <c r="L1738" s="23"/>
      <c r="M1738" s="32" t="s">
        <v>39</v>
      </c>
      <c r="N1738" s="33">
        <v>101</v>
      </c>
      <c r="O1738" s="33">
        <v>0</v>
      </c>
      <c r="P1738" s="33">
        <v>10</v>
      </c>
      <c r="Q1738" s="32">
        <v>0</v>
      </c>
      <c r="R1738" s="33">
        <v>3</v>
      </c>
      <c r="S1738" s="32">
        <v>0</v>
      </c>
      <c r="T1738" s="3">
        <v>0</v>
      </c>
      <c r="U1738" s="3">
        <v>0.22469</v>
      </c>
      <c r="V1738" s="3">
        <v>0.29770999999999997</v>
      </c>
      <c r="W1738" s="3">
        <v>0</v>
      </c>
      <c r="X1738" s="3">
        <v>0</v>
      </c>
      <c r="Y1738" s="23"/>
      <c r="Z1738" s="23"/>
      <c r="AA1738" s="3" t="str">
        <f t="shared" si="13"/>
        <v>___</v>
      </c>
      <c r="AB1738" s="3" t="str">
        <f t="shared" si="12"/>
        <v>____</v>
      </c>
    </row>
    <row r="1739" spans="1:30" ht="14">
      <c r="A1739" s="3">
        <v>1738</v>
      </c>
      <c r="B1739" s="23"/>
      <c r="C1739" s="32">
        <v>238</v>
      </c>
      <c r="D1739" s="32">
        <v>46</v>
      </c>
      <c r="E1739" s="23"/>
      <c r="F1739" s="23"/>
      <c r="G1739" s="23"/>
      <c r="H1739" s="32" t="s">
        <v>40</v>
      </c>
      <c r="I1739" s="33">
        <v>2</v>
      </c>
      <c r="J1739" s="32">
        <v>27.4</v>
      </c>
      <c r="K1739" s="32">
        <v>24.5</v>
      </c>
      <c r="L1739" s="32">
        <v>5</v>
      </c>
      <c r="M1739" s="32" t="s">
        <v>36</v>
      </c>
      <c r="N1739" s="33">
        <v>68</v>
      </c>
      <c r="O1739" s="33">
        <v>10</v>
      </c>
      <c r="P1739" s="33">
        <v>10</v>
      </c>
      <c r="Q1739" s="32">
        <v>0</v>
      </c>
      <c r="R1739" s="33">
        <v>0</v>
      </c>
      <c r="S1739" s="32">
        <v>0</v>
      </c>
      <c r="T1739" s="3">
        <v>9.4729999999999995E-2</v>
      </c>
      <c r="U1739" s="3">
        <v>5.4120000000000001E-2</v>
      </c>
      <c r="V1739" s="3">
        <v>0</v>
      </c>
      <c r="W1739" s="3">
        <v>1.491E-2</v>
      </c>
      <c r="X1739" s="3">
        <v>0</v>
      </c>
      <c r="Y1739" s="35" t="s">
        <v>233</v>
      </c>
      <c r="Z1739" s="23"/>
      <c r="AA1739" s="3" t="str">
        <f t="shared" si="13"/>
        <v>238_46__vm</v>
      </c>
      <c r="AB1739" s="3" t="str">
        <f t="shared" si="12"/>
        <v>238_46__vm_2</v>
      </c>
      <c r="AD1739" s="3" t="s">
        <v>37</v>
      </c>
    </row>
    <row r="1740" spans="1:30" ht="14">
      <c r="A1740" s="3">
        <v>1739</v>
      </c>
      <c r="B1740" s="23"/>
      <c r="C1740" s="23"/>
      <c r="D1740" s="23"/>
      <c r="E1740" s="23"/>
      <c r="F1740" s="23"/>
      <c r="G1740" s="23"/>
      <c r="H1740" s="23"/>
      <c r="I1740" s="22"/>
      <c r="J1740" s="23"/>
      <c r="K1740" s="23"/>
      <c r="L1740" s="23"/>
      <c r="M1740" s="32" t="s">
        <v>38</v>
      </c>
      <c r="N1740" s="33">
        <v>92</v>
      </c>
      <c r="O1740" s="33">
        <v>0</v>
      </c>
      <c r="P1740" s="33">
        <v>12</v>
      </c>
      <c r="Q1740" s="32">
        <v>0</v>
      </c>
      <c r="R1740" s="33">
        <v>1</v>
      </c>
      <c r="S1740" s="32">
        <v>0</v>
      </c>
      <c r="T1740" s="3">
        <v>0</v>
      </c>
      <c r="U1740" s="3">
        <v>9.2619999999999994E-2</v>
      </c>
      <c r="V1740" s="3">
        <v>4.2549999999999998E-2</v>
      </c>
      <c r="W1740" s="3">
        <v>0</v>
      </c>
      <c r="X1740" s="3">
        <v>0</v>
      </c>
      <c r="Y1740" s="23"/>
      <c r="Z1740" s="23"/>
      <c r="AA1740" s="3" t="str">
        <f t="shared" si="13"/>
        <v>___</v>
      </c>
      <c r="AB1740" s="3" t="str">
        <f t="shared" si="12"/>
        <v>____</v>
      </c>
    </row>
    <row r="1741" spans="1:30" ht="14">
      <c r="A1741" s="3">
        <v>1740</v>
      </c>
      <c r="B1741" s="23"/>
      <c r="C1741" s="23"/>
      <c r="D1741" s="23"/>
      <c r="E1741" s="23"/>
      <c r="F1741" s="23"/>
      <c r="G1741" s="23"/>
      <c r="H1741" s="23"/>
      <c r="I1741" s="22"/>
      <c r="J1741" s="23"/>
      <c r="K1741" s="23"/>
      <c r="L1741" s="23"/>
      <c r="M1741" s="32" t="s">
        <v>39</v>
      </c>
      <c r="N1741" s="33">
        <v>61</v>
      </c>
      <c r="O1741" s="33">
        <v>0</v>
      </c>
      <c r="P1741" s="33">
        <v>10</v>
      </c>
      <c r="Q1741" s="32">
        <v>0</v>
      </c>
      <c r="R1741" s="33">
        <v>2</v>
      </c>
      <c r="S1741" s="32">
        <v>0</v>
      </c>
      <c r="T1741" s="3">
        <v>0</v>
      </c>
      <c r="U1741" s="3">
        <v>0.10854</v>
      </c>
      <c r="V1741" s="3">
        <v>0.37298999999999999</v>
      </c>
      <c r="W1741" s="3">
        <v>0</v>
      </c>
      <c r="X1741" s="3">
        <v>0</v>
      </c>
      <c r="Y1741" s="23"/>
      <c r="Z1741" s="23"/>
      <c r="AA1741" s="3" t="str">
        <f t="shared" si="13"/>
        <v>___</v>
      </c>
      <c r="AB1741" s="3" t="str">
        <f t="shared" si="12"/>
        <v>____</v>
      </c>
    </row>
    <row r="1742" spans="1:30" ht="14">
      <c r="A1742" s="3">
        <v>1741</v>
      </c>
      <c r="B1742" s="23"/>
      <c r="C1742" s="32">
        <v>238</v>
      </c>
      <c r="D1742" s="32">
        <v>46</v>
      </c>
      <c r="E1742" s="23"/>
      <c r="F1742" s="23"/>
      <c r="G1742" s="23"/>
      <c r="H1742" s="32" t="s">
        <v>40</v>
      </c>
      <c r="I1742" s="33">
        <v>3</v>
      </c>
      <c r="J1742" s="32">
        <v>24</v>
      </c>
      <c r="K1742" s="32">
        <v>29.2</v>
      </c>
      <c r="L1742" s="32">
        <v>7</v>
      </c>
      <c r="M1742" s="32" t="s">
        <v>36</v>
      </c>
      <c r="N1742" s="33">
        <v>21</v>
      </c>
      <c r="O1742" s="33">
        <v>6</v>
      </c>
      <c r="P1742" s="33">
        <v>6</v>
      </c>
      <c r="Q1742" s="32">
        <v>0</v>
      </c>
      <c r="R1742" s="33">
        <v>0</v>
      </c>
      <c r="S1742" s="32">
        <v>0</v>
      </c>
      <c r="T1742" s="3">
        <v>1.5440000000000001E-2</v>
      </c>
      <c r="U1742" s="3">
        <v>5.8100000000000001E-3</v>
      </c>
      <c r="V1742" s="3">
        <v>0</v>
      </c>
      <c r="W1742" s="3">
        <v>0</v>
      </c>
      <c r="X1742" s="3">
        <v>0</v>
      </c>
      <c r="Y1742" s="23"/>
      <c r="Z1742" s="23"/>
      <c r="AA1742" s="3" t="str">
        <f t="shared" si="13"/>
        <v>238_46__vm</v>
      </c>
      <c r="AB1742" s="3" t="str">
        <f t="shared" si="12"/>
        <v>238_46__vm_3</v>
      </c>
      <c r="AD1742" s="3" t="s">
        <v>37</v>
      </c>
    </row>
    <row r="1743" spans="1:30" ht="14">
      <c r="A1743" s="3">
        <v>1742</v>
      </c>
      <c r="B1743" s="23"/>
      <c r="C1743" s="23"/>
      <c r="D1743" s="23"/>
      <c r="E1743" s="23"/>
      <c r="F1743" s="23"/>
      <c r="G1743" s="23"/>
      <c r="H1743" s="23"/>
      <c r="I1743" s="22"/>
      <c r="J1743" s="23"/>
      <c r="K1743" s="23"/>
      <c r="L1743" s="23"/>
      <c r="M1743" s="32" t="s">
        <v>38</v>
      </c>
      <c r="N1743" s="33">
        <v>17</v>
      </c>
      <c r="O1743" s="33">
        <v>0</v>
      </c>
      <c r="P1743" s="33">
        <v>6</v>
      </c>
      <c r="Q1743" s="32">
        <v>0</v>
      </c>
      <c r="R1743" s="33">
        <v>1</v>
      </c>
      <c r="S1743" s="32">
        <v>0</v>
      </c>
      <c r="T1743" s="3">
        <v>0</v>
      </c>
      <c r="U1743" s="3">
        <v>6.1199999999999996E-3</v>
      </c>
      <c r="V1743" s="3">
        <v>1.387E-2</v>
      </c>
      <c r="W1743" s="3">
        <v>0</v>
      </c>
      <c r="X1743" s="3">
        <v>0</v>
      </c>
      <c r="Y1743" s="23"/>
      <c r="Z1743" s="23"/>
      <c r="AA1743" s="3" t="str">
        <f t="shared" si="13"/>
        <v>___</v>
      </c>
      <c r="AB1743" s="3" t="str">
        <f t="shared" si="12"/>
        <v>____</v>
      </c>
    </row>
    <row r="1744" spans="1:30" ht="14">
      <c r="A1744" s="3">
        <v>1743</v>
      </c>
      <c r="B1744" s="23"/>
      <c r="C1744" s="23"/>
      <c r="D1744" s="23"/>
      <c r="E1744" s="23"/>
      <c r="F1744" s="23"/>
      <c r="G1744" s="23"/>
      <c r="H1744" s="23"/>
      <c r="I1744" s="22"/>
      <c r="J1744" s="23"/>
      <c r="K1744" s="23"/>
      <c r="L1744" s="23"/>
      <c r="M1744" s="32" t="s">
        <v>39</v>
      </c>
      <c r="N1744" s="33">
        <v>46</v>
      </c>
      <c r="O1744" s="33">
        <v>0</v>
      </c>
      <c r="P1744" s="33">
        <v>7</v>
      </c>
      <c r="Q1744" s="32">
        <v>0</v>
      </c>
      <c r="R1744" s="33">
        <v>2</v>
      </c>
      <c r="S1744" s="32">
        <v>0</v>
      </c>
      <c r="T1744" s="3">
        <v>0</v>
      </c>
      <c r="U1744" s="3">
        <v>3.3090000000000001E-2</v>
      </c>
      <c r="V1744" s="3">
        <v>1.3469999999999999E-2</v>
      </c>
      <c r="W1744" s="3">
        <v>0</v>
      </c>
      <c r="X1744" s="3">
        <v>0</v>
      </c>
      <c r="Y1744" s="23"/>
      <c r="Z1744" s="23"/>
      <c r="AA1744" s="3" t="str">
        <f t="shared" si="13"/>
        <v>___</v>
      </c>
      <c r="AB1744" s="3" t="str">
        <f t="shared" si="12"/>
        <v>____</v>
      </c>
    </row>
    <row r="1745" spans="1:30" ht="14">
      <c r="A1745" s="3">
        <v>1744</v>
      </c>
      <c r="B1745" s="23"/>
      <c r="C1745" s="32">
        <v>82</v>
      </c>
      <c r="D1745" s="32">
        <v>44</v>
      </c>
      <c r="E1745" s="23"/>
      <c r="F1745" s="23"/>
      <c r="G1745" s="23"/>
      <c r="H1745" s="32" t="s">
        <v>40</v>
      </c>
      <c r="I1745" s="33">
        <v>1</v>
      </c>
      <c r="J1745" s="32">
        <v>12.6</v>
      </c>
      <c r="K1745" s="32">
        <v>17.899999999999999</v>
      </c>
      <c r="L1745" s="32">
        <v>6</v>
      </c>
      <c r="M1745" s="32" t="s">
        <v>36</v>
      </c>
      <c r="N1745" s="33">
        <v>15</v>
      </c>
      <c r="O1745" s="33">
        <v>5</v>
      </c>
      <c r="P1745" s="33">
        <v>5</v>
      </c>
      <c r="Q1745" s="32">
        <v>0</v>
      </c>
      <c r="R1745" s="33">
        <v>0</v>
      </c>
      <c r="S1745" s="32">
        <v>0</v>
      </c>
      <c r="T1745" s="3">
        <v>1.225E-2</v>
      </c>
      <c r="U1745" s="3">
        <v>2.8800000000000002E-3</v>
      </c>
      <c r="V1745" s="3">
        <v>0</v>
      </c>
      <c r="W1745" s="3">
        <v>0</v>
      </c>
      <c r="X1745" s="3">
        <v>0</v>
      </c>
      <c r="Y1745" s="32" t="s">
        <v>234</v>
      </c>
      <c r="Z1745" s="23"/>
      <c r="AA1745" s="3" t="str">
        <f t="shared" si="13"/>
        <v>82_44__vm</v>
      </c>
      <c r="AB1745" s="3" t="str">
        <f t="shared" si="12"/>
        <v>82_44__vm_1</v>
      </c>
      <c r="AD1745" s="3" t="s">
        <v>37</v>
      </c>
    </row>
    <row r="1746" spans="1:30" ht="14">
      <c r="A1746" s="3">
        <v>1745</v>
      </c>
      <c r="B1746" s="23"/>
      <c r="C1746" s="23"/>
      <c r="D1746" s="23"/>
      <c r="E1746" s="23"/>
      <c r="F1746" s="23"/>
      <c r="G1746" s="23"/>
      <c r="H1746" s="23"/>
      <c r="I1746" s="22"/>
      <c r="J1746" s="23"/>
      <c r="K1746" s="23"/>
      <c r="L1746" s="23"/>
      <c r="M1746" s="32" t="s">
        <v>38</v>
      </c>
      <c r="N1746" s="33">
        <v>18</v>
      </c>
      <c r="O1746" s="33">
        <v>2</v>
      </c>
      <c r="P1746" s="33">
        <v>4</v>
      </c>
      <c r="Q1746" s="32">
        <v>0</v>
      </c>
      <c r="R1746" s="33">
        <v>1</v>
      </c>
      <c r="S1746" s="32">
        <v>0</v>
      </c>
      <c r="T1746" s="3">
        <v>5.0499999999999998E-3</v>
      </c>
      <c r="U1746" s="3">
        <v>6.5399999999999998E-3</v>
      </c>
      <c r="V1746" s="3" t="s">
        <v>177</v>
      </c>
      <c r="W1746" s="3">
        <v>0</v>
      </c>
      <c r="X1746" s="3">
        <v>0</v>
      </c>
      <c r="Y1746" s="32" t="s">
        <v>235</v>
      </c>
      <c r="Z1746" s="23"/>
      <c r="AA1746" s="3" t="str">
        <f t="shared" si="13"/>
        <v>___</v>
      </c>
      <c r="AB1746" s="3" t="str">
        <f t="shared" si="12"/>
        <v>____</v>
      </c>
    </row>
    <row r="1747" spans="1:30" ht="14">
      <c r="A1747" s="3">
        <v>1746</v>
      </c>
      <c r="B1747" s="23"/>
      <c r="C1747" s="23"/>
      <c r="D1747" s="23"/>
      <c r="E1747" s="23"/>
      <c r="F1747" s="23"/>
      <c r="G1747" s="23"/>
      <c r="H1747" s="23"/>
      <c r="I1747" s="22"/>
      <c r="J1747" s="23"/>
      <c r="K1747" s="23"/>
      <c r="L1747" s="23"/>
      <c r="M1747" s="32" t="s">
        <v>36</v>
      </c>
      <c r="N1747" s="22"/>
      <c r="O1747" s="22"/>
      <c r="P1747" s="22"/>
      <c r="Q1747" s="23"/>
      <c r="R1747" s="22"/>
      <c r="S1747" s="23"/>
      <c r="V1747" s="3">
        <v>4.5700000000000003E-3</v>
      </c>
      <c r="W1747" s="3">
        <v>0</v>
      </c>
      <c r="X1747" s="3">
        <v>0</v>
      </c>
      <c r="Y1747" s="32" t="s">
        <v>236</v>
      </c>
      <c r="Z1747" s="23"/>
      <c r="AA1747" s="3" t="str">
        <f t="shared" si="13"/>
        <v>___</v>
      </c>
      <c r="AB1747" s="3" t="str">
        <f t="shared" si="12"/>
        <v>____</v>
      </c>
    </row>
    <row r="1748" spans="1:30" ht="14">
      <c r="A1748" s="3">
        <v>1747</v>
      </c>
      <c r="B1748" s="23"/>
      <c r="C1748" s="23"/>
      <c r="D1748" s="23"/>
      <c r="E1748" s="23"/>
      <c r="F1748" s="23"/>
      <c r="G1748" s="23"/>
      <c r="H1748" s="23"/>
      <c r="I1748" s="22"/>
      <c r="J1748" s="23"/>
      <c r="K1748" s="23"/>
      <c r="L1748" s="23"/>
      <c r="M1748" s="32" t="s">
        <v>36</v>
      </c>
      <c r="N1748" s="33">
        <v>33</v>
      </c>
      <c r="O1748" s="33">
        <v>0</v>
      </c>
      <c r="P1748" s="33">
        <v>9</v>
      </c>
      <c r="Q1748" s="32">
        <v>0</v>
      </c>
      <c r="R1748" s="33">
        <v>2</v>
      </c>
      <c r="S1748" s="32">
        <v>0</v>
      </c>
      <c r="T1748" s="3">
        <v>0</v>
      </c>
      <c r="U1748" s="3">
        <v>2.0480000000000002E-2</v>
      </c>
      <c r="V1748" s="3">
        <v>3.4680000000000002E-2</v>
      </c>
      <c r="W1748" s="3">
        <v>0</v>
      </c>
      <c r="X1748" s="3">
        <v>0</v>
      </c>
      <c r="Y1748" s="32" t="s">
        <v>237</v>
      </c>
      <c r="Z1748" s="23"/>
      <c r="AA1748" s="3" t="str">
        <f t="shared" si="13"/>
        <v>___</v>
      </c>
      <c r="AB1748" s="3" t="str">
        <f t="shared" si="12"/>
        <v>____</v>
      </c>
    </row>
    <row r="1749" spans="1:30" ht="14">
      <c r="A1749" s="3">
        <v>1748</v>
      </c>
      <c r="B1749" s="23"/>
      <c r="C1749" s="32">
        <v>82</v>
      </c>
      <c r="D1749" s="32">
        <v>44</v>
      </c>
      <c r="E1749" s="23"/>
      <c r="F1749" s="23"/>
      <c r="G1749" s="23"/>
      <c r="H1749" s="32" t="s">
        <v>40</v>
      </c>
      <c r="I1749" s="33">
        <v>2</v>
      </c>
      <c r="J1749" s="32">
        <v>11</v>
      </c>
      <c r="K1749" s="32">
        <v>12.2</v>
      </c>
      <c r="L1749" s="32">
        <v>5</v>
      </c>
      <c r="M1749" s="32" t="s">
        <v>36</v>
      </c>
      <c r="N1749" s="33">
        <v>16</v>
      </c>
      <c r="O1749" s="33">
        <v>5</v>
      </c>
      <c r="P1749" s="33">
        <v>5</v>
      </c>
      <c r="Q1749" s="32">
        <v>0</v>
      </c>
      <c r="R1749" s="33">
        <v>0</v>
      </c>
      <c r="S1749" s="32">
        <v>0</v>
      </c>
      <c r="T1749" s="3">
        <v>1.6160000000000001E-2</v>
      </c>
      <c r="U1749" s="3">
        <v>3.7399999999999998E-3</v>
      </c>
      <c r="V1749" s="3">
        <v>0</v>
      </c>
      <c r="W1749" s="3">
        <v>0</v>
      </c>
      <c r="X1749" s="3">
        <v>0</v>
      </c>
      <c r="Y1749" s="23"/>
      <c r="Z1749" s="23"/>
      <c r="AA1749" s="3" t="str">
        <f t="shared" si="13"/>
        <v>82_44__vm</v>
      </c>
      <c r="AB1749" s="3" t="str">
        <f t="shared" si="12"/>
        <v>82_44__vm_2</v>
      </c>
      <c r="AD1749" s="3" t="s">
        <v>37</v>
      </c>
    </row>
    <row r="1750" spans="1:30" ht="14">
      <c r="A1750" s="3">
        <v>1749</v>
      </c>
      <c r="B1750" s="23"/>
      <c r="C1750" s="23"/>
      <c r="D1750" s="23"/>
      <c r="E1750" s="23"/>
      <c r="F1750" s="23"/>
      <c r="G1750" s="23"/>
      <c r="H1750" s="23"/>
      <c r="I1750" s="22"/>
      <c r="J1750" s="23"/>
      <c r="K1750" s="23"/>
      <c r="L1750" s="23"/>
      <c r="M1750" s="32" t="s">
        <v>38</v>
      </c>
      <c r="N1750" s="33">
        <v>17</v>
      </c>
      <c r="O1750" s="33">
        <v>0</v>
      </c>
      <c r="P1750" s="33">
        <v>5</v>
      </c>
      <c r="Q1750" s="32">
        <v>0</v>
      </c>
      <c r="R1750" s="33">
        <v>1</v>
      </c>
      <c r="S1750" s="32">
        <v>0</v>
      </c>
      <c r="T1750" s="3">
        <v>0</v>
      </c>
      <c r="U1750" s="3">
        <v>6.94E-3</v>
      </c>
      <c r="V1750" s="3">
        <v>1.218E-2</v>
      </c>
      <c r="W1750" s="3">
        <v>0</v>
      </c>
      <c r="X1750" s="3">
        <v>0</v>
      </c>
      <c r="Y1750" s="23"/>
      <c r="Z1750" s="23"/>
      <c r="AA1750" s="3" t="str">
        <f t="shared" si="13"/>
        <v>___</v>
      </c>
      <c r="AB1750" s="3" t="str">
        <f t="shared" si="12"/>
        <v>____</v>
      </c>
    </row>
    <row r="1751" spans="1:30" ht="14">
      <c r="A1751" s="3">
        <v>1750</v>
      </c>
      <c r="B1751" s="23"/>
      <c r="C1751" s="23"/>
      <c r="D1751" s="23"/>
      <c r="E1751" s="23"/>
      <c r="F1751" s="23"/>
      <c r="G1751" s="23"/>
      <c r="H1751" s="23"/>
      <c r="I1751" s="22"/>
      <c r="J1751" s="23"/>
      <c r="K1751" s="23"/>
      <c r="L1751" s="23"/>
      <c r="M1751" s="32" t="s">
        <v>39</v>
      </c>
      <c r="N1751" s="33">
        <v>29</v>
      </c>
      <c r="O1751" s="33">
        <v>0</v>
      </c>
      <c r="P1751" s="33">
        <v>6</v>
      </c>
      <c r="Q1751" s="32">
        <v>0</v>
      </c>
      <c r="R1751" s="33">
        <v>1</v>
      </c>
      <c r="S1751" s="32">
        <v>0</v>
      </c>
      <c r="T1751" s="3">
        <v>0</v>
      </c>
      <c r="U1751" s="3">
        <v>1.8270000000000002E-2</v>
      </c>
      <c r="V1751" s="3">
        <v>3.5700000000000003E-2</v>
      </c>
      <c r="W1751" s="3">
        <v>0</v>
      </c>
      <c r="X1751" s="3">
        <v>0</v>
      </c>
      <c r="Y1751" s="23"/>
      <c r="Z1751" s="23"/>
      <c r="AA1751" s="3" t="str">
        <f t="shared" si="13"/>
        <v>___</v>
      </c>
      <c r="AB1751" s="3" t="str">
        <f t="shared" si="12"/>
        <v>____</v>
      </c>
    </row>
    <row r="1752" spans="1:30" ht="14">
      <c r="A1752" s="3">
        <v>1751</v>
      </c>
      <c r="B1752" s="23"/>
      <c r="C1752" s="32">
        <v>82</v>
      </c>
      <c r="D1752" s="32">
        <v>44</v>
      </c>
      <c r="E1752" s="23"/>
      <c r="F1752" s="23"/>
      <c r="G1752" s="23"/>
      <c r="H1752" s="32" t="s">
        <v>40</v>
      </c>
      <c r="I1752" s="33">
        <v>3</v>
      </c>
      <c r="J1752" s="32">
        <v>13.7</v>
      </c>
      <c r="K1752" s="32">
        <v>12.3</v>
      </c>
      <c r="L1752" s="32">
        <v>4</v>
      </c>
      <c r="M1752" s="32" t="s">
        <v>36</v>
      </c>
      <c r="N1752" s="33">
        <v>26</v>
      </c>
      <c r="O1752" s="33">
        <v>6</v>
      </c>
      <c r="P1752" s="33">
        <v>0</v>
      </c>
      <c r="Q1752" s="32">
        <v>0</v>
      </c>
      <c r="R1752" s="33">
        <v>0</v>
      </c>
      <c r="S1752" s="32">
        <v>0</v>
      </c>
      <c r="T1752" s="3">
        <v>1.805E-2</v>
      </c>
      <c r="U1752" s="3">
        <v>6.4799999999999996E-3</v>
      </c>
      <c r="V1752" s="3">
        <v>0</v>
      </c>
      <c r="W1752" s="3">
        <v>0</v>
      </c>
      <c r="X1752" s="3">
        <v>0</v>
      </c>
      <c r="Y1752" s="23"/>
      <c r="Z1752" s="23"/>
      <c r="AA1752" s="3" t="str">
        <f t="shared" si="13"/>
        <v>82_44__vm</v>
      </c>
      <c r="AB1752" s="3" t="str">
        <f t="shared" si="12"/>
        <v>82_44__vm_3</v>
      </c>
      <c r="AD1752" s="3" t="s">
        <v>37</v>
      </c>
    </row>
    <row r="1753" spans="1:30" ht="14">
      <c r="A1753" s="3">
        <v>1752</v>
      </c>
      <c r="B1753" s="23"/>
      <c r="C1753" s="23"/>
      <c r="D1753" s="23"/>
      <c r="E1753" s="23"/>
      <c r="F1753" s="23"/>
      <c r="G1753" s="23"/>
      <c r="H1753" s="23"/>
      <c r="I1753" s="22"/>
      <c r="J1753" s="23"/>
      <c r="K1753" s="23"/>
      <c r="L1753" s="23"/>
      <c r="M1753" s="32" t="s">
        <v>38</v>
      </c>
      <c r="N1753" s="33">
        <v>54</v>
      </c>
      <c r="O1753" s="33">
        <v>0</v>
      </c>
      <c r="P1753" s="33">
        <v>8</v>
      </c>
      <c r="Q1753" s="32">
        <v>0</v>
      </c>
      <c r="R1753" s="33">
        <v>2</v>
      </c>
      <c r="S1753" s="32">
        <v>0</v>
      </c>
      <c r="T1753" s="3">
        <v>0</v>
      </c>
      <c r="U1753" s="3">
        <v>3.4610000000000002E-2</v>
      </c>
      <c r="V1753" s="3">
        <v>3.3820000000000003E-2</v>
      </c>
      <c r="W1753" s="3">
        <v>0</v>
      </c>
      <c r="X1753" s="3">
        <v>0</v>
      </c>
      <c r="Y1753" s="23"/>
      <c r="Z1753" s="23"/>
      <c r="AA1753" s="3" t="str">
        <f t="shared" si="13"/>
        <v>___</v>
      </c>
      <c r="AB1753" s="3" t="str">
        <f t="shared" si="12"/>
        <v>____</v>
      </c>
    </row>
    <row r="1754" spans="1:30" ht="14">
      <c r="A1754" s="3">
        <v>1753</v>
      </c>
      <c r="B1754" s="23"/>
      <c r="C1754" s="23"/>
      <c r="D1754" s="23"/>
      <c r="E1754" s="23"/>
      <c r="F1754" s="23"/>
      <c r="G1754" s="23"/>
      <c r="H1754" s="23"/>
      <c r="I1754" s="22"/>
      <c r="J1754" s="23"/>
      <c r="K1754" s="23"/>
      <c r="L1754" s="23"/>
      <c r="M1754" s="32" t="s">
        <v>39</v>
      </c>
      <c r="N1754" s="33">
        <v>25</v>
      </c>
      <c r="O1754" s="33">
        <v>0</v>
      </c>
      <c r="P1754" s="33">
        <v>7</v>
      </c>
      <c r="Q1754" s="32">
        <v>0</v>
      </c>
      <c r="R1754" s="33">
        <v>0</v>
      </c>
      <c r="S1754" s="32">
        <v>0</v>
      </c>
      <c r="T1754" s="3">
        <v>0</v>
      </c>
      <c r="U1754" s="3">
        <v>1.907E-2</v>
      </c>
      <c r="V1754" s="3">
        <v>0</v>
      </c>
      <c r="W1754" s="3">
        <v>0</v>
      </c>
      <c r="X1754" s="3">
        <v>0</v>
      </c>
      <c r="Y1754" s="23"/>
      <c r="Z1754" s="23"/>
      <c r="AA1754" s="3" t="str">
        <f t="shared" si="13"/>
        <v>___</v>
      </c>
      <c r="AB1754" s="3" t="str">
        <f t="shared" si="12"/>
        <v>____</v>
      </c>
    </row>
    <row r="1755" spans="1:30" ht="14">
      <c r="A1755" s="3">
        <v>1754</v>
      </c>
      <c r="B1755" s="23"/>
      <c r="C1755" s="32">
        <v>82</v>
      </c>
      <c r="D1755" s="32">
        <v>44</v>
      </c>
      <c r="E1755" s="23"/>
      <c r="F1755" s="23"/>
      <c r="G1755" s="23"/>
      <c r="H1755" s="32" t="s">
        <v>35</v>
      </c>
      <c r="I1755" s="33">
        <v>1</v>
      </c>
      <c r="J1755" s="32">
        <v>9.8000000000000007</v>
      </c>
      <c r="K1755" s="32">
        <v>11.3</v>
      </c>
      <c r="L1755" s="32">
        <v>4</v>
      </c>
      <c r="M1755" s="32" t="s">
        <v>36</v>
      </c>
      <c r="N1755" s="33" t="s">
        <v>238</v>
      </c>
      <c r="O1755" s="33">
        <v>11</v>
      </c>
      <c r="P1755" s="33">
        <v>13</v>
      </c>
      <c r="Q1755" s="32">
        <v>0</v>
      </c>
      <c r="R1755" s="33">
        <v>0</v>
      </c>
      <c r="S1755" s="32">
        <v>0</v>
      </c>
      <c r="T1755" s="3">
        <v>6.5439999999999998E-2</v>
      </c>
      <c r="U1755" s="3">
        <v>8.0300000000000007E-3</v>
      </c>
      <c r="V1755" s="3">
        <v>0</v>
      </c>
      <c r="W1755" s="3">
        <v>0</v>
      </c>
      <c r="X1755" s="3">
        <v>0</v>
      </c>
      <c r="Y1755" s="32" t="s">
        <v>239</v>
      </c>
      <c r="Z1755" s="23"/>
      <c r="AA1755" s="3" t="str">
        <f t="shared" si="13"/>
        <v>82_44__vv</v>
      </c>
      <c r="AB1755" s="3" t="str">
        <f t="shared" si="12"/>
        <v>82_44__vv_1</v>
      </c>
      <c r="AD1755" s="3" t="s">
        <v>37</v>
      </c>
    </row>
    <row r="1756" spans="1:30" ht="14">
      <c r="A1756" s="3">
        <v>1755</v>
      </c>
      <c r="B1756" s="23"/>
      <c r="C1756" s="23"/>
      <c r="D1756" s="23"/>
      <c r="E1756" s="23"/>
      <c r="F1756" s="23"/>
      <c r="G1756" s="23"/>
      <c r="H1756" s="23"/>
      <c r="I1756" s="22"/>
      <c r="J1756" s="23"/>
      <c r="K1756" s="23"/>
      <c r="L1756" s="23"/>
      <c r="M1756" s="32" t="s">
        <v>38</v>
      </c>
      <c r="N1756" s="33">
        <v>24</v>
      </c>
      <c r="O1756" s="33">
        <v>8</v>
      </c>
      <c r="P1756" s="33">
        <v>13</v>
      </c>
      <c r="Q1756" s="32">
        <v>0</v>
      </c>
      <c r="R1756" s="33">
        <v>0</v>
      </c>
      <c r="S1756" s="32">
        <v>0</v>
      </c>
      <c r="T1756" s="3">
        <v>8.6599999999999996E-2</v>
      </c>
      <c r="U1756" s="3">
        <v>1.2330000000000001E-2</v>
      </c>
      <c r="V1756" s="3">
        <v>0</v>
      </c>
      <c r="W1756" s="3">
        <v>0</v>
      </c>
      <c r="X1756" s="3">
        <v>0</v>
      </c>
      <c r="Y1756" s="23"/>
      <c r="Z1756" s="23"/>
      <c r="AA1756" s="3" t="str">
        <f t="shared" si="13"/>
        <v>___</v>
      </c>
      <c r="AB1756" s="3" t="str">
        <f t="shared" si="12"/>
        <v>____</v>
      </c>
    </row>
    <row r="1757" spans="1:30" ht="14">
      <c r="A1757" s="3">
        <v>1756</v>
      </c>
      <c r="B1757" s="23"/>
      <c r="C1757" s="23"/>
      <c r="D1757" s="23"/>
      <c r="E1757" s="23"/>
      <c r="F1757" s="23"/>
      <c r="G1757" s="23"/>
      <c r="H1757" s="23"/>
      <c r="I1757" s="22"/>
      <c r="J1757" s="23"/>
      <c r="K1757" s="23"/>
      <c r="L1757" s="23"/>
      <c r="M1757" s="32" t="s">
        <v>39</v>
      </c>
      <c r="N1757" s="33">
        <v>23</v>
      </c>
      <c r="O1757" s="33">
        <v>0</v>
      </c>
      <c r="P1757" s="33">
        <v>12</v>
      </c>
      <c r="Q1757" s="32">
        <v>0</v>
      </c>
      <c r="R1757" s="33">
        <v>0</v>
      </c>
      <c r="S1757" s="32">
        <v>0</v>
      </c>
      <c r="T1757" s="3">
        <v>0</v>
      </c>
      <c r="U1757" s="3">
        <v>1.3440000000000001E-2</v>
      </c>
      <c r="V1757" s="3">
        <v>0</v>
      </c>
      <c r="W1757" s="3">
        <v>0</v>
      </c>
      <c r="X1757" s="3">
        <v>0</v>
      </c>
      <c r="Y1757" s="23"/>
      <c r="Z1757" s="23"/>
      <c r="AA1757" s="3" t="str">
        <f t="shared" si="13"/>
        <v>___</v>
      </c>
      <c r="AB1757" s="3" t="str">
        <f t="shared" si="12"/>
        <v>____</v>
      </c>
    </row>
    <row r="1758" spans="1:30" ht="14">
      <c r="A1758" s="3">
        <v>1757</v>
      </c>
      <c r="B1758" s="23"/>
      <c r="C1758" s="32">
        <v>82</v>
      </c>
      <c r="D1758" s="32">
        <v>44</v>
      </c>
      <c r="E1758" s="23"/>
      <c r="F1758" s="23"/>
      <c r="G1758" s="23"/>
      <c r="H1758" s="32" t="s">
        <v>35</v>
      </c>
      <c r="I1758" s="33">
        <v>2</v>
      </c>
      <c r="J1758" s="32">
        <v>15</v>
      </c>
      <c r="K1758" s="32">
        <v>18.2</v>
      </c>
      <c r="L1758" s="32">
        <v>8</v>
      </c>
      <c r="M1758" s="32" t="s">
        <v>36</v>
      </c>
      <c r="N1758" s="33">
        <v>14</v>
      </c>
      <c r="O1758" s="33">
        <v>7</v>
      </c>
      <c r="P1758" s="33">
        <v>7</v>
      </c>
      <c r="Q1758" s="32">
        <v>0</v>
      </c>
      <c r="R1758" s="33">
        <v>0</v>
      </c>
      <c r="S1758" s="32">
        <v>0</v>
      </c>
      <c r="T1758" s="3">
        <v>4.1309999999999999E-2</v>
      </c>
      <c r="U1758" s="3">
        <v>2.82E-3</v>
      </c>
      <c r="V1758" s="3">
        <v>0</v>
      </c>
      <c r="W1758" s="3">
        <v>0</v>
      </c>
      <c r="X1758" s="3">
        <v>0</v>
      </c>
      <c r="Y1758" s="32" t="s">
        <v>240</v>
      </c>
      <c r="Z1758" s="23"/>
      <c r="AA1758" s="3" t="str">
        <f t="shared" si="13"/>
        <v>82_44__vv</v>
      </c>
      <c r="AB1758" s="3" t="str">
        <f t="shared" si="12"/>
        <v>82_44__vv_2</v>
      </c>
      <c r="AD1758" s="3" t="s">
        <v>37</v>
      </c>
    </row>
    <row r="1759" spans="1:30" ht="14">
      <c r="A1759" s="3">
        <v>1758</v>
      </c>
      <c r="B1759" s="23"/>
      <c r="C1759" s="23"/>
      <c r="D1759" s="23"/>
      <c r="E1759" s="23"/>
      <c r="F1759" s="23"/>
      <c r="G1759" s="23"/>
      <c r="H1759" s="23"/>
      <c r="I1759" s="22"/>
      <c r="J1759" s="23"/>
      <c r="K1759" s="23"/>
      <c r="L1759" s="23"/>
      <c r="M1759" s="32" t="s">
        <v>38</v>
      </c>
      <c r="N1759" s="33">
        <v>16</v>
      </c>
      <c r="O1759" s="33">
        <v>9</v>
      </c>
      <c r="P1759" s="33">
        <v>11</v>
      </c>
      <c r="Q1759" s="32">
        <v>0</v>
      </c>
      <c r="R1759" s="33">
        <v>0</v>
      </c>
      <c r="S1759" s="32">
        <v>0</v>
      </c>
      <c r="T1759" s="3">
        <v>9.8559999999999995E-2</v>
      </c>
      <c r="U1759" s="3">
        <v>6.1999999999999998E-3</v>
      </c>
      <c r="V1759" s="3">
        <v>0</v>
      </c>
      <c r="W1759" s="3">
        <v>0</v>
      </c>
      <c r="X1759" s="3">
        <v>0</v>
      </c>
      <c r="Y1759" s="23"/>
      <c r="Z1759" s="23"/>
      <c r="AA1759" s="3" t="str">
        <f t="shared" si="13"/>
        <v>___</v>
      </c>
      <c r="AB1759" s="3" t="str">
        <f t="shared" si="12"/>
        <v>____</v>
      </c>
    </row>
    <row r="1760" spans="1:30" ht="14">
      <c r="A1760" s="3">
        <v>1759</v>
      </c>
      <c r="B1760" s="23"/>
      <c r="C1760" s="23"/>
      <c r="D1760" s="23"/>
      <c r="E1760" s="23"/>
      <c r="F1760" s="23"/>
      <c r="G1760" s="23"/>
      <c r="H1760" s="23"/>
      <c r="I1760" s="22"/>
      <c r="J1760" s="23"/>
      <c r="K1760" s="23"/>
      <c r="L1760" s="23"/>
      <c r="M1760" s="32" t="s">
        <v>39</v>
      </c>
      <c r="N1760" s="33">
        <v>16</v>
      </c>
      <c r="O1760" s="33">
        <v>8</v>
      </c>
      <c r="P1760" s="33">
        <v>12</v>
      </c>
      <c r="Q1760" s="32">
        <v>0</v>
      </c>
      <c r="R1760" s="33">
        <v>0</v>
      </c>
      <c r="S1760" s="32">
        <v>0</v>
      </c>
      <c r="T1760" s="3">
        <v>7.7509999999999996E-2</v>
      </c>
      <c r="U1760" s="3">
        <v>8.0000000000000002E-3</v>
      </c>
      <c r="V1760" s="3">
        <v>0</v>
      </c>
      <c r="W1760" s="3">
        <v>0</v>
      </c>
      <c r="X1760" s="3">
        <v>0</v>
      </c>
      <c r="Y1760" s="23"/>
      <c r="Z1760" s="23"/>
      <c r="AA1760" s="3" t="str">
        <f t="shared" si="13"/>
        <v>___</v>
      </c>
      <c r="AB1760" s="3" t="str">
        <f t="shared" si="12"/>
        <v>____</v>
      </c>
    </row>
    <row r="1761" spans="1:30" ht="14">
      <c r="A1761" s="3">
        <v>1760</v>
      </c>
      <c r="B1761" s="23"/>
      <c r="C1761" s="32">
        <v>82</v>
      </c>
      <c r="D1761" s="32">
        <v>44</v>
      </c>
      <c r="E1761" s="23"/>
      <c r="F1761" s="23"/>
      <c r="G1761" s="23"/>
      <c r="H1761" s="32" t="s">
        <v>35</v>
      </c>
      <c r="I1761" s="33">
        <v>3</v>
      </c>
      <c r="J1761" s="32">
        <v>7.3</v>
      </c>
      <c r="K1761" s="32">
        <v>12.8</v>
      </c>
      <c r="L1761" s="32">
        <v>4</v>
      </c>
      <c r="M1761" s="32" t="s">
        <v>36</v>
      </c>
      <c r="N1761" s="33">
        <v>15</v>
      </c>
      <c r="O1761" s="33">
        <v>8</v>
      </c>
      <c r="P1761" s="33">
        <v>9</v>
      </c>
      <c r="Q1761" s="32">
        <v>0</v>
      </c>
      <c r="R1761" s="33">
        <v>0</v>
      </c>
      <c r="S1761" s="32">
        <v>0</v>
      </c>
      <c r="T1761" s="3">
        <v>5.7680000000000002E-2</v>
      </c>
      <c r="U1761" s="3">
        <v>3.8999999999999998E-3</v>
      </c>
      <c r="V1761" s="3">
        <v>0</v>
      </c>
      <c r="W1761" s="3">
        <v>0</v>
      </c>
      <c r="X1761" s="3">
        <v>0</v>
      </c>
      <c r="Y1761" s="23"/>
      <c r="Z1761" s="23"/>
      <c r="AA1761" s="3" t="str">
        <f t="shared" si="13"/>
        <v>82_44__vv</v>
      </c>
      <c r="AB1761" s="3" t="str">
        <f t="shared" si="12"/>
        <v>82_44__vv_3</v>
      </c>
      <c r="AD1761" s="3" t="s">
        <v>37</v>
      </c>
    </row>
    <row r="1762" spans="1:30" ht="14">
      <c r="A1762" s="3">
        <v>1761</v>
      </c>
      <c r="B1762" s="23"/>
      <c r="C1762" s="23"/>
      <c r="D1762" s="23"/>
      <c r="E1762" s="23"/>
      <c r="F1762" s="23"/>
      <c r="G1762" s="23"/>
      <c r="H1762" s="23"/>
      <c r="I1762" s="22"/>
      <c r="J1762" s="23"/>
      <c r="K1762" s="23"/>
      <c r="L1762" s="23"/>
      <c r="M1762" s="32" t="s">
        <v>38</v>
      </c>
      <c r="N1762" s="33">
        <v>46</v>
      </c>
      <c r="O1762" s="33">
        <v>7</v>
      </c>
      <c r="P1762" s="33">
        <v>12</v>
      </c>
      <c r="Q1762" s="32">
        <v>0</v>
      </c>
      <c r="R1762" s="33">
        <v>0</v>
      </c>
      <c r="S1762" s="32">
        <v>0</v>
      </c>
      <c r="T1762" s="3">
        <v>8.029E-2</v>
      </c>
      <c r="U1762" s="3">
        <v>1.831E-2</v>
      </c>
      <c r="V1762" s="3">
        <v>0</v>
      </c>
      <c r="W1762" s="3">
        <v>0</v>
      </c>
      <c r="X1762" s="3">
        <v>0</v>
      </c>
      <c r="Y1762" s="23"/>
      <c r="Z1762" s="23"/>
      <c r="AA1762" s="3" t="str">
        <f t="shared" si="13"/>
        <v>___</v>
      </c>
      <c r="AB1762" s="3" t="str">
        <f t="shared" si="12"/>
        <v>____</v>
      </c>
    </row>
    <row r="1763" spans="1:30" ht="14">
      <c r="A1763" s="3">
        <v>1762</v>
      </c>
      <c r="B1763" s="23"/>
      <c r="C1763" s="23"/>
      <c r="D1763" s="23"/>
      <c r="E1763" s="23"/>
      <c r="F1763" s="23"/>
      <c r="G1763" s="23"/>
      <c r="H1763" s="23"/>
      <c r="I1763" s="22"/>
      <c r="J1763" s="23"/>
      <c r="K1763" s="23"/>
      <c r="L1763" s="23"/>
      <c r="M1763" s="32" t="s">
        <v>39</v>
      </c>
      <c r="N1763" s="33">
        <v>38</v>
      </c>
      <c r="O1763" s="33">
        <v>0</v>
      </c>
      <c r="P1763" s="33">
        <v>11</v>
      </c>
      <c r="Q1763" s="32">
        <v>0</v>
      </c>
      <c r="R1763" s="33">
        <v>0</v>
      </c>
      <c r="S1763" s="32">
        <v>0</v>
      </c>
      <c r="T1763" s="3">
        <v>0</v>
      </c>
      <c r="U1763" s="3">
        <v>1.7399999999999999E-2</v>
      </c>
      <c r="V1763" s="3">
        <v>0</v>
      </c>
      <c r="W1763" s="3">
        <v>0</v>
      </c>
      <c r="X1763" s="3">
        <v>0</v>
      </c>
      <c r="Y1763" s="23"/>
      <c r="Z1763" s="23"/>
      <c r="AA1763" s="3" t="str">
        <f t="shared" si="13"/>
        <v>___</v>
      </c>
      <c r="AB1763" s="3" t="str">
        <f t="shared" si="12"/>
        <v>____</v>
      </c>
    </row>
    <row r="1764" spans="1:30" ht="14">
      <c r="A1764" s="3">
        <v>1763</v>
      </c>
      <c r="B1764" s="23"/>
      <c r="C1764" s="32">
        <v>82</v>
      </c>
      <c r="D1764" s="32">
        <v>55</v>
      </c>
      <c r="E1764" s="23"/>
      <c r="F1764" s="23"/>
      <c r="G1764" s="23"/>
      <c r="H1764" s="32" t="s">
        <v>35</v>
      </c>
      <c r="I1764" s="33">
        <v>1</v>
      </c>
      <c r="J1764" s="32">
        <v>12.6</v>
      </c>
      <c r="K1764" s="32">
        <v>14.2</v>
      </c>
      <c r="L1764" s="32">
        <v>6</v>
      </c>
      <c r="M1764" s="32" t="s">
        <v>36</v>
      </c>
      <c r="N1764" s="33">
        <v>14</v>
      </c>
      <c r="O1764" s="33">
        <v>3</v>
      </c>
      <c r="P1764" s="33">
        <v>7</v>
      </c>
      <c r="Q1764" s="32">
        <v>0</v>
      </c>
      <c r="R1764" s="33">
        <v>0</v>
      </c>
      <c r="S1764" s="32">
        <v>0</v>
      </c>
      <c r="T1764" s="3">
        <v>1.9560000000000001E-2</v>
      </c>
      <c r="U1764" s="3">
        <v>3.64E-3</v>
      </c>
      <c r="V1764" s="3">
        <v>0</v>
      </c>
      <c r="W1764" s="3">
        <v>0</v>
      </c>
      <c r="X1764" s="3">
        <v>0</v>
      </c>
      <c r="Y1764" s="23"/>
      <c r="Z1764" s="23"/>
      <c r="AA1764" s="3" t="str">
        <f t="shared" si="13"/>
        <v>82_55__vv</v>
      </c>
      <c r="AB1764" s="3" t="str">
        <f t="shared" si="12"/>
        <v>82_55__vv_1</v>
      </c>
      <c r="AD1764" s="3" t="s">
        <v>37</v>
      </c>
    </row>
    <row r="1765" spans="1:30" ht="14">
      <c r="A1765" s="3">
        <v>1764</v>
      </c>
      <c r="B1765" s="23"/>
      <c r="C1765" s="23"/>
      <c r="D1765" s="23"/>
      <c r="E1765" s="23"/>
      <c r="F1765" s="23"/>
      <c r="G1765" s="23"/>
      <c r="H1765" s="23"/>
      <c r="I1765" s="22"/>
      <c r="J1765" s="23"/>
      <c r="K1765" s="23"/>
      <c r="L1765" s="23"/>
      <c r="M1765" s="32" t="s">
        <v>38</v>
      </c>
      <c r="N1765" s="33">
        <v>17</v>
      </c>
      <c r="O1765" s="33">
        <v>6</v>
      </c>
      <c r="P1765" s="33">
        <v>11</v>
      </c>
      <c r="Q1765" s="32">
        <v>0</v>
      </c>
      <c r="R1765" s="33">
        <v>0</v>
      </c>
      <c r="S1765" s="32">
        <v>0</v>
      </c>
      <c r="T1765" s="3">
        <v>3.5569999999999997E-2</v>
      </c>
      <c r="U1765" s="3">
        <v>5.8599999999999998E-3</v>
      </c>
      <c r="V1765" s="3">
        <v>0</v>
      </c>
      <c r="W1765" s="3">
        <v>0</v>
      </c>
      <c r="X1765" s="3">
        <v>0</v>
      </c>
      <c r="Y1765" s="23"/>
      <c r="Z1765" s="23"/>
      <c r="AA1765" s="3" t="str">
        <f t="shared" si="13"/>
        <v>___</v>
      </c>
      <c r="AB1765" s="3" t="str">
        <f t="shared" si="12"/>
        <v>____</v>
      </c>
    </row>
    <row r="1766" spans="1:30" ht="14">
      <c r="A1766" s="3">
        <v>1765</v>
      </c>
      <c r="B1766" s="23"/>
      <c r="C1766" s="23"/>
      <c r="D1766" s="23"/>
      <c r="E1766" s="23"/>
      <c r="F1766" s="23"/>
      <c r="G1766" s="23"/>
      <c r="H1766" s="23"/>
      <c r="I1766" s="22"/>
      <c r="J1766" s="23"/>
      <c r="K1766" s="23"/>
      <c r="L1766" s="23"/>
      <c r="M1766" s="32" t="s">
        <v>39</v>
      </c>
      <c r="N1766" s="33">
        <v>11</v>
      </c>
      <c r="O1766" s="33">
        <v>1</v>
      </c>
      <c r="P1766" s="33">
        <v>8</v>
      </c>
      <c r="Q1766" s="32">
        <v>0</v>
      </c>
      <c r="R1766" s="33">
        <v>0</v>
      </c>
      <c r="S1766" s="32">
        <v>0</v>
      </c>
      <c r="T1766" s="3">
        <v>5.2599999999999999E-3</v>
      </c>
      <c r="U1766" s="3">
        <v>5.3E-3</v>
      </c>
      <c r="V1766" s="3">
        <v>0</v>
      </c>
      <c r="W1766" s="3">
        <v>0</v>
      </c>
      <c r="X1766" s="3">
        <v>0</v>
      </c>
      <c r="Y1766" s="23"/>
      <c r="Z1766" s="23"/>
      <c r="AA1766" s="3" t="str">
        <f t="shared" si="13"/>
        <v>___</v>
      </c>
      <c r="AB1766" s="3" t="str">
        <f t="shared" si="12"/>
        <v>____</v>
      </c>
    </row>
    <row r="1767" spans="1:30" ht="14">
      <c r="A1767" s="3">
        <v>1766</v>
      </c>
      <c r="B1767" s="23"/>
      <c r="C1767" s="32">
        <v>82</v>
      </c>
      <c r="D1767" s="32">
        <v>55</v>
      </c>
      <c r="E1767" s="23"/>
      <c r="F1767" s="23"/>
      <c r="G1767" s="23"/>
      <c r="H1767" s="32" t="s">
        <v>35</v>
      </c>
      <c r="I1767" s="33">
        <v>2</v>
      </c>
      <c r="J1767" s="32">
        <v>13.8</v>
      </c>
      <c r="K1767" s="32">
        <v>15.1</v>
      </c>
      <c r="L1767" s="32">
        <v>5</v>
      </c>
      <c r="M1767" s="32" t="s">
        <v>36</v>
      </c>
      <c r="N1767" s="33">
        <v>24</v>
      </c>
      <c r="O1767" s="33">
        <v>13</v>
      </c>
      <c r="P1767" s="33">
        <v>14</v>
      </c>
      <c r="Q1767" s="32">
        <v>0</v>
      </c>
      <c r="R1767" s="33">
        <v>0</v>
      </c>
      <c r="S1767" s="32">
        <v>0</v>
      </c>
      <c r="T1767" s="3">
        <v>7.7630000000000005E-2</v>
      </c>
      <c r="U1767" s="3">
        <v>8.7299999999999999E-3</v>
      </c>
      <c r="V1767" s="3">
        <v>0</v>
      </c>
      <c r="W1767" s="3">
        <v>0</v>
      </c>
      <c r="X1767" s="3">
        <v>0</v>
      </c>
      <c r="Y1767" s="23"/>
      <c r="Z1767" s="23"/>
      <c r="AA1767" s="3" t="str">
        <f t="shared" si="13"/>
        <v>82_55__vv</v>
      </c>
      <c r="AB1767" s="3" t="str">
        <f t="shared" si="12"/>
        <v>82_55__vv_2</v>
      </c>
      <c r="AD1767" s="3" t="s">
        <v>37</v>
      </c>
    </row>
    <row r="1768" spans="1:30" ht="14">
      <c r="A1768" s="3">
        <v>1767</v>
      </c>
      <c r="B1768" s="23"/>
      <c r="C1768" s="23"/>
      <c r="D1768" s="23"/>
      <c r="E1768" s="23"/>
      <c r="F1768" s="23"/>
      <c r="G1768" s="23"/>
      <c r="H1768" s="23"/>
      <c r="I1768" s="22"/>
      <c r="J1768" s="23"/>
      <c r="K1768" s="23"/>
      <c r="L1768" s="23"/>
      <c r="M1768" s="32" t="s">
        <v>38</v>
      </c>
      <c r="N1768" s="33">
        <v>43</v>
      </c>
      <c r="O1768" s="33">
        <v>12</v>
      </c>
      <c r="P1768" s="33">
        <v>15</v>
      </c>
      <c r="Q1768" s="32">
        <v>0</v>
      </c>
      <c r="R1768" s="33">
        <v>0</v>
      </c>
      <c r="S1768" s="32">
        <v>0</v>
      </c>
      <c r="T1768" s="3">
        <v>0.14127000000000001</v>
      </c>
      <c r="U1768" s="3">
        <v>2.7640000000000001E-2</v>
      </c>
      <c r="V1768" s="3">
        <v>0</v>
      </c>
      <c r="W1768" s="3">
        <v>0</v>
      </c>
      <c r="X1768" s="3">
        <v>0</v>
      </c>
      <c r="Y1768" s="23"/>
      <c r="Z1768" s="23"/>
      <c r="AA1768" s="3" t="str">
        <f t="shared" si="13"/>
        <v>___</v>
      </c>
      <c r="AB1768" s="3" t="str">
        <f t="shared" si="12"/>
        <v>____</v>
      </c>
    </row>
    <row r="1769" spans="1:30" ht="14">
      <c r="A1769" s="3">
        <v>1768</v>
      </c>
      <c r="B1769" s="23"/>
      <c r="C1769" s="23"/>
      <c r="D1769" s="23"/>
      <c r="E1769" s="23"/>
      <c r="F1769" s="23"/>
      <c r="G1769" s="23"/>
      <c r="H1769" s="23"/>
      <c r="I1769" s="22"/>
      <c r="J1769" s="23"/>
      <c r="K1769" s="23"/>
      <c r="L1769" s="23"/>
      <c r="M1769" s="32" t="s">
        <v>39</v>
      </c>
      <c r="N1769" s="33">
        <v>39</v>
      </c>
      <c r="O1769" s="33">
        <v>7</v>
      </c>
      <c r="P1769" s="33">
        <v>13</v>
      </c>
      <c r="Q1769" s="32">
        <v>0</v>
      </c>
      <c r="R1769" s="33">
        <v>0</v>
      </c>
      <c r="S1769" s="32">
        <v>0</v>
      </c>
      <c r="T1769" s="3">
        <v>5.1589999999999997E-2</v>
      </c>
      <c r="U1769" s="3">
        <v>3.7499999999999999E-2</v>
      </c>
      <c r="V1769" s="3">
        <v>0</v>
      </c>
      <c r="W1769" s="3">
        <v>0</v>
      </c>
      <c r="X1769" s="3">
        <v>0</v>
      </c>
      <c r="Y1769" s="23"/>
      <c r="Z1769" s="23"/>
      <c r="AA1769" s="3" t="str">
        <f t="shared" si="13"/>
        <v>___</v>
      </c>
      <c r="AB1769" s="3" t="str">
        <f t="shared" si="12"/>
        <v>____</v>
      </c>
    </row>
    <row r="1770" spans="1:30" ht="14">
      <c r="A1770" s="3">
        <v>1769</v>
      </c>
      <c r="B1770" s="23"/>
      <c r="C1770" s="32">
        <v>82</v>
      </c>
      <c r="D1770" s="32">
        <v>55</v>
      </c>
      <c r="E1770" s="23"/>
      <c r="F1770" s="23"/>
      <c r="G1770" s="23"/>
      <c r="H1770" s="32" t="s">
        <v>35</v>
      </c>
      <c r="I1770" s="33">
        <v>3</v>
      </c>
      <c r="J1770" s="32">
        <v>16.8</v>
      </c>
      <c r="K1770" s="32">
        <v>18.100000000000001</v>
      </c>
      <c r="L1770" s="32">
        <v>5</v>
      </c>
      <c r="M1770" s="32" t="s">
        <v>36</v>
      </c>
      <c r="N1770" s="33">
        <v>27</v>
      </c>
      <c r="O1770" s="33">
        <v>10</v>
      </c>
      <c r="P1770" s="33">
        <v>14</v>
      </c>
      <c r="Q1770" s="32">
        <v>0</v>
      </c>
      <c r="R1770" s="33">
        <v>0</v>
      </c>
      <c r="S1770" s="32">
        <v>0</v>
      </c>
      <c r="T1770" s="3">
        <v>7.7776999999999999E-2</v>
      </c>
      <c r="U1770" s="3">
        <v>1.026E-2</v>
      </c>
      <c r="V1770" s="3">
        <v>0</v>
      </c>
      <c r="W1770" s="3">
        <v>0</v>
      </c>
      <c r="X1770" s="3">
        <v>0</v>
      </c>
      <c r="Y1770" s="23"/>
      <c r="Z1770" s="23"/>
      <c r="AA1770" s="3" t="str">
        <f t="shared" si="13"/>
        <v>82_55__vv</v>
      </c>
      <c r="AB1770" s="3" t="str">
        <f t="shared" si="12"/>
        <v>82_55__vv_3</v>
      </c>
      <c r="AD1770" s="3" t="s">
        <v>37</v>
      </c>
    </row>
    <row r="1771" spans="1:30" ht="14">
      <c r="A1771" s="3">
        <v>1770</v>
      </c>
      <c r="B1771" s="23"/>
      <c r="C1771" s="23"/>
      <c r="D1771" s="23"/>
      <c r="E1771" s="23"/>
      <c r="F1771" s="23"/>
      <c r="G1771" s="23"/>
      <c r="H1771" s="23"/>
      <c r="I1771" s="22"/>
      <c r="J1771" s="23"/>
      <c r="K1771" s="23"/>
      <c r="L1771" s="23"/>
      <c r="M1771" s="32" t="s">
        <v>38</v>
      </c>
      <c r="N1771" s="33">
        <v>32</v>
      </c>
      <c r="O1771" s="33">
        <v>5</v>
      </c>
      <c r="P1771" s="33">
        <v>13</v>
      </c>
      <c r="Q1771" s="32">
        <v>0</v>
      </c>
      <c r="R1771" s="33">
        <v>0</v>
      </c>
      <c r="S1771" s="32">
        <v>0</v>
      </c>
      <c r="T1771" s="3">
        <v>5.7290000000000001E-2</v>
      </c>
      <c r="U1771" s="3">
        <v>2.3199999999999998E-2</v>
      </c>
      <c r="V1771" s="3">
        <v>0</v>
      </c>
      <c r="W1771" s="3">
        <v>0</v>
      </c>
      <c r="X1771" s="3">
        <v>0</v>
      </c>
      <c r="Y1771" s="23"/>
      <c r="Z1771" s="23"/>
      <c r="AA1771" s="3" t="str">
        <f t="shared" si="13"/>
        <v>___</v>
      </c>
      <c r="AB1771" s="3" t="str">
        <f t="shared" si="12"/>
        <v>____</v>
      </c>
    </row>
    <row r="1772" spans="1:30" ht="14">
      <c r="A1772" s="3">
        <v>1771</v>
      </c>
      <c r="B1772" s="23"/>
      <c r="C1772" s="23"/>
      <c r="D1772" s="23"/>
      <c r="E1772" s="23"/>
      <c r="F1772" s="23"/>
      <c r="G1772" s="23"/>
      <c r="H1772" s="23"/>
      <c r="I1772" s="22"/>
      <c r="J1772" s="23"/>
      <c r="K1772" s="23"/>
      <c r="L1772" s="23"/>
      <c r="M1772" s="32" t="s">
        <v>39</v>
      </c>
      <c r="N1772" s="33">
        <v>31</v>
      </c>
      <c r="O1772" s="33">
        <v>0</v>
      </c>
      <c r="P1772" s="33">
        <v>11</v>
      </c>
      <c r="Q1772" s="32">
        <v>0</v>
      </c>
      <c r="R1772" s="33">
        <v>0</v>
      </c>
      <c r="S1772" s="32">
        <v>0</v>
      </c>
      <c r="T1772" s="3">
        <v>0</v>
      </c>
      <c r="U1772" s="3">
        <v>2.4240000000000001E-2</v>
      </c>
      <c r="V1772" s="3">
        <v>0</v>
      </c>
      <c r="W1772" s="3">
        <v>0</v>
      </c>
      <c r="X1772" s="3">
        <v>0</v>
      </c>
      <c r="Y1772" s="23"/>
      <c r="Z1772" s="23"/>
      <c r="AA1772" s="3" t="str">
        <f t="shared" si="13"/>
        <v>___</v>
      </c>
      <c r="AB1772" s="3" t="str">
        <f t="shared" si="12"/>
        <v>____</v>
      </c>
    </row>
    <row r="1773" spans="1:30" ht="14">
      <c r="A1773" s="3">
        <v>1772</v>
      </c>
      <c r="B1773" s="23"/>
      <c r="C1773" s="32">
        <v>82</v>
      </c>
      <c r="D1773" s="32">
        <v>55</v>
      </c>
      <c r="E1773" s="23"/>
      <c r="F1773" s="23"/>
      <c r="G1773" s="23"/>
      <c r="H1773" s="32" t="s">
        <v>40</v>
      </c>
      <c r="I1773" s="33">
        <v>1</v>
      </c>
      <c r="J1773" s="32">
        <v>18.2</v>
      </c>
      <c r="K1773" s="32">
        <v>17</v>
      </c>
      <c r="L1773" s="32">
        <v>5</v>
      </c>
      <c r="M1773" s="32" t="s">
        <v>36</v>
      </c>
      <c r="N1773" s="33">
        <v>27</v>
      </c>
      <c r="O1773" s="33">
        <v>5</v>
      </c>
      <c r="P1773" s="33">
        <v>6</v>
      </c>
      <c r="Q1773" s="32">
        <v>0</v>
      </c>
      <c r="R1773" s="33">
        <v>0</v>
      </c>
      <c r="S1773" s="32">
        <v>0</v>
      </c>
      <c r="T1773" s="3">
        <v>2.743E-2</v>
      </c>
      <c r="U1773" s="3">
        <v>8.6400000000000001E-3</v>
      </c>
      <c r="V1773" s="3">
        <v>0</v>
      </c>
      <c r="W1773" s="3">
        <v>0</v>
      </c>
      <c r="X1773" s="3">
        <v>0</v>
      </c>
      <c r="Y1773" s="32" t="s">
        <v>241</v>
      </c>
      <c r="Z1773" s="23"/>
      <c r="AA1773" s="3" t="str">
        <f t="shared" si="13"/>
        <v>82_55__vm</v>
      </c>
      <c r="AB1773" s="3" t="str">
        <f t="shared" si="12"/>
        <v>82_55__vm_1</v>
      </c>
      <c r="AD1773" s="3" t="s">
        <v>37</v>
      </c>
    </row>
    <row r="1774" spans="1:30" ht="14">
      <c r="A1774" s="3">
        <v>1773</v>
      </c>
      <c r="B1774" s="23"/>
      <c r="C1774" s="23"/>
      <c r="D1774" s="23"/>
      <c r="E1774" s="23"/>
      <c r="F1774" s="23"/>
      <c r="G1774" s="23"/>
      <c r="H1774" s="23"/>
      <c r="I1774" s="22"/>
      <c r="J1774" s="23"/>
      <c r="K1774" s="23"/>
      <c r="L1774" s="23"/>
      <c r="M1774" s="32" t="s">
        <v>36</v>
      </c>
      <c r="N1774" s="33">
        <v>32</v>
      </c>
      <c r="O1774" s="33">
        <v>0</v>
      </c>
      <c r="P1774" s="33">
        <v>7</v>
      </c>
      <c r="Q1774" s="32">
        <v>0</v>
      </c>
      <c r="R1774" s="33">
        <v>2</v>
      </c>
      <c r="S1774" s="32">
        <v>0</v>
      </c>
      <c r="T1774" s="3">
        <v>0</v>
      </c>
      <c r="U1774" s="3">
        <v>1.686E-2</v>
      </c>
      <c r="V1774" s="3">
        <v>3.4369999999999998E-2</v>
      </c>
      <c r="W1774" s="3">
        <v>0</v>
      </c>
      <c r="X1774" s="3">
        <v>0</v>
      </c>
      <c r="Y1774" s="32" t="s">
        <v>242</v>
      </c>
      <c r="Z1774" s="23"/>
      <c r="AA1774" s="3" t="str">
        <f t="shared" si="13"/>
        <v>___</v>
      </c>
      <c r="AB1774" s="3" t="str">
        <f t="shared" si="12"/>
        <v>____</v>
      </c>
    </row>
    <row r="1775" spans="1:30" ht="14">
      <c r="A1775" s="3">
        <v>1774</v>
      </c>
      <c r="B1775" s="23"/>
      <c r="C1775" s="23"/>
      <c r="D1775" s="23"/>
      <c r="E1775" s="23"/>
      <c r="F1775" s="23"/>
      <c r="G1775" s="23"/>
      <c r="H1775" s="23"/>
      <c r="I1775" s="22"/>
      <c r="J1775" s="23"/>
      <c r="K1775" s="23"/>
      <c r="L1775" s="23"/>
      <c r="M1775" s="32" t="s">
        <v>36</v>
      </c>
      <c r="N1775" s="33">
        <v>69</v>
      </c>
      <c r="O1775" s="33">
        <v>0</v>
      </c>
      <c r="P1775" s="33">
        <v>9</v>
      </c>
      <c r="Q1775" s="32">
        <v>0</v>
      </c>
      <c r="R1775" s="33">
        <v>2</v>
      </c>
      <c r="S1775" s="32">
        <v>0</v>
      </c>
      <c r="T1775" s="3">
        <v>0</v>
      </c>
      <c r="U1775" s="3">
        <v>6.4530000000000004E-2</v>
      </c>
      <c r="V1775" s="3">
        <v>8.3299999999999999E-2</v>
      </c>
      <c r="W1775" s="3">
        <v>0</v>
      </c>
      <c r="X1775" s="3">
        <v>0</v>
      </c>
      <c r="Y1775" s="32" t="s">
        <v>243</v>
      </c>
      <c r="Z1775" s="23"/>
      <c r="AA1775" s="3" t="str">
        <f t="shared" si="13"/>
        <v>___</v>
      </c>
      <c r="AB1775" s="3" t="str">
        <f t="shared" si="12"/>
        <v>____</v>
      </c>
    </row>
    <row r="1776" spans="1:30" ht="14">
      <c r="A1776" s="3">
        <v>1775</v>
      </c>
      <c r="B1776" s="23"/>
      <c r="C1776" s="32">
        <v>82</v>
      </c>
      <c r="D1776" s="32">
        <v>55</v>
      </c>
      <c r="E1776" s="23"/>
      <c r="F1776" s="23"/>
      <c r="G1776" s="23"/>
      <c r="H1776" s="32" t="s">
        <v>40</v>
      </c>
      <c r="I1776" s="33">
        <v>2</v>
      </c>
      <c r="J1776" s="32">
        <v>15.2</v>
      </c>
      <c r="K1776" s="32">
        <v>17.399999999999999</v>
      </c>
      <c r="L1776" s="32">
        <v>5</v>
      </c>
      <c r="M1776" s="32" t="s">
        <v>36</v>
      </c>
      <c r="N1776" s="33">
        <v>25</v>
      </c>
      <c r="O1776" s="33">
        <v>8</v>
      </c>
      <c r="P1776" s="33">
        <v>9</v>
      </c>
      <c r="Q1776" s="32">
        <v>0</v>
      </c>
      <c r="R1776" s="33">
        <v>0</v>
      </c>
      <c r="S1776" s="32">
        <v>1</v>
      </c>
      <c r="T1776" s="3">
        <v>2.3689999999999999E-2</v>
      </c>
      <c r="U1776" s="3">
        <v>6.5500000000000003E-3</v>
      </c>
      <c r="V1776" s="3">
        <v>0</v>
      </c>
      <c r="W1776" s="3">
        <v>6.0380000000000003E-2</v>
      </c>
      <c r="X1776" s="3">
        <v>0</v>
      </c>
      <c r="Y1776" s="23"/>
      <c r="Z1776" s="23"/>
      <c r="AA1776" s="3" t="str">
        <f t="shared" si="13"/>
        <v>82_55__vm</v>
      </c>
      <c r="AB1776" s="3" t="str">
        <f t="shared" si="12"/>
        <v>82_55__vm_2</v>
      </c>
      <c r="AD1776" s="3" t="s">
        <v>37</v>
      </c>
    </row>
    <row r="1777" spans="1:30" ht="14">
      <c r="A1777" s="3">
        <v>1776</v>
      </c>
      <c r="B1777" s="23"/>
      <c r="C1777" s="23"/>
      <c r="D1777" s="23"/>
      <c r="E1777" s="23"/>
      <c r="F1777" s="23"/>
      <c r="G1777" s="23"/>
      <c r="H1777" s="23"/>
      <c r="I1777" s="22"/>
      <c r="J1777" s="23"/>
      <c r="K1777" s="23"/>
      <c r="L1777" s="23"/>
      <c r="M1777" s="32" t="s">
        <v>38</v>
      </c>
      <c r="N1777" s="33">
        <v>54</v>
      </c>
      <c r="O1777" s="33">
        <v>0</v>
      </c>
      <c r="P1777" s="33">
        <v>9</v>
      </c>
      <c r="Q1777" s="32">
        <v>0</v>
      </c>
      <c r="R1777" s="33">
        <v>1</v>
      </c>
      <c r="S1777" s="32">
        <v>0</v>
      </c>
      <c r="T1777" s="3">
        <v>0</v>
      </c>
      <c r="U1777" s="3">
        <v>3.4290000000000001E-2</v>
      </c>
      <c r="V1777" s="3">
        <v>2.5260000000000001E-2</v>
      </c>
      <c r="W1777" s="3">
        <v>0</v>
      </c>
      <c r="X1777" s="3">
        <v>0</v>
      </c>
      <c r="Y1777" s="23"/>
      <c r="Z1777" s="23"/>
      <c r="AA1777" s="3" t="str">
        <f t="shared" si="13"/>
        <v>___</v>
      </c>
      <c r="AB1777" s="3" t="str">
        <f t="shared" si="12"/>
        <v>____</v>
      </c>
    </row>
    <row r="1778" spans="1:30" ht="14">
      <c r="A1778" s="3">
        <v>1777</v>
      </c>
      <c r="B1778" s="23"/>
      <c r="C1778" s="23"/>
      <c r="D1778" s="23"/>
      <c r="E1778" s="23"/>
      <c r="F1778" s="23"/>
      <c r="G1778" s="23"/>
      <c r="H1778" s="23"/>
      <c r="I1778" s="22"/>
      <c r="J1778" s="23"/>
      <c r="K1778" s="23"/>
      <c r="L1778" s="23"/>
      <c r="M1778" s="32" t="s">
        <v>39</v>
      </c>
      <c r="N1778" s="33">
        <v>59</v>
      </c>
      <c r="O1778" s="33">
        <v>0</v>
      </c>
      <c r="P1778" s="33">
        <v>9</v>
      </c>
      <c r="Q1778" s="32">
        <v>0</v>
      </c>
      <c r="R1778" s="33">
        <v>2</v>
      </c>
      <c r="S1778" s="32">
        <v>0</v>
      </c>
      <c r="T1778" s="3">
        <v>0</v>
      </c>
      <c r="U1778" s="3">
        <v>7.3889999999999997E-2</v>
      </c>
      <c r="V1778" s="3">
        <v>0.17066999999999999</v>
      </c>
      <c r="W1778" s="3">
        <v>0</v>
      </c>
      <c r="X1778" s="3">
        <v>0</v>
      </c>
      <c r="Y1778" s="23"/>
      <c r="Z1778" s="23"/>
      <c r="AA1778" s="3" t="str">
        <f t="shared" si="13"/>
        <v>___</v>
      </c>
      <c r="AB1778" s="3" t="str">
        <f t="shared" si="12"/>
        <v>____</v>
      </c>
    </row>
    <row r="1779" spans="1:30" ht="14">
      <c r="A1779" s="3">
        <v>1778</v>
      </c>
      <c r="B1779" s="23"/>
      <c r="C1779" s="32">
        <v>82</v>
      </c>
      <c r="D1779" s="32">
        <v>55</v>
      </c>
      <c r="E1779" s="23"/>
      <c r="F1779" s="23"/>
      <c r="G1779" s="23"/>
      <c r="H1779" s="32" t="s">
        <v>40</v>
      </c>
      <c r="I1779" s="33">
        <v>3</v>
      </c>
      <c r="J1779" s="32">
        <v>16.600000000000001</v>
      </c>
      <c r="K1779" s="32">
        <v>16.899999999999999</v>
      </c>
      <c r="L1779" s="32">
        <v>5</v>
      </c>
      <c r="M1779" s="32" t="s">
        <v>36</v>
      </c>
      <c r="N1779" s="33">
        <v>28</v>
      </c>
      <c r="O1779" s="33">
        <v>7</v>
      </c>
      <c r="P1779" s="33">
        <v>7</v>
      </c>
      <c r="Q1779" s="32">
        <v>0</v>
      </c>
      <c r="R1779" s="33">
        <v>0</v>
      </c>
      <c r="S1779" s="32">
        <v>0</v>
      </c>
      <c r="T1779" s="3">
        <v>2.7449999999999999E-2</v>
      </c>
      <c r="U1779" s="3">
        <v>9.1800000000000007E-3</v>
      </c>
      <c r="V1779" s="3">
        <v>0</v>
      </c>
      <c r="W1779" s="3">
        <v>0</v>
      </c>
      <c r="X1779" s="3">
        <v>0</v>
      </c>
      <c r="Y1779" s="23"/>
      <c r="Z1779" s="23"/>
      <c r="AA1779" s="3" t="str">
        <f t="shared" si="13"/>
        <v>82_55__vm</v>
      </c>
      <c r="AB1779" s="3" t="str">
        <f t="shared" si="12"/>
        <v>82_55__vm_3</v>
      </c>
      <c r="AD1779" s="3" t="s">
        <v>37</v>
      </c>
    </row>
    <row r="1780" spans="1:30" ht="14">
      <c r="A1780" s="3">
        <v>1779</v>
      </c>
      <c r="B1780" s="23"/>
      <c r="C1780" s="23"/>
      <c r="D1780" s="23"/>
      <c r="E1780" s="23"/>
      <c r="F1780" s="23"/>
      <c r="G1780" s="23"/>
      <c r="H1780" s="23"/>
      <c r="I1780" s="22"/>
      <c r="J1780" s="23"/>
      <c r="K1780" s="23"/>
      <c r="L1780" s="23"/>
      <c r="M1780" s="32" t="s">
        <v>38</v>
      </c>
      <c r="N1780" s="33">
        <v>43</v>
      </c>
      <c r="O1780" s="33">
        <v>0</v>
      </c>
      <c r="P1780" s="33">
        <v>8</v>
      </c>
      <c r="Q1780" s="32">
        <v>0</v>
      </c>
      <c r="R1780" s="33">
        <v>2</v>
      </c>
      <c r="S1780" s="32">
        <v>0</v>
      </c>
      <c r="T1780" s="3">
        <v>0</v>
      </c>
      <c r="U1780" s="3">
        <v>2.681E-2</v>
      </c>
      <c r="V1780" s="3">
        <v>1.5650000000000001E-2</v>
      </c>
      <c r="W1780" s="3">
        <v>0</v>
      </c>
      <c r="X1780" s="3">
        <v>0</v>
      </c>
      <c r="Y1780" s="23"/>
      <c r="Z1780" s="23"/>
      <c r="AA1780" s="3" t="str">
        <f t="shared" si="13"/>
        <v>___</v>
      </c>
      <c r="AB1780" s="3" t="str">
        <f t="shared" si="12"/>
        <v>____</v>
      </c>
    </row>
    <row r="1781" spans="1:30" ht="14">
      <c r="A1781" s="3">
        <v>1780</v>
      </c>
      <c r="B1781" s="23"/>
      <c r="C1781" s="23"/>
      <c r="D1781" s="23"/>
      <c r="E1781" s="23"/>
      <c r="F1781" s="23"/>
      <c r="G1781" s="23"/>
      <c r="H1781" s="23"/>
      <c r="I1781" s="22"/>
      <c r="J1781" s="23"/>
      <c r="K1781" s="23"/>
      <c r="L1781" s="23"/>
      <c r="M1781" s="32" t="s">
        <v>39</v>
      </c>
      <c r="N1781" s="33">
        <v>57</v>
      </c>
      <c r="O1781" s="33">
        <v>0</v>
      </c>
      <c r="P1781" s="33">
        <v>6</v>
      </c>
      <c r="Q1781" s="32">
        <v>0</v>
      </c>
      <c r="R1781" s="33">
        <v>2</v>
      </c>
      <c r="S1781" s="32">
        <v>0</v>
      </c>
      <c r="T1781" s="3">
        <v>0</v>
      </c>
      <c r="U1781" s="3">
        <v>6.6739999999999994E-2</v>
      </c>
      <c r="V1781" s="3">
        <v>0.10285999999999999</v>
      </c>
      <c r="W1781" s="3">
        <v>0</v>
      </c>
      <c r="X1781" s="3">
        <v>0</v>
      </c>
      <c r="Y1781" s="23"/>
      <c r="Z1781" s="23"/>
      <c r="AA1781" s="3" t="str">
        <f t="shared" si="13"/>
        <v>___</v>
      </c>
      <c r="AB1781" s="3" t="str">
        <f t="shared" si="12"/>
        <v>____</v>
      </c>
    </row>
    <row r="1782" spans="1:30" ht="14">
      <c r="A1782" s="3">
        <v>1781</v>
      </c>
      <c r="B1782" s="23"/>
      <c r="C1782" s="32">
        <v>82</v>
      </c>
      <c r="D1782" s="32">
        <v>66</v>
      </c>
      <c r="E1782" s="23"/>
      <c r="F1782" s="23"/>
      <c r="G1782" s="23"/>
      <c r="H1782" s="32" t="s">
        <v>35</v>
      </c>
      <c r="I1782" s="33">
        <v>1</v>
      </c>
      <c r="J1782" s="32">
        <v>9.4</v>
      </c>
      <c r="K1782" s="32">
        <v>11.7</v>
      </c>
      <c r="L1782" s="32">
        <v>5</v>
      </c>
      <c r="M1782" s="32" t="s">
        <v>36</v>
      </c>
      <c r="N1782" s="33">
        <v>32</v>
      </c>
      <c r="O1782" s="33">
        <v>10</v>
      </c>
      <c r="P1782" s="33">
        <v>10</v>
      </c>
      <c r="Q1782" s="32">
        <v>0</v>
      </c>
      <c r="R1782" s="33">
        <v>0</v>
      </c>
      <c r="S1782" s="32">
        <v>0</v>
      </c>
      <c r="T1782" s="3">
        <v>2.3300000000000001E-2</v>
      </c>
      <c r="U1782" s="3">
        <v>2.4299999999999999E-3</v>
      </c>
      <c r="V1782" s="3">
        <v>0</v>
      </c>
      <c r="W1782" s="3">
        <v>0</v>
      </c>
      <c r="X1782" s="3">
        <v>0</v>
      </c>
      <c r="Y1782" s="23"/>
      <c r="Z1782" s="23"/>
      <c r="AA1782" s="3" t="str">
        <f t="shared" si="13"/>
        <v>82_66__vv</v>
      </c>
      <c r="AB1782" s="3" t="str">
        <f t="shared" si="12"/>
        <v>82_66__vv_1</v>
      </c>
      <c r="AD1782" s="3" t="s">
        <v>37</v>
      </c>
    </row>
    <row r="1783" spans="1:30" ht="14">
      <c r="A1783" s="3">
        <v>1782</v>
      </c>
      <c r="B1783" s="23"/>
      <c r="C1783" s="23"/>
      <c r="D1783" s="23"/>
      <c r="E1783" s="23"/>
      <c r="F1783" s="23"/>
      <c r="G1783" s="23"/>
      <c r="H1783" s="23"/>
      <c r="I1783" s="22"/>
      <c r="J1783" s="23"/>
      <c r="K1783" s="23"/>
      <c r="L1783" s="23"/>
      <c r="M1783" s="32" t="s">
        <v>38</v>
      </c>
      <c r="N1783" s="33">
        <v>35</v>
      </c>
      <c r="O1783" s="33">
        <v>12</v>
      </c>
      <c r="P1783" s="33">
        <v>13</v>
      </c>
      <c r="Q1783" s="32">
        <v>0</v>
      </c>
      <c r="R1783" s="33">
        <v>0</v>
      </c>
      <c r="S1783" s="32">
        <v>0</v>
      </c>
      <c r="T1783" s="3">
        <v>0.13999</v>
      </c>
      <c r="U1783" s="3">
        <v>1.9179999999999999E-2</v>
      </c>
      <c r="V1783" s="3">
        <v>0</v>
      </c>
      <c r="W1783" s="3">
        <v>0</v>
      </c>
      <c r="X1783" s="3">
        <v>0</v>
      </c>
      <c r="Y1783" s="23"/>
      <c r="Z1783" s="23"/>
      <c r="AA1783" s="3" t="str">
        <f t="shared" si="13"/>
        <v>___</v>
      </c>
      <c r="AB1783" s="3" t="str">
        <f t="shared" si="12"/>
        <v>____</v>
      </c>
    </row>
    <row r="1784" spans="1:30" ht="14">
      <c r="A1784" s="3">
        <v>1783</v>
      </c>
      <c r="B1784" s="23"/>
      <c r="C1784" s="23"/>
      <c r="D1784" s="23"/>
      <c r="E1784" s="23"/>
      <c r="F1784" s="23"/>
      <c r="G1784" s="23"/>
      <c r="H1784" s="23"/>
      <c r="I1784" s="22"/>
      <c r="J1784" s="23"/>
      <c r="K1784" s="23"/>
      <c r="L1784" s="23"/>
      <c r="M1784" s="32" t="s">
        <v>39</v>
      </c>
      <c r="N1784" s="33">
        <v>31</v>
      </c>
      <c r="O1784" s="33">
        <v>6</v>
      </c>
      <c r="P1784" s="33">
        <v>10</v>
      </c>
      <c r="Q1784" s="32">
        <v>0</v>
      </c>
      <c r="R1784" s="33">
        <v>0</v>
      </c>
      <c r="S1784" s="32">
        <v>0</v>
      </c>
      <c r="T1784" s="3">
        <v>2.6849999999999999E-2</v>
      </c>
      <c r="U1784" s="3">
        <v>2.2509999999999999E-2</v>
      </c>
      <c r="V1784" s="3">
        <v>0</v>
      </c>
      <c r="W1784" s="3">
        <v>0</v>
      </c>
      <c r="X1784" s="3">
        <v>0</v>
      </c>
      <c r="Y1784" s="23"/>
      <c r="Z1784" s="23"/>
      <c r="AA1784" s="3" t="str">
        <f t="shared" si="13"/>
        <v>___</v>
      </c>
      <c r="AB1784" s="3" t="str">
        <f t="shared" si="12"/>
        <v>____</v>
      </c>
    </row>
    <row r="1785" spans="1:30" ht="14">
      <c r="A1785" s="3">
        <v>1784</v>
      </c>
      <c r="B1785" s="23"/>
      <c r="C1785" s="32">
        <v>82</v>
      </c>
      <c r="D1785" s="32">
        <v>66</v>
      </c>
      <c r="E1785" s="23"/>
      <c r="F1785" s="23"/>
      <c r="G1785" s="23"/>
      <c r="H1785" s="32" t="s">
        <v>35</v>
      </c>
      <c r="I1785" s="33">
        <v>2</v>
      </c>
      <c r="J1785" s="32">
        <v>15.8</v>
      </c>
      <c r="K1785" s="32">
        <v>15.7</v>
      </c>
      <c r="L1785" s="32">
        <v>5</v>
      </c>
      <c r="M1785" s="32" t="s">
        <v>36</v>
      </c>
      <c r="N1785" s="33">
        <v>29</v>
      </c>
      <c r="O1785" s="33">
        <v>10</v>
      </c>
      <c r="P1785" s="33">
        <v>10</v>
      </c>
      <c r="Q1785" s="32">
        <v>0</v>
      </c>
      <c r="R1785" s="33">
        <v>0</v>
      </c>
      <c r="S1785" s="32">
        <v>0</v>
      </c>
      <c r="T1785" s="3">
        <v>3.857E-2</v>
      </c>
      <c r="U1785" s="3">
        <v>5.8999999999999999E-3</v>
      </c>
      <c r="V1785" s="3">
        <v>0</v>
      </c>
      <c r="W1785" s="3">
        <v>0</v>
      </c>
      <c r="X1785" s="3">
        <v>0</v>
      </c>
      <c r="Y1785" s="23"/>
      <c r="Z1785" s="23"/>
      <c r="AA1785" s="3" t="str">
        <f t="shared" si="13"/>
        <v>82_66__vv</v>
      </c>
      <c r="AB1785" s="3" t="str">
        <f t="shared" si="12"/>
        <v>82_66__vv_2</v>
      </c>
      <c r="AD1785" s="3" t="s">
        <v>37</v>
      </c>
    </row>
    <row r="1786" spans="1:30" ht="14">
      <c r="A1786" s="3">
        <v>1785</v>
      </c>
      <c r="B1786" s="23"/>
      <c r="C1786" s="23"/>
      <c r="D1786" s="23"/>
      <c r="E1786" s="23"/>
      <c r="F1786" s="23"/>
      <c r="G1786" s="23"/>
      <c r="H1786" s="23"/>
      <c r="I1786" s="22"/>
      <c r="J1786" s="23"/>
      <c r="K1786" s="23"/>
      <c r="L1786" s="23"/>
      <c r="M1786" s="32" t="s">
        <v>38</v>
      </c>
      <c r="N1786" s="33">
        <v>31</v>
      </c>
      <c r="O1786" s="33">
        <v>11</v>
      </c>
      <c r="P1786" s="33">
        <v>15</v>
      </c>
      <c r="Q1786" s="32">
        <v>0</v>
      </c>
      <c r="R1786" s="33">
        <v>0</v>
      </c>
      <c r="S1786" s="32">
        <v>0</v>
      </c>
      <c r="T1786" s="3">
        <v>7.9269999999999993E-2</v>
      </c>
      <c r="U1786" s="3">
        <v>1.3939999999999999E-2</v>
      </c>
      <c r="V1786" s="3">
        <v>0</v>
      </c>
      <c r="W1786" s="3">
        <v>0</v>
      </c>
      <c r="X1786" s="3">
        <v>0</v>
      </c>
      <c r="Y1786" s="23"/>
      <c r="Z1786" s="23"/>
      <c r="AA1786" s="3" t="str">
        <f t="shared" si="13"/>
        <v>___</v>
      </c>
      <c r="AB1786" s="3" t="str">
        <f t="shared" si="12"/>
        <v>____</v>
      </c>
    </row>
    <row r="1787" spans="1:30" ht="14">
      <c r="A1787" s="3">
        <v>1786</v>
      </c>
      <c r="B1787" s="23"/>
      <c r="C1787" s="23"/>
      <c r="D1787" s="23"/>
      <c r="E1787" s="23"/>
      <c r="F1787" s="23"/>
      <c r="G1787" s="23"/>
      <c r="H1787" s="23"/>
      <c r="I1787" s="22"/>
      <c r="J1787" s="23"/>
      <c r="K1787" s="23"/>
      <c r="L1787" s="23"/>
      <c r="M1787" s="32" t="s">
        <v>39</v>
      </c>
      <c r="N1787" s="33">
        <v>26</v>
      </c>
      <c r="O1787" s="33">
        <v>9</v>
      </c>
      <c r="P1787" s="33">
        <v>11</v>
      </c>
      <c r="Q1787" s="32">
        <v>0</v>
      </c>
      <c r="R1787" s="33">
        <v>0</v>
      </c>
      <c r="S1787" s="32">
        <v>0</v>
      </c>
      <c r="T1787" s="3">
        <v>7.1590000000000001E-2</v>
      </c>
      <c r="U1787" s="3">
        <v>1.7299999999999999E-2</v>
      </c>
      <c r="V1787" s="3">
        <v>0</v>
      </c>
      <c r="W1787" s="3">
        <v>0</v>
      </c>
      <c r="X1787" s="3">
        <v>0</v>
      </c>
      <c r="Y1787" s="23"/>
      <c r="Z1787" s="23"/>
      <c r="AA1787" s="3" t="str">
        <f t="shared" si="13"/>
        <v>___</v>
      </c>
      <c r="AB1787" s="3" t="str">
        <f t="shared" ref="AB1787:AB2041" si="14">CONCATENATE(C1787,"_",D1787,"_",G1787,"_",H1787,"_",I1787)</f>
        <v>____</v>
      </c>
    </row>
    <row r="1788" spans="1:30" ht="14">
      <c r="A1788" s="3">
        <v>1787</v>
      </c>
      <c r="B1788" s="23"/>
      <c r="C1788" s="32">
        <v>82</v>
      </c>
      <c r="D1788" s="32">
        <v>66</v>
      </c>
      <c r="E1788" s="23"/>
      <c r="F1788" s="23"/>
      <c r="G1788" s="23"/>
      <c r="H1788" s="32" t="s">
        <v>35</v>
      </c>
      <c r="I1788" s="33">
        <v>3</v>
      </c>
      <c r="J1788" s="32">
        <v>13.1</v>
      </c>
      <c r="K1788" s="32">
        <v>12.6</v>
      </c>
      <c r="L1788" s="32">
        <v>5</v>
      </c>
      <c r="M1788" s="32" t="s">
        <v>36</v>
      </c>
      <c r="N1788" s="33">
        <v>16</v>
      </c>
      <c r="O1788" s="33">
        <v>10</v>
      </c>
      <c r="P1788" s="33">
        <v>10</v>
      </c>
      <c r="Q1788" s="32">
        <v>0</v>
      </c>
      <c r="R1788" s="33">
        <v>0</v>
      </c>
      <c r="S1788" s="32">
        <v>0</v>
      </c>
      <c r="T1788" s="3">
        <v>2.8070000000000001E-2</v>
      </c>
      <c r="U1788" s="3">
        <v>3.7399999999999998E-3</v>
      </c>
      <c r="V1788" s="3">
        <v>0</v>
      </c>
      <c r="W1788" s="3">
        <v>0</v>
      </c>
      <c r="X1788" s="3">
        <v>0</v>
      </c>
      <c r="Y1788" s="23"/>
      <c r="Z1788" s="23"/>
      <c r="AA1788" s="3" t="str">
        <f t="shared" ref="AA1788:AA2042" si="15">CONCATENATE(C1788, "_",D1788,"_",G1788,"_",H1788)</f>
        <v>82_66__vv</v>
      </c>
      <c r="AB1788" s="3" t="str">
        <f t="shared" si="14"/>
        <v>82_66__vv_3</v>
      </c>
      <c r="AD1788" s="3" t="s">
        <v>37</v>
      </c>
    </row>
    <row r="1789" spans="1:30" ht="14">
      <c r="A1789" s="3">
        <v>1788</v>
      </c>
      <c r="B1789" s="23"/>
      <c r="C1789" s="23"/>
      <c r="D1789" s="23"/>
      <c r="E1789" s="23"/>
      <c r="F1789" s="23"/>
      <c r="G1789" s="23"/>
      <c r="H1789" s="23"/>
      <c r="I1789" s="22"/>
      <c r="J1789" s="23"/>
      <c r="K1789" s="23"/>
      <c r="L1789" s="23"/>
      <c r="M1789" s="32" t="s">
        <v>38</v>
      </c>
      <c r="N1789" s="33">
        <v>28</v>
      </c>
      <c r="O1789" s="33">
        <v>11</v>
      </c>
      <c r="P1789" s="33">
        <v>12</v>
      </c>
      <c r="Q1789" s="32">
        <v>0</v>
      </c>
      <c r="R1789" s="33">
        <v>0</v>
      </c>
      <c r="S1789" s="32">
        <v>0</v>
      </c>
      <c r="T1789" s="3">
        <v>8.5040000000000004E-2</v>
      </c>
      <c r="U1789" s="3">
        <v>1.1730000000000001E-2</v>
      </c>
      <c r="V1789" s="3">
        <v>0</v>
      </c>
      <c r="W1789" s="3">
        <v>0</v>
      </c>
      <c r="X1789" s="3">
        <v>0</v>
      </c>
      <c r="Y1789" s="23"/>
      <c r="Z1789" s="23"/>
      <c r="AA1789" s="3" t="str">
        <f t="shared" si="15"/>
        <v>___</v>
      </c>
      <c r="AB1789" s="3" t="str">
        <f t="shared" si="14"/>
        <v>____</v>
      </c>
    </row>
    <row r="1790" spans="1:30" ht="14">
      <c r="A1790" s="3">
        <v>1789</v>
      </c>
      <c r="B1790" s="23"/>
      <c r="C1790" s="23"/>
      <c r="D1790" s="23"/>
      <c r="E1790" s="23"/>
      <c r="F1790" s="23"/>
      <c r="G1790" s="23"/>
      <c r="H1790" s="23"/>
      <c r="I1790" s="22"/>
      <c r="J1790" s="23"/>
      <c r="K1790" s="23"/>
      <c r="L1790" s="23"/>
      <c r="M1790" s="32" t="s">
        <v>39</v>
      </c>
      <c r="N1790" s="33">
        <v>36</v>
      </c>
      <c r="O1790" s="33">
        <v>7</v>
      </c>
      <c r="P1790" s="33">
        <v>10</v>
      </c>
      <c r="Q1790" s="32">
        <v>0</v>
      </c>
      <c r="R1790" s="33">
        <v>0</v>
      </c>
      <c r="S1790" s="32">
        <v>0</v>
      </c>
      <c r="T1790" s="3">
        <v>6.7030000000000006E-2</v>
      </c>
      <c r="U1790" s="3">
        <v>3.4389999999999997E-2</v>
      </c>
      <c r="V1790" s="3">
        <v>0</v>
      </c>
      <c r="W1790" s="3">
        <v>0</v>
      </c>
      <c r="X1790" s="3">
        <v>0</v>
      </c>
      <c r="Y1790" s="23"/>
      <c r="Z1790" s="23"/>
      <c r="AA1790" s="3" t="str">
        <f t="shared" si="15"/>
        <v>___</v>
      </c>
      <c r="AB1790" s="3" t="str">
        <f t="shared" si="14"/>
        <v>____</v>
      </c>
    </row>
    <row r="1791" spans="1:30" ht="14">
      <c r="A1791" s="3">
        <v>1790</v>
      </c>
      <c r="B1791" s="23"/>
      <c r="C1791" s="32">
        <v>82</v>
      </c>
      <c r="D1791" s="32">
        <v>66</v>
      </c>
      <c r="E1791" s="23"/>
      <c r="F1791" s="23"/>
      <c r="G1791" s="23"/>
      <c r="H1791" s="32" t="s">
        <v>40</v>
      </c>
      <c r="I1791" s="33">
        <v>1</v>
      </c>
      <c r="J1791" s="32">
        <v>7.2</v>
      </c>
      <c r="K1791" s="32">
        <v>10.4</v>
      </c>
      <c r="L1791" s="32">
        <v>4</v>
      </c>
      <c r="M1791" s="32" t="s">
        <v>36</v>
      </c>
      <c r="N1791" s="33">
        <v>17</v>
      </c>
      <c r="O1791" s="33">
        <v>5</v>
      </c>
      <c r="P1791" s="33">
        <v>5</v>
      </c>
      <c r="Q1791" s="32">
        <v>0</v>
      </c>
      <c r="R1791" s="33">
        <v>0</v>
      </c>
      <c r="S1791" s="32">
        <v>0</v>
      </c>
      <c r="T1791" s="3">
        <v>1.214E-2</v>
      </c>
      <c r="U1791" s="3">
        <v>3.5799999999999998E-3</v>
      </c>
      <c r="V1791" s="3">
        <v>0</v>
      </c>
      <c r="W1791" s="3">
        <v>0</v>
      </c>
      <c r="X1791" s="3">
        <v>0</v>
      </c>
      <c r="Y1791" s="23"/>
      <c r="Z1791" s="23"/>
      <c r="AA1791" s="3" t="str">
        <f t="shared" si="15"/>
        <v>82_66__vm</v>
      </c>
      <c r="AB1791" s="3" t="str">
        <f t="shared" si="14"/>
        <v>82_66__vm_1</v>
      </c>
      <c r="AD1791" s="3" t="s">
        <v>37</v>
      </c>
    </row>
    <row r="1792" spans="1:30" ht="14">
      <c r="A1792" s="3">
        <v>1791</v>
      </c>
      <c r="B1792" s="23"/>
      <c r="C1792" s="23"/>
      <c r="D1792" s="23"/>
      <c r="E1792" s="23"/>
      <c r="F1792" s="23"/>
      <c r="G1792" s="23"/>
      <c r="H1792" s="23"/>
      <c r="I1792" s="22"/>
      <c r="J1792" s="23"/>
      <c r="K1792" s="23"/>
      <c r="L1792" s="23"/>
      <c r="M1792" s="32" t="s">
        <v>38</v>
      </c>
      <c r="N1792" s="33">
        <v>18</v>
      </c>
      <c r="O1792" s="33">
        <v>0</v>
      </c>
      <c r="P1792" s="33">
        <v>3</v>
      </c>
      <c r="Q1792" s="32">
        <v>1</v>
      </c>
      <c r="R1792" s="33">
        <v>1</v>
      </c>
      <c r="S1792" s="32">
        <v>0</v>
      </c>
      <c r="T1792" s="3">
        <v>0</v>
      </c>
      <c r="U1792" s="3">
        <v>6.8799999999999998E-3</v>
      </c>
      <c r="V1792" s="3">
        <v>1.524E-2</v>
      </c>
      <c r="W1792" s="3">
        <v>0</v>
      </c>
      <c r="X1792" s="3">
        <v>0</v>
      </c>
      <c r="Y1792" s="23"/>
      <c r="Z1792" s="23"/>
      <c r="AA1792" s="3" t="str">
        <f t="shared" si="15"/>
        <v>___</v>
      </c>
      <c r="AB1792" s="3" t="str">
        <f t="shared" si="14"/>
        <v>____</v>
      </c>
    </row>
    <row r="1793" spans="1:30" ht="14">
      <c r="A1793" s="3">
        <v>1792</v>
      </c>
      <c r="B1793" s="23"/>
      <c r="C1793" s="23"/>
      <c r="D1793" s="23"/>
      <c r="E1793" s="23"/>
      <c r="F1793" s="23"/>
      <c r="G1793" s="23"/>
      <c r="H1793" s="23"/>
      <c r="I1793" s="22"/>
      <c r="J1793" s="23"/>
      <c r="K1793" s="23"/>
      <c r="L1793" s="23"/>
      <c r="M1793" s="32" t="s">
        <v>39</v>
      </c>
      <c r="N1793" s="33">
        <v>46</v>
      </c>
      <c r="O1793" s="33">
        <v>0</v>
      </c>
      <c r="P1793" s="33">
        <v>7</v>
      </c>
      <c r="Q1793" s="32">
        <v>1</v>
      </c>
      <c r="R1793" s="33">
        <v>1</v>
      </c>
      <c r="S1793" s="32">
        <v>0</v>
      </c>
      <c r="T1793" s="3">
        <v>0</v>
      </c>
      <c r="U1793" s="3">
        <v>3.057E-2</v>
      </c>
      <c r="V1793" s="3">
        <v>3.4119999999999998E-2</v>
      </c>
      <c r="W1793" s="3">
        <v>0</v>
      </c>
      <c r="X1793" s="3">
        <v>0</v>
      </c>
      <c r="Y1793" s="23"/>
      <c r="Z1793" s="23"/>
      <c r="AA1793" s="3" t="str">
        <f t="shared" si="15"/>
        <v>___</v>
      </c>
      <c r="AB1793" s="3" t="str">
        <f t="shared" si="14"/>
        <v>____</v>
      </c>
    </row>
    <row r="1794" spans="1:30" ht="14">
      <c r="A1794" s="3">
        <v>1793</v>
      </c>
      <c r="B1794" s="23"/>
      <c r="C1794" s="32">
        <v>82</v>
      </c>
      <c r="D1794" s="32">
        <v>66</v>
      </c>
      <c r="E1794" s="23"/>
      <c r="F1794" s="23"/>
      <c r="G1794" s="23"/>
      <c r="H1794" s="32" t="s">
        <v>40</v>
      </c>
      <c r="I1794" s="33">
        <v>2</v>
      </c>
      <c r="J1794" s="32">
        <v>18.899999999999999</v>
      </c>
      <c r="K1794" s="32">
        <v>22.7</v>
      </c>
      <c r="L1794" s="32">
        <v>7</v>
      </c>
      <c r="M1794" s="32" t="s">
        <v>36</v>
      </c>
      <c r="N1794" s="33">
        <v>25</v>
      </c>
      <c r="O1794" s="33">
        <v>7</v>
      </c>
      <c r="P1794" s="33">
        <v>7</v>
      </c>
      <c r="Q1794" s="32">
        <v>0</v>
      </c>
      <c r="R1794" s="33">
        <v>0</v>
      </c>
      <c r="S1794" s="32">
        <v>0</v>
      </c>
      <c r="T1794" s="3">
        <v>1.822E-2</v>
      </c>
      <c r="U1794" s="3">
        <v>8.0099999999999998E-3</v>
      </c>
      <c r="V1794" s="3">
        <v>0</v>
      </c>
      <c r="W1794" s="3">
        <v>0</v>
      </c>
      <c r="X1794" s="3">
        <v>0</v>
      </c>
      <c r="Y1794" s="32" t="s">
        <v>244</v>
      </c>
      <c r="Z1794" s="23"/>
      <c r="AA1794" s="3" t="str">
        <f t="shared" si="15"/>
        <v>82_66__vm</v>
      </c>
      <c r="AB1794" s="3" t="str">
        <f t="shared" si="14"/>
        <v>82_66__vm_2</v>
      </c>
      <c r="AD1794" s="3" t="s">
        <v>37</v>
      </c>
    </row>
    <row r="1795" spans="1:30" ht="14">
      <c r="A1795" s="3">
        <v>1794</v>
      </c>
      <c r="B1795" s="23"/>
      <c r="C1795" s="23"/>
      <c r="D1795" s="23"/>
      <c r="E1795" s="23"/>
      <c r="F1795" s="23"/>
      <c r="G1795" s="23"/>
      <c r="H1795" s="23"/>
      <c r="I1795" s="22"/>
      <c r="J1795" s="23"/>
      <c r="K1795" s="23"/>
      <c r="L1795" s="23"/>
      <c r="M1795" s="32" t="s">
        <v>38</v>
      </c>
      <c r="N1795" s="33">
        <v>56</v>
      </c>
      <c r="O1795" s="33">
        <v>0</v>
      </c>
      <c r="P1795" s="33">
        <v>3</v>
      </c>
      <c r="Q1795" s="32">
        <v>3</v>
      </c>
      <c r="R1795" s="33">
        <v>3</v>
      </c>
      <c r="S1795" s="32">
        <v>0</v>
      </c>
      <c r="T1795" s="3">
        <v>0</v>
      </c>
      <c r="U1795" s="3">
        <v>4.1939999999999998E-2</v>
      </c>
      <c r="V1795" s="3">
        <v>7.6179999999999998E-2</v>
      </c>
      <c r="W1795" s="3">
        <v>0</v>
      </c>
      <c r="X1795" s="3">
        <v>0</v>
      </c>
      <c r="Y1795" s="23"/>
      <c r="Z1795" s="23"/>
      <c r="AA1795" s="3" t="str">
        <f t="shared" si="15"/>
        <v>___</v>
      </c>
      <c r="AB1795" s="3" t="str">
        <f t="shared" si="14"/>
        <v>____</v>
      </c>
    </row>
    <row r="1796" spans="1:30" ht="14">
      <c r="A1796" s="3">
        <v>1795</v>
      </c>
      <c r="B1796" s="23"/>
      <c r="C1796" s="23"/>
      <c r="D1796" s="23"/>
      <c r="E1796" s="23"/>
      <c r="F1796" s="23"/>
      <c r="G1796" s="23"/>
      <c r="H1796" s="23"/>
      <c r="I1796" s="22"/>
      <c r="J1796" s="23"/>
      <c r="K1796" s="23"/>
      <c r="L1796" s="23"/>
      <c r="M1796" s="32" t="s">
        <v>39</v>
      </c>
      <c r="N1796" s="33">
        <v>59</v>
      </c>
      <c r="O1796" s="33">
        <v>0</v>
      </c>
      <c r="P1796" s="33">
        <v>5</v>
      </c>
      <c r="Q1796" s="32">
        <v>2</v>
      </c>
      <c r="R1796" s="33">
        <v>2</v>
      </c>
      <c r="S1796" s="32">
        <v>0</v>
      </c>
      <c r="T1796" s="3">
        <v>0</v>
      </c>
      <c r="U1796" s="3">
        <v>6.4820000000000003E-2</v>
      </c>
      <c r="V1796" s="3">
        <v>9.3979999999999994E-2</v>
      </c>
      <c r="W1796" s="3">
        <v>0</v>
      </c>
      <c r="X1796" s="3">
        <v>0</v>
      </c>
      <c r="Y1796" s="23"/>
      <c r="Z1796" s="23"/>
      <c r="AA1796" s="3" t="str">
        <f t="shared" si="15"/>
        <v>___</v>
      </c>
      <c r="AB1796" s="3" t="str">
        <f t="shared" si="14"/>
        <v>____</v>
      </c>
    </row>
    <row r="1797" spans="1:30" ht="14">
      <c r="A1797" s="3">
        <v>1796</v>
      </c>
      <c r="B1797" s="23"/>
      <c r="C1797" s="32">
        <v>82</v>
      </c>
      <c r="D1797" s="32">
        <v>66</v>
      </c>
      <c r="E1797" s="23"/>
      <c r="F1797" s="23"/>
      <c r="G1797" s="23"/>
      <c r="H1797" s="32" t="s">
        <v>40</v>
      </c>
      <c r="I1797" s="33">
        <v>3</v>
      </c>
      <c r="J1797" s="32">
        <v>10.1</v>
      </c>
      <c r="K1797" s="32">
        <v>14.8</v>
      </c>
      <c r="L1797" s="32">
        <v>7</v>
      </c>
      <c r="M1797" s="32" t="s">
        <v>36</v>
      </c>
      <c r="N1797" s="33">
        <v>12</v>
      </c>
      <c r="O1797" s="33">
        <v>6</v>
      </c>
      <c r="P1797" s="33">
        <v>6</v>
      </c>
      <c r="Q1797" s="32">
        <v>0</v>
      </c>
      <c r="R1797" s="33">
        <v>0</v>
      </c>
      <c r="S1797" s="32">
        <v>0</v>
      </c>
      <c r="T1797" s="3">
        <v>1.0630000000000001E-2</v>
      </c>
      <c r="U1797" s="3">
        <v>3.16E-3</v>
      </c>
      <c r="V1797" s="3">
        <v>0</v>
      </c>
      <c r="W1797" s="3">
        <v>0</v>
      </c>
      <c r="X1797" s="3">
        <v>0</v>
      </c>
      <c r="Y1797" s="23"/>
      <c r="Z1797" s="23"/>
      <c r="AA1797" s="3" t="str">
        <f t="shared" si="15"/>
        <v>82_66__vm</v>
      </c>
      <c r="AB1797" s="3" t="str">
        <f t="shared" si="14"/>
        <v>82_66__vm_3</v>
      </c>
      <c r="AD1797" s="3" t="s">
        <v>37</v>
      </c>
    </row>
    <row r="1798" spans="1:30" ht="14">
      <c r="A1798" s="3">
        <v>1797</v>
      </c>
      <c r="B1798" s="23"/>
      <c r="C1798" s="23"/>
      <c r="D1798" s="23"/>
      <c r="E1798" s="23"/>
      <c r="F1798" s="23"/>
      <c r="G1798" s="23"/>
      <c r="H1798" s="23"/>
      <c r="I1798" s="22"/>
      <c r="J1798" s="23"/>
      <c r="K1798" s="23"/>
      <c r="L1798" s="23"/>
      <c r="M1798" s="32" t="s">
        <v>38</v>
      </c>
      <c r="N1798" s="33">
        <v>19</v>
      </c>
      <c r="O1798" s="33">
        <v>0</v>
      </c>
      <c r="P1798" s="33">
        <v>6</v>
      </c>
      <c r="Q1798" s="32">
        <v>1</v>
      </c>
      <c r="R1798" s="33">
        <v>1</v>
      </c>
      <c r="S1798" s="32">
        <v>0</v>
      </c>
      <c r="T1798" s="3">
        <v>0</v>
      </c>
      <c r="U1798" s="3">
        <v>7.8899999999999994E-3</v>
      </c>
      <c r="V1798" s="3">
        <v>9.0500000000000008E-3</v>
      </c>
      <c r="W1798" s="3">
        <v>0</v>
      </c>
      <c r="X1798" s="3">
        <v>0</v>
      </c>
      <c r="Y1798" s="23"/>
      <c r="Z1798" s="23"/>
      <c r="AA1798" s="3" t="str">
        <f t="shared" si="15"/>
        <v>___</v>
      </c>
      <c r="AB1798" s="3" t="str">
        <f t="shared" si="14"/>
        <v>____</v>
      </c>
    </row>
    <row r="1799" spans="1:30" ht="14">
      <c r="A1799" s="3">
        <v>1798</v>
      </c>
      <c r="B1799" s="23"/>
      <c r="C1799" s="23"/>
      <c r="D1799" s="23"/>
      <c r="E1799" s="23"/>
      <c r="F1799" s="23"/>
      <c r="G1799" s="23"/>
      <c r="H1799" s="23"/>
      <c r="I1799" s="22"/>
      <c r="J1799" s="23"/>
      <c r="K1799" s="23"/>
      <c r="L1799" s="23"/>
      <c r="M1799" s="32" t="s">
        <v>39</v>
      </c>
      <c r="N1799" s="33">
        <v>36</v>
      </c>
      <c r="O1799" s="33">
        <v>0</v>
      </c>
      <c r="P1799" s="33">
        <v>4</v>
      </c>
      <c r="Q1799" s="32">
        <v>2</v>
      </c>
      <c r="R1799" s="33">
        <v>2</v>
      </c>
      <c r="S1799" s="32">
        <v>0</v>
      </c>
      <c r="T1799" s="3">
        <v>0</v>
      </c>
      <c r="U1799" s="3">
        <v>2.1919999999999999E-2</v>
      </c>
      <c r="V1799" s="3">
        <v>2.8649999999999998E-2</v>
      </c>
      <c r="W1799" s="3">
        <v>0</v>
      </c>
      <c r="X1799" s="3">
        <v>0</v>
      </c>
      <c r="Y1799" s="23"/>
      <c r="Z1799" s="23"/>
      <c r="AA1799" s="3" t="str">
        <f t="shared" si="15"/>
        <v>___</v>
      </c>
      <c r="AB1799" s="3" t="str">
        <f t="shared" si="14"/>
        <v>____</v>
      </c>
    </row>
    <row r="1800" spans="1:30" ht="14">
      <c r="A1800" s="3">
        <v>1799</v>
      </c>
      <c r="B1800" s="23"/>
      <c r="C1800" s="32">
        <v>905</v>
      </c>
      <c r="D1800" s="32">
        <v>24</v>
      </c>
      <c r="E1800" s="23"/>
      <c r="F1800" s="23"/>
      <c r="G1800" s="23"/>
      <c r="H1800" s="32" t="s">
        <v>40</v>
      </c>
      <c r="I1800" s="33">
        <v>1</v>
      </c>
      <c r="J1800" s="32">
        <v>32.799999999999997</v>
      </c>
      <c r="K1800" s="32">
        <v>61.8</v>
      </c>
      <c r="L1800" s="32">
        <v>10</v>
      </c>
      <c r="M1800" s="32" t="s">
        <v>36</v>
      </c>
      <c r="N1800" s="33">
        <v>9.9</v>
      </c>
      <c r="O1800" s="33">
        <v>9</v>
      </c>
      <c r="P1800" s="33">
        <v>8</v>
      </c>
      <c r="Q1800" s="32">
        <v>0</v>
      </c>
      <c r="R1800" s="33">
        <v>0</v>
      </c>
      <c r="S1800" s="32">
        <v>0</v>
      </c>
      <c r="T1800" s="3">
        <v>9.8780000000000007E-2</v>
      </c>
      <c r="U1800" s="3">
        <v>9.6839999999999996E-2</v>
      </c>
      <c r="V1800" s="3">
        <v>0</v>
      </c>
      <c r="W1800" s="3">
        <v>0</v>
      </c>
      <c r="X1800" s="3">
        <v>0</v>
      </c>
      <c r="Y1800" s="23"/>
      <c r="Z1800" s="23"/>
      <c r="AA1800" s="3" t="str">
        <f t="shared" si="15"/>
        <v>905_24__vm</v>
      </c>
      <c r="AB1800" s="3" t="str">
        <f t="shared" si="14"/>
        <v>905_24__vm_1</v>
      </c>
      <c r="AD1800" s="3" t="s">
        <v>37</v>
      </c>
    </row>
    <row r="1801" spans="1:30" ht="14">
      <c r="A1801" s="3">
        <v>1800</v>
      </c>
      <c r="B1801" s="23"/>
      <c r="C1801" s="23"/>
      <c r="D1801" s="23"/>
      <c r="E1801" s="23"/>
      <c r="F1801" s="23"/>
      <c r="G1801" s="23"/>
      <c r="H1801" s="23"/>
      <c r="I1801" s="22"/>
      <c r="J1801" s="23"/>
      <c r="K1801" s="23"/>
      <c r="L1801" s="23"/>
      <c r="M1801" s="32" t="s">
        <v>38</v>
      </c>
      <c r="N1801" s="33">
        <v>133</v>
      </c>
      <c r="O1801" s="33">
        <v>0</v>
      </c>
      <c r="P1801" s="33">
        <v>5</v>
      </c>
      <c r="Q1801" s="32">
        <v>4</v>
      </c>
      <c r="R1801" s="33">
        <v>4</v>
      </c>
      <c r="S1801" s="32">
        <v>0</v>
      </c>
      <c r="T1801" s="3">
        <v>0</v>
      </c>
      <c r="U1801" s="3">
        <v>0.3044</v>
      </c>
      <c r="V1801" s="3">
        <v>0.40249000000000001</v>
      </c>
      <c r="W1801" s="3">
        <v>0</v>
      </c>
      <c r="X1801" s="3">
        <v>0</v>
      </c>
      <c r="Y1801" s="23"/>
      <c r="Z1801" s="23"/>
      <c r="AA1801" s="3" t="str">
        <f t="shared" si="15"/>
        <v>___</v>
      </c>
      <c r="AB1801" s="3" t="str">
        <f t="shared" si="14"/>
        <v>____</v>
      </c>
    </row>
    <row r="1802" spans="1:30" ht="14">
      <c r="A1802" s="3">
        <v>1801</v>
      </c>
      <c r="B1802" s="23"/>
      <c r="C1802" s="23"/>
      <c r="D1802" s="23"/>
      <c r="E1802" s="23"/>
      <c r="F1802" s="23"/>
      <c r="G1802" s="23"/>
      <c r="H1802" s="23"/>
      <c r="I1802" s="22"/>
      <c r="J1802" s="23"/>
      <c r="K1802" s="23"/>
      <c r="L1802" s="23"/>
      <c r="M1802" s="32" t="s">
        <v>39</v>
      </c>
      <c r="N1802" s="33">
        <v>95</v>
      </c>
      <c r="O1802" s="33">
        <v>0</v>
      </c>
      <c r="P1802" s="33">
        <v>3</v>
      </c>
      <c r="Q1802" s="32">
        <v>3</v>
      </c>
      <c r="R1802" s="33">
        <v>2</v>
      </c>
      <c r="S1802" s="32">
        <v>0</v>
      </c>
      <c r="T1802" s="3">
        <v>0</v>
      </c>
      <c r="U1802" s="3">
        <v>0.37773000000000001</v>
      </c>
      <c r="V1802" s="3">
        <v>1.0709599999999999</v>
      </c>
      <c r="W1802" s="3">
        <v>0</v>
      </c>
      <c r="X1802" s="3">
        <v>0</v>
      </c>
      <c r="Y1802" s="23"/>
      <c r="Z1802" s="23"/>
      <c r="AA1802" s="3" t="str">
        <f t="shared" si="15"/>
        <v>___</v>
      </c>
      <c r="AB1802" s="3" t="str">
        <f t="shared" si="14"/>
        <v>____</v>
      </c>
    </row>
    <row r="1803" spans="1:30" ht="14">
      <c r="A1803" s="3">
        <v>1802</v>
      </c>
      <c r="B1803" s="23"/>
      <c r="C1803" s="32">
        <v>905</v>
      </c>
      <c r="D1803" s="32">
        <v>24</v>
      </c>
      <c r="E1803" s="23"/>
      <c r="F1803" s="23"/>
      <c r="G1803" s="23"/>
      <c r="H1803" s="32" t="s">
        <v>40</v>
      </c>
      <c r="I1803" s="33">
        <v>2</v>
      </c>
      <c r="J1803" s="32">
        <v>31.6</v>
      </c>
      <c r="K1803" s="32">
        <v>48.1</v>
      </c>
      <c r="L1803" s="32">
        <v>7</v>
      </c>
      <c r="M1803" s="32" t="s">
        <v>36</v>
      </c>
      <c r="N1803" s="33">
        <v>67</v>
      </c>
      <c r="O1803" s="33">
        <v>7</v>
      </c>
      <c r="P1803" s="33">
        <v>7</v>
      </c>
      <c r="Q1803" s="32">
        <v>0</v>
      </c>
      <c r="R1803" s="33">
        <v>0</v>
      </c>
      <c r="S1803" s="32">
        <v>0</v>
      </c>
      <c r="T1803" s="3">
        <v>6.0089999999999998E-2</v>
      </c>
      <c r="U1803" s="3">
        <v>3.5909999999999997E-2</v>
      </c>
      <c r="V1803" s="3">
        <v>0</v>
      </c>
      <c r="W1803" s="3">
        <v>0</v>
      </c>
      <c r="X1803" s="3">
        <v>0</v>
      </c>
      <c r="Y1803" s="23"/>
      <c r="Z1803" s="23"/>
      <c r="AA1803" s="3" t="str">
        <f t="shared" si="15"/>
        <v>905_24__vm</v>
      </c>
      <c r="AB1803" s="3" t="str">
        <f t="shared" si="14"/>
        <v>905_24__vm_2</v>
      </c>
      <c r="AD1803" s="3" t="s">
        <v>37</v>
      </c>
    </row>
    <row r="1804" spans="1:30" ht="14">
      <c r="A1804" s="3">
        <v>1803</v>
      </c>
      <c r="B1804" s="23"/>
      <c r="C1804" s="23"/>
      <c r="D1804" s="23"/>
      <c r="E1804" s="23"/>
      <c r="F1804" s="23"/>
      <c r="G1804" s="23"/>
      <c r="H1804" s="23"/>
      <c r="I1804" s="22"/>
      <c r="J1804" s="23"/>
      <c r="K1804" s="23"/>
      <c r="L1804" s="23"/>
      <c r="M1804" s="32" t="s">
        <v>38</v>
      </c>
      <c r="N1804" s="33">
        <v>71</v>
      </c>
      <c r="O1804" s="33">
        <v>0</v>
      </c>
      <c r="P1804" s="33">
        <v>4</v>
      </c>
      <c r="Q1804" s="32">
        <v>3</v>
      </c>
      <c r="R1804" s="33">
        <v>3</v>
      </c>
      <c r="S1804" s="32">
        <v>0</v>
      </c>
      <c r="T1804" s="3">
        <v>0</v>
      </c>
      <c r="U1804" s="3">
        <v>6.6100000000000006E-2</v>
      </c>
      <c r="V1804" s="3">
        <v>0.19051999999999999</v>
      </c>
      <c r="W1804" s="3">
        <v>0</v>
      </c>
      <c r="X1804" s="3">
        <v>0</v>
      </c>
      <c r="Y1804" s="23"/>
      <c r="Z1804" s="23"/>
      <c r="AA1804" s="3" t="str">
        <f t="shared" si="15"/>
        <v>___</v>
      </c>
      <c r="AB1804" s="3" t="str">
        <f t="shared" si="14"/>
        <v>____</v>
      </c>
    </row>
    <row r="1805" spans="1:30" ht="14">
      <c r="A1805" s="3">
        <v>1804</v>
      </c>
      <c r="B1805" s="23"/>
      <c r="C1805" s="23"/>
      <c r="D1805" s="23"/>
      <c r="E1805" s="23"/>
      <c r="F1805" s="23"/>
      <c r="G1805" s="23"/>
      <c r="H1805" s="23"/>
      <c r="I1805" s="22"/>
      <c r="J1805" s="23"/>
      <c r="K1805" s="23"/>
      <c r="L1805" s="23"/>
      <c r="M1805" s="32" t="s">
        <v>39</v>
      </c>
      <c r="N1805" s="33">
        <v>116</v>
      </c>
      <c r="O1805" s="33">
        <v>0</v>
      </c>
      <c r="P1805" s="33">
        <v>3</v>
      </c>
      <c r="Q1805" s="32">
        <v>5</v>
      </c>
      <c r="R1805" s="33">
        <v>4</v>
      </c>
      <c r="S1805" s="32">
        <v>0</v>
      </c>
      <c r="T1805" s="3">
        <v>0</v>
      </c>
      <c r="U1805" s="3">
        <v>0.24778</v>
      </c>
      <c r="V1805" s="3">
        <v>0.80547000000000002</v>
      </c>
      <c r="W1805" s="3">
        <v>0</v>
      </c>
      <c r="X1805" s="3">
        <v>0</v>
      </c>
      <c r="Y1805" s="23"/>
      <c r="Z1805" s="23"/>
      <c r="AA1805" s="3" t="str">
        <f t="shared" si="15"/>
        <v>___</v>
      </c>
      <c r="AB1805" s="3" t="str">
        <f t="shared" si="14"/>
        <v>____</v>
      </c>
    </row>
    <row r="1806" spans="1:30" ht="14">
      <c r="A1806" s="3">
        <v>1805</v>
      </c>
      <c r="B1806" s="23"/>
      <c r="C1806" s="32">
        <v>905</v>
      </c>
      <c r="D1806" s="32">
        <v>24</v>
      </c>
      <c r="E1806" s="23"/>
      <c r="F1806" s="23"/>
      <c r="G1806" s="23"/>
      <c r="H1806" s="32" t="s">
        <v>40</v>
      </c>
      <c r="I1806" s="33">
        <v>3</v>
      </c>
      <c r="J1806" s="32">
        <v>34.4</v>
      </c>
      <c r="K1806" s="32">
        <v>38.9</v>
      </c>
      <c r="L1806" s="32">
        <v>8</v>
      </c>
      <c r="M1806" s="32" t="s">
        <v>36</v>
      </c>
      <c r="N1806" s="33">
        <v>52</v>
      </c>
      <c r="O1806" s="33">
        <v>6</v>
      </c>
      <c r="P1806" s="33">
        <v>6</v>
      </c>
      <c r="Q1806" s="32">
        <v>0</v>
      </c>
      <c r="R1806" s="33">
        <v>0</v>
      </c>
      <c r="S1806" s="32">
        <v>0</v>
      </c>
      <c r="T1806" s="3">
        <v>5.5019999999999999E-2</v>
      </c>
      <c r="U1806" s="3">
        <v>2.9690000000000001E-2</v>
      </c>
      <c r="V1806" s="3">
        <v>0</v>
      </c>
      <c r="W1806" s="3">
        <v>0</v>
      </c>
      <c r="X1806" s="3">
        <v>0</v>
      </c>
      <c r="Y1806" s="23"/>
      <c r="Z1806" s="23"/>
      <c r="AA1806" s="3" t="str">
        <f t="shared" si="15"/>
        <v>905_24__vm</v>
      </c>
      <c r="AB1806" s="3" t="str">
        <f t="shared" si="14"/>
        <v>905_24__vm_3</v>
      </c>
      <c r="AD1806" s="3" t="s">
        <v>37</v>
      </c>
    </row>
    <row r="1807" spans="1:30" ht="14">
      <c r="A1807" s="3">
        <v>1806</v>
      </c>
      <c r="B1807" s="23"/>
      <c r="C1807" s="23"/>
      <c r="D1807" s="23"/>
      <c r="E1807" s="23"/>
      <c r="F1807" s="23"/>
      <c r="G1807" s="23"/>
      <c r="H1807" s="23"/>
      <c r="I1807" s="22"/>
      <c r="J1807" s="23"/>
      <c r="K1807" s="23"/>
      <c r="L1807" s="23"/>
      <c r="M1807" s="32" t="s">
        <v>38</v>
      </c>
      <c r="N1807" s="33">
        <v>72</v>
      </c>
      <c r="O1807" s="33">
        <v>0</v>
      </c>
      <c r="P1807" s="33">
        <v>2</v>
      </c>
      <c r="Q1807" s="32">
        <v>5</v>
      </c>
      <c r="R1807" s="33">
        <v>3</v>
      </c>
      <c r="S1807" s="32">
        <v>0</v>
      </c>
      <c r="T1807" s="3">
        <v>0</v>
      </c>
      <c r="U1807" s="3">
        <v>7.8299999999999995E-2</v>
      </c>
      <c r="V1807" s="3">
        <v>0.23039000000000001</v>
      </c>
      <c r="W1807" s="3">
        <v>0</v>
      </c>
      <c r="X1807" s="3">
        <v>0</v>
      </c>
      <c r="Y1807" s="23"/>
      <c r="Z1807" s="23"/>
      <c r="AA1807" s="3" t="str">
        <f t="shared" si="15"/>
        <v>___</v>
      </c>
      <c r="AB1807" s="3" t="str">
        <f t="shared" si="14"/>
        <v>____</v>
      </c>
    </row>
    <row r="1808" spans="1:30" ht="14">
      <c r="A1808" s="3">
        <v>1807</v>
      </c>
      <c r="B1808" s="23"/>
      <c r="C1808" s="23"/>
      <c r="D1808" s="23"/>
      <c r="E1808" s="23"/>
      <c r="F1808" s="23"/>
      <c r="G1808" s="23"/>
      <c r="H1808" s="23"/>
      <c r="I1808" s="22"/>
      <c r="J1808" s="23"/>
      <c r="K1808" s="23"/>
      <c r="L1808" s="23"/>
      <c r="M1808" s="32" t="s">
        <v>39</v>
      </c>
      <c r="N1808" s="33">
        <v>77</v>
      </c>
      <c r="O1808" s="33">
        <v>0</v>
      </c>
      <c r="P1808" s="33">
        <v>6</v>
      </c>
      <c r="Q1808" s="32">
        <v>1</v>
      </c>
      <c r="R1808" s="33">
        <v>1</v>
      </c>
      <c r="S1808" s="32">
        <v>0</v>
      </c>
      <c r="T1808" s="3">
        <v>0</v>
      </c>
      <c r="U1808" s="3">
        <v>0.13647999999999999</v>
      </c>
      <c r="V1808" s="3">
        <v>0.33384000000000003</v>
      </c>
      <c r="W1808" s="3">
        <v>0</v>
      </c>
      <c r="X1808" s="3">
        <v>0</v>
      </c>
      <c r="Y1808" s="23"/>
      <c r="Z1808" s="23"/>
      <c r="AA1808" s="3" t="str">
        <f t="shared" si="15"/>
        <v>___</v>
      </c>
      <c r="AB1808" s="3" t="str">
        <f t="shared" si="14"/>
        <v>____</v>
      </c>
    </row>
    <row r="1809" spans="1:30" ht="14">
      <c r="A1809" s="3">
        <v>1808</v>
      </c>
      <c r="B1809" s="23"/>
      <c r="C1809" s="32">
        <v>905</v>
      </c>
      <c r="D1809" s="32">
        <v>55</v>
      </c>
      <c r="E1809" s="23"/>
      <c r="F1809" s="23"/>
      <c r="G1809" s="23"/>
      <c r="H1809" s="32" t="s">
        <v>40</v>
      </c>
      <c r="I1809" s="33">
        <v>1</v>
      </c>
      <c r="J1809" s="32">
        <v>20.3</v>
      </c>
      <c r="K1809" s="32">
        <v>16.2</v>
      </c>
      <c r="L1809" s="32">
        <v>5</v>
      </c>
      <c r="M1809" s="32" t="s">
        <v>36</v>
      </c>
      <c r="N1809" s="33">
        <v>32</v>
      </c>
      <c r="O1809" s="33">
        <v>5</v>
      </c>
      <c r="P1809" s="33">
        <v>5</v>
      </c>
      <c r="Q1809" s="32">
        <v>0</v>
      </c>
      <c r="R1809" s="33">
        <v>0</v>
      </c>
      <c r="S1809" s="32">
        <v>0</v>
      </c>
      <c r="T1809" s="3">
        <v>2.3810000000000001E-2</v>
      </c>
      <c r="U1809" s="3">
        <v>1.15E-2</v>
      </c>
      <c r="V1809" s="3">
        <v>0</v>
      </c>
      <c r="W1809" s="3">
        <v>0</v>
      </c>
      <c r="X1809" s="3">
        <v>0</v>
      </c>
      <c r="Y1809" s="23"/>
      <c r="Z1809" s="23"/>
      <c r="AA1809" s="3" t="str">
        <f t="shared" si="15"/>
        <v>905_55__vm</v>
      </c>
      <c r="AB1809" s="3" t="str">
        <f t="shared" si="14"/>
        <v>905_55__vm_1</v>
      </c>
      <c r="AD1809" s="3" t="s">
        <v>37</v>
      </c>
    </row>
    <row r="1810" spans="1:30" ht="14">
      <c r="A1810" s="3">
        <v>1809</v>
      </c>
      <c r="B1810" s="23"/>
      <c r="C1810" s="23"/>
      <c r="D1810" s="23"/>
      <c r="E1810" s="23"/>
      <c r="F1810" s="23"/>
      <c r="G1810" s="23"/>
      <c r="H1810" s="23"/>
      <c r="I1810" s="22"/>
      <c r="J1810" s="23"/>
      <c r="K1810" s="23"/>
      <c r="L1810" s="23"/>
      <c r="M1810" s="32" t="s">
        <v>38</v>
      </c>
      <c r="N1810" s="33">
        <v>46</v>
      </c>
      <c r="O1810" s="33">
        <v>0</v>
      </c>
      <c r="P1810" s="33">
        <v>6</v>
      </c>
      <c r="Q1810" s="32">
        <v>0</v>
      </c>
      <c r="R1810" s="33">
        <v>3</v>
      </c>
      <c r="S1810" s="32">
        <v>0</v>
      </c>
      <c r="T1810" s="3">
        <v>0</v>
      </c>
      <c r="U1810" s="3">
        <v>3.0300000000000001E-2</v>
      </c>
      <c r="V1810" s="3" t="s">
        <v>177</v>
      </c>
      <c r="W1810" s="3">
        <v>0</v>
      </c>
      <c r="X1810" s="3">
        <v>0</v>
      </c>
      <c r="Y1810" s="23"/>
      <c r="Z1810" s="23"/>
      <c r="AA1810" s="3" t="str">
        <f t="shared" si="15"/>
        <v>___</v>
      </c>
      <c r="AB1810" s="3" t="str">
        <f t="shared" si="14"/>
        <v>____</v>
      </c>
    </row>
    <row r="1811" spans="1:30" ht="14">
      <c r="A1811" s="3">
        <v>1810</v>
      </c>
      <c r="B1811" s="23"/>
      <c r="C1811" s="23"/>
      <c r="D1811" s="23"/>
      <c r="E1811" s="23"/>
      <c r="F1811" s="23"/>
      <c r="G1811" s="23"/>
      <c r="H1811" s="23"/>
      <c r="I1811" s="22"/>
      <c r="J1811" s="23"/>
      <c r="K1811" s="23"/>
      <c r="L1811" s="23"/>
      <c r="M1811" s="32" t="s">
        <v>39</v>
      </c>
      <c r="N1811" s="22"/>
      <c r="O1811" s="22"/>
      <c r="P1811" s="22"/>
      <c r="Q1811" s="23"/>
      <c r="R1811" s="22"/>
      <c r="S1811" s="23"/>
      <c r="V1811" s="3">
        <v>5.806E-2</v>
      </c>
      <c r="W1811" s="3">
        <v>0</v>
      </c>
      <c r="X1811" s="3">
        <v>0</v>
      </c>
      <c r="Y1811" s="32" t="s">
        <v>245</v>
      </c>
      <c r="Z1811" s="23"/>
      <c r="AA1811" s="3" t="str">
        <f t="shared" si="15"/>
        <v>___</v>
      </c>
      <c r="AB1811" s="3" t="str">
        <f t="shared" si="14"/>
        <v>____</v>
      </c>
    </row>
    <row r="1812" spans="1:30" ht="14">
      <c r="A1812" s="3">
        <v>1811</v>
      </c>
      <c r="B1812" s="23"/>
      <c r="C1812" s="23"/>
      <c r="D1812" s="23"/>
      <c r="E1812" s="23"/>
      <c r="F1812" s="23"/>
      <c r="G1812" s="23"/>
      <c r="H1812" s="23"/>
      <c r="I1812" s="22"/>
      <c r="J1812" s="23"/>
      <c r="K1812" s="23"/>
      <c r="L1812" s="23"/>
      <c r="M1812" s="32" t="s">
        <v>39</v>
      </c>
      <c r="N1812" s="33">
        <v>45</v>
      </c>
      <c r="O1812" s="33">
        <v>0</v>
      </c>
      <c r="P1812" s="33">
        <v>7</v>
      </c>
      <c r="Q1812" s="32">
        <v>0</v>
      </c>
      <c r="R1812" s="33">
        <v>1</v>
      </c>
      <c r="S1812" s="32">
        <v>0</v>
      </c>
      <c r="T1812" s="3">
        <v>0</v>
      </c>
      <c r="U1812" s="3">
        <v>6.0970000000000003E-2</v>
      </c>
      <c r="V1812" s="3">
        <v>0.10369</v>
      </c>
      <c r="W1812" s="3">
        <v>0</v>
      </c>
      <c r="X1812" s="3">
        <v>0</v>
      </c>
      <c r="Y1812" s="23"/>
      <c r="Z1812" s="23"/>
      <c r="AA1812" s="3" t="str">
        <f t="shared" si="15"/>
        <v>___</v>
      </c>
      <c r="AB1812" s="3" t="str">
        <f t="shared" si="14"/>
        <v>____</v>
      </c>
    </row>
    <row r="1813" spans="1:30" ht="14">
      <c r="A1813" s="3">
        <v>1812</v>
      </c>
      <c r="B1813" s="23"/>
      <c r="C1813" s="32">
        <v>905</v>
      </c>
      <c r="D1813" s="32">
        <v>55</v>
      </c>
      <c r="E1813" s="23"/>
      <c r="F1813" s="23"/>
      <c r="G1813" s="23"/>
      <c r="H1813" s="32" t="s">
        <v>40</v>
      </c>
      <c r="I1813" s="33">
        <v>2</v>
      </c>
      <c r="J1813" s="32">
        <v>25.5</v>
      </c>
      <c r="K1813" s="32">
        <v>29.2</v>
      </c>
      <c r="L1813" s="32">
        <v>8</v>
      </c>
      <c r="M1813" s="32" t="s">
        <v>36</v>
      </c>
      <c r="N1813" s="33">
        <v>14</v>
      </c>
      <c r="O1813" s="33">
        <v>3</v>
      </c>
      <c r="P1813" s="33">
        <v>3</v>
      </c>
      <c r="Q1813" s="32">
        <v>0</v>
      </c>
      <c r="R1813" s="33">
        <v>0</v>
      </c>
      <c r="S1813" s="32">
        <v>0</v>
      </c>
      <c r="T1813" s="3">
        <v>9.11E-3</v>
      </c>
      <c r="U1813" s="3">
        <v>2.5100000000000001E-3</v>
      </c>
      <c r="V1813" s="3">
        <v>0</v>
      </c>
      <c r="W1813" s="3">
        <v>0</v>
      </c>
      <c r="X1813" s="3">
        <v>0</v>
      </c>
      <c r="Y1813" s="23"/>
      <c r="Z1813" s="23"/>
      <c r="AA1813" s="3" t="str">
        <f t="shared" si="15"/>
        <v>905_55__vm</v>
      </c>
      <c r="AB1813" s="3" t="str">
        <f t="shared" si="14"/>
        <v>905_55__vm_2</v>
      </c>
      <c r="AD1813" s="3" t="s">
        <v>37</v>
      </c>
    </row>
    <row r="1814" spans="1:30" ht="14">
      <c r="A1814" s="3">
        <v>1813</v>
      </c>
      <c r="B1814" s="23"/>
      <c r="C1814" s="23"/>
      <c r="D1814" s="23"/>
      <c r="E1814" s="23"/>
      <c r="F1814" s="23"/>
      <c r="G1814" s="23"/>
      <c r="H1814" s="23"/>
      <c r="I1814" s="22"/>
      <c r="J1814" s="23"/>
      <c r="K1814" s="23"/>
      <c r="L1814" s="23"/>
      <c r="M1814" s="32" t="s">
        <v>38</v>
      </c>
      <c r="N1814" s="33">
        <v>21</v>
      </c>
      <c r="O1814" s="33">
        <v>0</v>
      </c>
      <c r="P1814" s="33">
        <v>5</v>
      </c>
      <c r="Q1814" s="32">
        <v>0</v>
      </c>
      <c r="R1814" s="33">
        <v>1</v>
      </c>
      <c r="S1814" s="32">
        <v>0</v>
      </c>
      <c r="T1814" s="3">
        <v>0</v>
      </c>
      <c r="U1814" s="3">
        <v>6.5599999999999999E-3</v>
      </c>
      <c r="V1814" s="3">
        <v>9.4000000000000004E-3</v>
      </c>
      <c r="W1814" s="3">
        <v>0</v>
      </c>
      <c r="X1814" s="3">
        <v>0</v>
      </c>
      <c r="Y1814" s="23"/>
      <c r="Z1814" s="23"/>
      <c r="AA1814" s="3" t="str">
        <f t="shared" si="15"/>
        <v>___</v>
      </c>
      <c r="AB1814" s="3" t="str">
        <f t="shared" si="14"/>
        <v>____</v>
      </c>
    </row>
    <row r="1815" spans="1:30" ht="14">
      <c r="A1815" s="3">
        <v>1814</v>
      </c>
      <c r="B1815" s="23"/>
      <c r="C1815" s="23"/>
      <c r="D1815" s="23"/>
      <c r="E1815" s="23"/>
      <c r="F1815" s="23"/>
      <c r="G1815" s="23"/>
      <c r="H1815" s="23"/>
      <c r="I1815" s="22"/>
      <c r="J1815" s="23"/>
      <c r="K1815" s="23"/>
      <c r="L1815" s="23"/>
      <c r="M1815" s="32" t="s">
        <v>39</v>
      </c>
      <c r="N1815" s="33">
        <v>26</v>
      </c>
      <c r="O1815" s="33">
        <v>0</v>
      </c>
      <c r="P1815" s="33">
        <v>5</v>
      </c>
      <c r="Q1815" s="32">
        <v>0</v>
      </c>
      <c r="R1815" s="33">
        <v>1</v>
      </c>
      <c r="S1815" s="32">
        <v>0</v>
      </c>
      <c r="T1815" s="3">
        <v>0</v>
      </c>
      <c r="U1815" s="3">
        <v>1.3469999999999999E-2</v>
      </c>
      <c r="V1815" s="3">
        <v>1.8020000000000001E-2</v>
      </c>
      <c r="W1815" s="3">
        <v>0</v>
      </c>
      <c r="X1815" s="3">
        <v>0</v>
      </c>
      <c r="Y1815" s="23"/>
      <c r="Z1815" s="23"/>
      <c r="AA1815" s="3" t="str">
        <f t="shared" si="15"/>
        <v>___</v>
      </c>
      <c r="AB1815" s="3" t="str">
        <f t="shared" si="14"/>
        <v>____</v>
      </c>
    </row>
    <row r="1816" spans="1:30" ht="14">
      <c r="A1816" s="3">
        <v>1815</v>
      </c>
      <c r="B1816" s="23"/>
      <c r="C1816" s="32">
        <v>905</v>
      </c>
      <c r="D1816" s="32">
        <v>55</v>
      </c>
      <c r="E1816" s="23"/>
      <c r="F1816" s="23"/>
      <c r="G1816" s="23"/>
      <c r="H1816" s="32" t="s">
        <v>40</v>
      </c>
      <c r="I1816" s="33">
        <v>3</v>
      </c>
      <c r="J1816" s="32">
        <v>17.8</v>
      </c>
      <c r="K1816" s="32">
        <v>13.5</v>
      </c>
      <c r="L1816" s="32">
        <v>4</v>
      </c>
      <c r="M1816" s="32" t="s">
        <v>36</v>
      </c>
      <c r="N1816" s="33">
        <v>34</v>
      </c>
      <c r="O1816" s="33">
        <v>6</v>
      </c>
      <c r="P1816" s="33">
        <v>6</v>
      </c>
      <c r="Q1816" s="32">
        <v>0</v>
      </c>
      <c r="R1816" s="33">
        <v>0</v>
      </c>
      <c r="S1816" s="32">
        <v>0</v>
      </c>
      <c r="T1816" s="3">
        <v>2.281E-2</v>
      </c>
      <c r="U1816" s="3">
        <v>1.0370000000000001E-2</v>
      </c>
      <c r="V1816" s="3">
        <v>0</v>
      </c>
      <c r="W1816" s="3">
        <v>0</v>
      </c>
      <c r="X1816" s="3">
        <v>0</v>
      </c>
      <c r="Y1816" s="23"/>
      <c r="Z1816" s="23"/>
      <c r="AA1816" s="3" t="str">
        <f t="shared" si="15"/>
        <v>905_55__vm</v>
      </c>
      <c r="AB1816" s="3" t="str">
        <f t="shared" si="14"/>
        <v>905_55__vm_3</v>
      </c>
      <c r="AD1816" s="3" t="s">
        <v>37</v>
      </c>
    </row>
    <row r="1817" spans="1:30" ht="14">
      <c r="A1817" s="3">
        <v>1816</v>
      </c>
      <c r="B1817" s="23"/>
      <c r="C1817" s="23"/>
      <c r="D1817" s="23"/>
      <c r="E1817" s="23"/>
      <c r="F1817" s="23"/>
      <c r="G1817" s="23"/>
      <c r="H1817" s="23"/>
      <c r="I1817" s="22"/>
      <c r="J1817" s="23"/>
      <c r="K1817" s="23"/>
      <c r="L1817" s="23"/>
      <c r="M1817" s="32" t="s">
        <v>38</v>
      </c>
      <c r="N1817" s="33">
        <v>63</v>
      </c>
      <c r="O1817" s="33">
        <v>0</v>
      </c>
      <c r="P1817" s="33">
        <v>8</v>
      </c>
      <c r="Q1817" s="32">
        <v>0</v>
      </c>
      <c r="R1817" s="33">
        <v>2</v>
      </c>
      <c r="S1817" s="32">
        <v>0</v>
      </c>
      <c r="T1817" s="3">
        <v>0</v>
      </c>
      <c r="U1817" s="3">
        <v>4.6370000000000001E-2</v>
      </c>
      <c r="V1817" s="3">
        <v>5.0290000000000001E-2</v>
      </c>
      <c r="W1817" s="3">
        <v>0</v>
      </c>
      <c r="X1817" s="3">
        <v>0</v>
      </c>
      <c r="Y1817" s="23"/>
      <c r="Z1817" s="23"/>
      <c r="AA1817" s="3" t="str">
        <f t="shared" si="15"/>
        <v>___</v>
      </c>
      <c r="AB1817" s="3" t="str">
        <f t="shared" si="14"/>
        <v>____</v>
      </c>
    </row>
    <row r="1818" spans="1:30" ht="14">
      <c r="A1818" s="3">
        <v>1817</v>
      </c>
      <c r="B1818" s="23"/>
      <c r="C1818" s="23"/>
      <c r="D1818" s="23"/>
      <c r="E1818" s="23"/>
      <c r="F1818" s="23"/>
      <c r="G1818" s="23"/>
      <c r="H1818" s="23"/>
      <c r="I1818" s="22"/>
      <c r="J1818" s="23"/>
      <c r="K1818" s="23"/>
      <c r="L1818" s="23"/>
      <c r="M1818" s="32" t="s">
        <v>39</v>
      </c>
      <c r="N1818" s="33">
        <v>56</v>
      </c>
      <c r="O1818" s="33">
        <v>0</v>
      </c>
      <c r="P1818" s="33">
        <v>12</v>
      </c>
      <c r="Q1818" s="32">
        <v>0</v>
      </c>
      <c r="R1818" s="33">
        <v>0</v>
      </c>
      <c r="S1818" s="32">
        <v>0</v>
      </c>
      <c r="T1818" s="3">
        <v>0</v>
      </c>
      <c r="U1818" s="3">
        <v>6.2109999999999999E-2</v>
      </c>
      <c r="V1818" s="3">
        <v>0</v>
      </c>
      <c r="W1818" s="3">
        <v>0</v>
      </c>
      <c r="X1818" s="3">
        <v>0</v>
      </c>
      <c r="Y1818" s="23"/>
      <c r="Z1818" s="23"/>
      <c r="AA1818" s="3" t="str">
        <f t="shared" si="15"/>
        <v>___</v>
      </c>
      <c r="AB1818" s="3" t="str">
        <f t="shared" si="14"/>
        <v>____</v>
      </c>
    </row>
    <row r="1819" spans="1:30" ht="14">
      <c r="A1819" s="3">
        <v>1818</v>
      </c>
      <c r="B1819" s="23"/>
      <c r="C1819" s="32">
        <v>905</v>
      </c>
      <c r="D1819" s="32">
        <v>55</v>
      </c>
      <c r="E1819" s="23"/>
      <c r="F1819" s="23"/>
      <c r="G1819" s="23"/>
      <c r="H1819" s="32" t="s">
        <v>35</v>
      </c>
      <c r="I1819" s="33">
        <v>1</v>
      </c>
      <c r="J1819" s="32">
        <v>17.5</v>
      </c>
      <c r="K1819" s="32">
        <v>15.6</v>
      </c>
      <c r="L1819" s="32">
        <v>5</v>
      </c>
      <c r="M1819" s="32" t="s">
        <v>36</v>
      </c>
      <c r="N1819" s="33">
        <v>25</v>
      </c>
      <c r="O1819" s="33">
        <v>12</v>
      </c>
      <c r="P1819" s="33">
        <v>12</v>
      </c>
      <c r="Q1819" s="32">
        <v>0</v>
      </c>
      <c r="R1819" s="33">
        <v>0</v>
      </c>
      <c r="S1819" s="32">
        <v>0</v>
      </c>
      <c r="T1819" s="3">
        <v>8.2960000000000006E-2</v>
      </c>
      <c r="U1819" s="3">
        <v>7.3099999999999997E-3</v>
      </c>
      <c r="V1819" s="3">
        <v>0</v>
      </c>
      <c r="W1819" s="3">
        <v>0</v>
      </c>
      <c r="X1819" s="3">
        <v>0</v>
      </c>
      <c r="Y1819" s="23"/>
      <c r="Z1819" s="23"/>
      <c r="AA1819" s="3" t="str">
        <f t="shared" si="15"/>
        <v>905_55__vv</v>
      </c>
      <c r="AB1819" s="3" t="str">
        <f t="shared" si="14"/>
        <v>905_55__vv_1</v>
      </c>
      <c r="AD1819" s="3" t="s">
        <v>37</v>
      </c>
    </row>
    <row r="1820" spans="1:30" ht="14">
      <c r="A1820" s="3">
        <v>1819</v>
      </c>
      <c r="B1820" s="23"/>
      <c r="C1820" s="23"/>
      <c r="D1820" s="23"/>
      <c r="E1820" s="23"/>
      <c r="F1820" s="23"/>
      <c r="G1820" s="23"/>
      <c r="H1820" s="23"/>
      <c r="I1820" s="22"/>
      <c r="J1820" s="23"/>
      <c r="K1820" s="23"/>
      <c r="L1820" s="23"/>
      <c r="M1820" s="32" t="s">
        <v>38</v>
      </c>
      <c r="N1820" s="33">
        <v>34</v>
      </c>
      <c r="O1820" s="33">
        <v>8</v>
      </c>
      <c r="P1820" s="33">
        <v>15</v>
      </c>
      <c r="Q1820" s="32">
        <v>0</v>
      </c>
      <c r="R1820" s="33">
        <v>0</v>
      </c>
      <c r="S1820" s="32">
        <v>0</v>
      </c>
      <c r="T1820" s="3">
        <v>8.1809999999999994E-2</v>
      </c>
      <c r="U1820" s="3">
        <v>1.562E-2</v>
      </c>
      <c r="V1820" s="3">
        <v>0</v>
      </c>
      <c r="W1820" s="3">
        <v>0</v>
      </c>
      <c r="X1820" s="3">
        <v>0</v>
      </c>
      <c r="Y1820" s="23"/>
      <c r="Z1820" s="23"/>
      <c r="AA1820" s="3" t="str">
        <f t="shared" si="15"/>
        <v>___</v>
      </c>
      <c r="AB1820" s="3" t="str">
        <f t="shared" si="14"/>
        <v>____</v>
      </c>
    </row>
    <row r="1821" spans="1:30" ht="14">
      <c r="A1821" s="3">
        <v>1820</v>
      </c>
      <c r="B1821" s="23"/>
      <c r="C1821" s="23"/>
      <c r="D1821" s="23"/>
      <c r="E1821" s="23"/>
      <c r="F1821" s="23"/>
      <c r="G1821" s="23"/>
      <c r="H1821" s="23"/>
      <c r="I1821" s="22"/>
      <c r="J1821" s="23"/>
      <c r="K1821" s="23"/>
      <c r="L1821" s="23"/>
      <c r="M1821" s="32" t="s">
        <v>39</v>
      </c>
      <c r="N1821" s="33">
        <v>47</v>
      </c>
      <c r="O1821" s="33">
        <v>8</v>
      </c>
      <c r="P1821" s="33">
        <v>14</v>
      </c>
      <c r="Q1821" s="32">
        <v>0</v>
      </c>
      <c r="R1821" s="33">
        <v>0</v>
      </c>
      <c r="S1821" s="32">
        <v>0</v>
      </c>
      <c r="T1821" s="3">
        <v>8.6480000000000001E-2</v>
      </c>
      <c r="U1821" s="3">
        <v>3.3750000000000002E-2</v>
      </c>
      <c r="V1821" s="3">
        <v>0</v>
      </c>
      <c r="W1821" s="3">
        <v>0</v>
      </c>
      <c r="X1821" s="3">
        <v>0</v>
      </c>
      <c r="Y1821" s="23"/>
      <c r="Z1821" s="23"/>
      <c r="AA1821" s="3" t="str">
        <f t="shared" si="15"/>
        <v>___</v>
      </c>
      <c r="AB1821" s="3" t="str">
        <f t="shared" si="14"/>
        <v>____</v>
      </c>
    </row>
    <row r="1822" spans="1:30" ht="14">
      <c r="A1822" s="3">
        <v>1821</v>
      </c>
      <c r="B1822" s="23"/>
      <c r="C1822" s="32">
        <v>905</v>
      </c>
      <c r="D1822" s="32">
        <v>55</v>
      </c>
      <c r="E1822" s="23"/>
      <c r="F1822" s="23"/>
      <c r="G1822" s="23"/>
      <c r="H1822" s="32" t="s">
        <v>35</v>
      </c>
      <c r="I1822" s="33">
        <v>2</v>
      </c>
      <c r="J1822" s="32">
        <v>16.5</v>
      </c>
      <c r="K1822" s="32">
        <v>25.5</v>
      </c>
      <c r="L1822" s="32">
        <v>5</v>
      </c>
      <c r="M1822" s="32" t="s">
        <v>36</v>
      </c>
      <c r="N1822" s="33">
        <v>54</v>
      </c>
      <c r="O1822" s="33">
        <v>6</v>
      </c>
      <c r="P1822" s="33">
        <v>15</v>
      </c>
      <c r="Q1822" s="32">
        <v>0</v>
      </c>
      <c r="R1822" s="33">
        <v>0</v>
      </c>
      <c r="S1822" s="32">
        <v>0</v>
      </c>
      <c r="T1822" s="3">
        <v>1.1560000000000001E-2</v>
      </c>
      <c r="U1822" s="3">
        <v>3.6080000000000001E-2</v>
      </c>
      <c r="V1822" s="3">
        <v>0</v>
      </c>
      <c r="W1822" s="3">
        <v>0</v>
      </c>
      <c r="X1822" s="3">
        <v>0</v>
      </c>
      <c r="Y1822" s="23"/>
      <c r="Z1822" s="23"/>
      <c r="AA1822" s="3" t="str">
        <f t="shared" si="15"/>
        <v>905_55__vv</v>
      </c>
      <c r="AB1822" s="3" t="str">
        <f t="shared" si="14"/>
        <v>905_55__vv_2</v>
      </c>
      <c r="AD1822" s="3" t="s">
        <v>37</v>
      </c>
    </row>
    <row r="1823" spans="1:30" ht="14">
      <c r="A1823" s="3">
        <v>1822</v>
      </c>
      <c r="B1823" s="23"/>
      <c r="C1823" s="23"/>
      <c r="D1823" s="23"/>
      <c r="E1823" s="23"/>
      <c r="F1823" s="23"/>
      <c r="G1823" s="23"/>
      <c r="H1823" s="23"/>
      <c r="I1823" s="22"/>
      <c r="J1823" s="23"/>
      <c r="K1823" s="23"/>
      <c r="L1823" s="23"/>
      <c r="M1823" s="32" t="s">
        <v>38</v>
      </c>
      <c r="N1823" s="33">
        <v>28</v>
      </c>
      <c r="O1823" s="33">
        <v>11</v>
      </c>
      <c r="P1823" s="33">
        <v>12</v>
      </c>
      <c r="Q1823" s="32">
        <v>0</v>
      </c>
      <c r="R1823" s="33">
        <v>0</v>
      </c>
      <c r="S1823" s="32">
        <v>0</v>
      </c>
      <c r="T1823" s="3">
        <v>9.987E-2</v>
      </c>
      <c r="U1823" s="3">
        <v>9.6900000000000007E-3</v>
      </c>
      <c r="V1823" s="3">
        <v>0</v>
      </c>
      <c r="W1823" s="3">
        <v>0</v>
      </c>
      <c r="X1823" s="3">
        <v>0</v>
      </c>
      <c r="Y1823" s="23"/>
      <c r="Z1823" s="23"/>
      <c r="AA1823" s="3" t="str">
        <f t="shared" si="15"/>
        <v>___</v>
      </c>
      <c r="AB1823" s="3" t="str">
        <f t="shared" si="14"/>
        <v>____</v>
      </c>
    </row>
    <row r="1824" spans="1:30" ht="14">
      <c r="A1824" s="3">
        <v>1823</v>
      </c>
      <c r="B1824" s="23"/>
      <c r="C1824" s="23"/>
      <c r="D1824" s="23"/>
      <c r="E1824" s="23"/>
      <c r="F1824" s="23"/>
      <c r="G1824" s="23"/>
      <c r="H1824" s="23"/>
      <c r="I1824" s="22"/>
      <c r="J1824" s="23"/>
      <c r="K1824" s="23"/>
      <c r="L1824" s="23"/>
      <c r="M1824" s="32" t="s">
        <v>39</v>
      </c>
      <c r="N1824" s="33">
        <v>74</v>
      </c>
      <c r="O1824" s="33">
        <v>0</v>
      </c>
      <c r="P1824" s="33">
        <v>15</v>
      </c>
      <c r="Q1824" s="32">
        <v>0</v>
      </c>
      <c r="R1824" s="33">
        <v>0</v>
      </c>
      <c r="S1824" s="32">
        <v>0</v>
      </c>
      <c r="T1824" s="3">
        <v>0</v>
      </c>
      <c r="U1824" s="3">
        <v>6.5129999999999993E-2</v>
      </c>
      <c r="V1824" s="3">
        <v>0</v>
      </c>
      <c r="W1824" s="3">
        <v>0</v>
      </c>
      <c r="X1824" s="3">
        <v>0</v>
      </c>
      <c r="Y1824" s="23"/>
      <c r="Z1824" s="23"/>
      <c r="AA1824" s="3" t="str">
        <f t="shared" si="15"/>
        <v>___</v>
      </c>
      <c r="AB1824" s="3" t="str">
        <f t="shared" si="14"/>
        <v>____</v>
      </c>
    </row>
    <row r="1825" spans="1:30" ht="14">
      <c r="A1825" s="3">
        <v>1824</v>
      </c>
      <c r="B1825" s="23"/>
      <c r="C1825" s="32">
        <v>905</v>
      </c>
      <c r="D1825" s="32">
        <v>55</v>
      </c>
      <c r="E1825" s="23"/>
      <c r="F1825" s="23"/>
      <c r="G1825" s="23"/>
      <c r="H1825" s="32" t="s">
        <v>35</v>
      </c>
      <c r="I1825" s="33">
        <v>3</v>
      </c>
      <c r="J1825" s="32">
        <v>11.1</v>
      </c>
      <c r="K1825" s="32">
        <v>15.1</v>
      </c>
      <c r="L1825" s="32">
        <v>4</v>
      </c>
      <c r="M1825" s="32" t="s">
        <v>36</v>
      </c>
      <c r="N1825" s="33">
        <v>38</v>
      </c>
      <c r="O1825" s="33">
        <v>9</v>
      </c>
      <c r="P1825" s="33">
        <v>11</v>
      </c>
      <c r="Q1825" s="32">
        <v>0</v>
      </c>
      <c r="R1825" s="33">
        <v>0</v>
      </c>
      <c r="S1825" s="32">
        <v>0</v>
      </c>
      <c r="T1825" s="3">
        <v>7.7109999999999998E-2</v>
      </c>
      <c r="U1825" s="3">
        <v>1.2619999999999999E-2</v>
      </c>
      <c r="V1825" s="3">
        <v>0</v>
      </c>
      <c r="W1825" s="3">
        <v>0</v>
      </c>
      <c r="X1825" s="3">
        <v>0</v>
      </c>
      <c r="Y1825" s="23"/>
      <c r="Z1825" s="23"/>
      <c r="AA1825" s="3" t="str">
        <f t="shared" si="15"/>
        <v>905_55__vv</v>
      </c>
      <c r="AB1825" s="3" t="str">
        <f t="shared" si="14"/>
        <v>905_55__vv_3</v>
      </c>
      <c r="AD1825" s="3" t="s">
        <v>37</v>
      </c>
    </row>
    <row r="1826" spans="1:30" ht="14">
      <c r="A1826" s="3">
        <v>1825</v>
      </c>
      <c r="B1826" s="23"/>
      <c r="C1826" s="23"/>
      <c r="D1826" s="23"/>
      <c r="E1826" s="23"/>
      <c r="F1826" s="23"/>
      <c r="G1826" s="23"/>
      <c r="H1826" s="23"/>
      <c r="I1826" s="22"/>
      <c r="J1826" s="23"/>
      <c r="K1826" s="23"/>
      <c r="L1826" s="23"/>
      <c r="M1826" s="32" t="s">
        <v>38</v>
      </c>
      <c r="N1826" s="33">
        <v>39</v>
      </c>
      <c r="O1826" s="33">
        <v>9</v>
      </c>
      <c r="P1826" s="33">
        <v>12</v>
      </c>
      <c r="Q1826" s="32">
        <v>0</v>
      </c>
      <c r="R1826" s="33">
        <v>0</v>
      </c>
      <c r="S1826" s="32">
        <v>0</v>
      </c>
      <c r="T1826" s="3">
        <v>7.6189999999999994E-2</v>
      </c>
      <c r="U1826" s="3">
        <v>2.29E-2</v>
      </c>
      <c r="V1826" s="3">
        <v>0</v>
      </c>
      <c r="W1826" s="3">
        <v>0</v>
      </c>
      <c r="X1826" s="3">
        <v>0</v>
      </c>
      <c r="Y1826" s="23"/>
      <c r="Z1826" s="23"/>
      <c r="AA1826" s="3" t="str">
        <f t="shared" si="15"/>
        <v>___</v>
      </c>
      <c r="AB1826" s="3" t="str">
        <f t="shared" si="14"/>
        <v>____</v>
      </c>
    </row>
    <row r="1827" spans="1:30" ht="14">
      <c r="A1827" s="3">
        <v>1826</v>
      </c>
      <c r="B1827" s="23"/>
      <c r="C1827" s="23"/>
      <c r="D1827" s="23"/>
      <c r="E1827" s="23"/>
      <c r="F1827" s="23"/>
      <c r="G1827" s="23"/>
      <c r="H1827" s="23"/>
      <c r="I1827" s="22"/>
      <c r="J1827" s="23"/>
      <c r="K1827" s="23"/>
      <c r="L1827" s="23"/>
      <c r="M1827" s="32" t="s">
        <v>39</v>
      </c>
      <c r="N1827" s="33">
        <v>41</v>
      </c>
      <c r="O1827" s="33">
        <v>1</v>
      </c>
      <c r="P1827" s="33">
        <v>12</v>
      </c>
      <c r="Q1827" s="32">
        <v>0</v>
      </c>
      <c r="R1827" s="33">
        <v>0</v>
      </c>
      <c r="S1827" s="32">
        <v>0</v>
      </c>
      <c r="T1827" s="3">
        <v>4.6899999999999997E-3</v>
      </c>
      <c r="U1827" s="3">
        <v>2.9860000000000001E-2</v>
      </c>
      <c r="V1827" s="3">
        <v>0</v>
      </c>
      <c r="W1827" s="3">
        <v>0</v>
      </c>
      <c r="X1827" s="3">
        <v>0</v>
      </c>
      <c r="Y1827" s="23"/>
      <c r="Z1827" s="23"/>
      <c r="AA1827" s="3" t="str">
        <f t="shared" si="15"/>
        <v>___</v>
      </c>
      <c r="AB1827" s="3" t="str">
        <f t="shared" si="14"/>
        <v>____</v>
      </c>
    </row>
    <row r="1828" spans="1:30" ht="14">
      <c r="A1828" s="3">
        <v>1827</v>
      </c>
      <c r="B1828" s="23"/>
      <c r="C1828" s="32">
        <v>970</v>
      </c>
      <c r="D1828" s="32">
        <v>26</v>
      </c>
      <c r="E1828" s="23"/>
      <c r="F1828" s="23"/>
      <c r="G1828" s="23"/>
      <c r="H1828" s="32" t="s">
        <v>35</v>
      </c>
      <c r="I1828" s="33">
        <v>1</v>
      </c>
      <c r="J1828" s="32">
        <v>21.1</v>
      </c>
      <c r="K1828" s="32">
        <v>17</v>
      </c>
      <c r="L1828" s="32">
        <v>3</v>
      </c>
      <c r="M1828" s="32" t="s">
        <v>36</v>
      </c>
      <c r="N1828" s="33">
        <v>30</v>
      </c>
      <c r="O1828" s="33">
        <v>13</v>
      </c>
      <c r="P1828" s="33">
        <v>16</v>
      </c>
      <c r="Q1828" s="32">
        <v>0</v>
      </c>
      <c r="R1828" s="33">
        <v>0</v>
      </c>
      <c r="S1828" s="32">
        <v>0</v>
      </c>
      <c r="T1828" s="3">
        <v>7.2300000000000003E-2</v>
      </c>
      <c r="U1828" s="3">
        <v>7.11E-3</v>
      </c>
      <c r="V1828" s="3">
        <v>0</v>
      </c>
      <c r="W1828" s="3">
        <v>0</v>
      </c>
      <c r="X1828" s="3">
        <v>0</v>
      </c>
      <c r="Y1828" s="23"/>
      <c r="Z1828" s="23"/>
      <c r="AA1828" s="3" t="str">
        <f t="shared" si="15"/>
        <v>970_26__vv</v>
      </c>
      <c r="AB1828" s="3" t="str">
        <f t="shared" si="14"/>
        <v>970_26__vv_1</v>
      </c>
      <c r="AD1828" s="3" t="s">
        <v>37</v>
      </c>
    </row>
    <row r="1829" spans="1:30" ht="14">
      <c r="A1829" s="3">
        <v>1828</v>
      </c>
      <c r="B1829" s="23"/>
      <c r="C1829" s="23"/>
      <c r="D1829" s="23"/>
      <c r="E1829" s="23"/>
      <c r="F1829" s="23"/>
      <c r="G1829" s="23"/>
      <c r="H1829" s="23"/>
      <c r="I1829" s="22"/>
      <c r="J1829" s="23"/>
      <c r="K1829" s="23"/>
      <c r="L1829" s="23"/>
      <c r="M1829" s="32" t="s">
        <v>38</v>
      </c>
      <c r="N1829" s="33">
        <v>72</v>
      </c>
      <c r="O1829" s="33">
        <v>10</v>
      </c>
      <c r="P1829" s="33">
        <v>16</v>
      </c>
      <c r="Q1829" s="32">
        <v>0</v>
      </c>
      <c r="R1829" s="33">
        <v>0</v>
      </c>
      <c r="S1829" s="32">
        <v>0</v>
      </c>
      <c r="T1829" s="3">
        <v>0.26941999999999999</v>
      </c>
      <c r="U1829" s="3">
        <v>4.8680000000000001E-2</v>
      </c>
      <c r="V1829" s="3">
        <v>0</v>
      </c>
      <c r="W1829" s="3">
        <v>0</v>
      </c>
      <c r="X1829" s="3">
        <v>0</v>
      </c>
      <c r="Y1829" s="23"/>
      <c r="Z1829" s="23"/>
      <c r="AA1829" s="3" t="str">
        <f t="shared" si="15"/>
        <v>___</v>
      </c>
      <c r="AB1829" s="3" t="str">
        <f t="shared" si="14"/>
        <v>____</v>
      </c>
    </row>
    <row r="1830" spans="1:30" ht="14">
      <c r="A1830" s="3">
        <v>1829</v>
      </c>
      <c r="B1830" s="23"/>
      <c r="C1830" s="23"/>
      <c r="D1830" s="23"/>
      <c r="E1830" s="23"/>
      <c r="F1830" s="23"/>
      <c r="G1830" s="23"/>
      <c r="H1830" s="23"/>
      <c r="I1830" s="22"/>
      <c r="J1830" s="23"/>
      <c r="K1830" s="23"/>
      <c r="L1830" s="23"/>
      <c r="M1830" s="32" t="s">
        <v>39</v>
      </c>
      <c r="N1830" s="33">
        <v>70</v>
      </c>
      <c r="O1830" s="33">
        <v>1</v>
      </c>
      <c r="P1830" s="33">
        <v>7</v>
      </c>
      <c r="Q1830" s="32">
        <v>0</v>
      </c>
      <c r="R1830" s="33">
        <v>0</v>
      </c>
      <c r="S1830" s="32">
        <v>0</v>
      </c>
      <c r="T1830" s="3">
        <v>4.5900000000000003E-3</v>
      </c>
      <c r="U1830" s="3">
        <v>5.8560000000000001E-2</v>
      </c>
      <c r="V1830" s="3">
        <v>0</v>
      </c>
      <c r="W1830" s="3">
        <v>0</v>
      </c>
      <c r="X1830" s="3">
        <v>0</v>
      </c>
      <c r="Y1830" s="23"/>
      <c r="Z1830" s="23"/>
      <c r="AA1830" s="3" t="str">
        <f t="shared" si="15"/>
        <v>___</v>
      </c>
      <c r="AB1830" s="3" t="str">
        <f t="shared" si="14"/>
        <v>____</v>
      </c>
    </row>
    <row r="1831" spans="1:30" ht="14">
      <c r="A1831" s="3">
        <v>1830</v>
      </c>
      <c r="B1831" s="23"/>
      <c r="C1831" s="32">
        <v>970</v>
      </c>
      <c r="D1831" s="32">
        <v>26</v>
      </c>
      <c r="E1831" s="23"/>
      <c r="F1831" s="23"/>
      <c r="G1831" s="23"/>
      <c r="H1831" s="32" t="s">
        <v>35</v>
      </c>
      <c r="I1831" s="33">
        <v>2</v>
      </c>
      <c r="J1831" s="32">
        <v>22.6</v>
      </c>
      <c r="K1831" s="32">
        <v>21.6</v>
      </c>
      <c r="L1831" s="32">
        <v>5</v>
      </c>
      <c r="M1831" s="32" t="s">
        <v>36</v>
      </c>
      <c r="N1831" s="33">
        <v>47</v>
      </c>
      <c r="O1831" s="33">
        <v>13</v>
      </c>
      <c r="P1831" s="33">
        <v>15</v>
      </c>
      <c r="Q1831" s="32">
        <v>0</v>
      </c>
      <c r="R1831" s="33">
        <v>0</v>
      </c>
      <c r="S1831" s="32">
        <v>0</v>
      </c>
      <c r="T1831" s="3">
        <v>0.10148</v>
      </c>
      <c r="U1831" s="3">
        <v>1.4800000000000001E-2</v>
      </c>
      <c r="V1831" s="3">
        <v>0</v>
      </c>
      <c r="W1831" s="3">
        <v>0</v>
      </c>
      <c r="X1831" s="3">
        <v>0</v>
      </c>
      <c r="Y1831" s="23"/>
      <c r="Z1831" s="23"/>
      <c r="AA1831" s="3" t="str">
        <f t="shared" si="15"/>
        <v>970_26__vv</v>
      </c>
      <c r="AB1831" s="3" t="str">
        <f t="shared" si="14"/>
        <v>970_26__vv_2</v>
      </c>
      <c r="AD1831" s="3" t="s">
        <v>37</v>
      </c>
    </row>
    <row r="1832" spans="1:30" ht="14">
      <c r="A1832" s="3">
        <v>1831</v>
      </c>
      <c r="B1832" s="23"/>
      <c r="C1832" s="23"/>
      <c r="D1832" s="23"/>
      <c r="E1832" s="23"/>
      <c r="F1832" s="23"/>
      <c r="G1832" s="23"/>
      <c r="H1832" s="23"/>
      <c r="I1832" s="22"/>
      <c r="J1832" s="23"/>
      <c r="K1832" s="23"/>
      <c r="L1832" s="23"/>
      <c r="M1832" s="32" t="s">
        <v>38</v>
      </c>
      <c r="N1832" s="33">
        <v>48</v>
      </c>
      <c r="O1832" s="33">
        <v>7</v>
      </c>
      <c r="P1832" s="33">
        <v>12</v>
      </c>
      <c r="Q1832" s="32">
        <v>0</v>
      </c>
      <c r="R1832" s="33">
        <v>2</v>
      </c>
      <c r="S1832" s="32">
        <v>0</v>
      </c>
      <c r="T1832" s="3">
        <v>0.19933999999999999</v>
      </c>
      <c r="U1832" s="3">
        <v>3.5409999999999997E-2</v>
      </c>
      <c r="V1832" s="3">
        <v>7.0279999999999995E-2</v>
      </c>
      <c r="W1832" s="3">
        <v>0</v>
      </c>
      <c r="X1832" s="3">
        <v>0</v>
      </c>
      <c r="Y1832" s="32" t="s">
        <v>246</v>
      </c>
      <c r="Z1832" s="23"/>
      <c r="AA1832" s="3" t="str">
        <f t="shared" si="15"/>
        <v>___</v>
      </c>
      <c r="AB1832" s="3" t="str">
        <f t="shared" si="14"/>
        <v>____</v>
      </c>
    </row>
    <row r="1833" spans="1:30" ht="14">
      <c r="A1833" s="3">
        <v>1832</v>
      </c>
      <c r="B1833" s="23"/>
      <c r="C1833" s="23"/>
      <c r="D1833" s="23"/>
      <c r="E1833" s="23"/>
      <c r="F1833" s="23"/>
      <c r="G1833" s="23"/>
      <c r="H1833" s="23"/>
      <c r="I1833" s="22"/>
      <c r="J1833" s="23"/>
      <c r="K1833" s="23"/>
      <c r="L1833" s="23"/>
      <c r="M1833" s="32" t="s">
        <v>39</v>
      </c>
      <c r="N1833" s="33">
        <v>38</v>
      </c>
      <c r="O1833" s="33">
        <v>7</v>
      </c>
      <c r="P1833" s="33">
        <v>13</v>
      </c>
      <c r="Q1833" s="32">
        <v>0</v>
      </c>
      <c r="R1833" s="33">
        <v>0</v>
      </c>
      <c r="S1833" s="32">
        <v>0</v>
      </c>
      <c r="T1833" s="3">
        <v>0.1216</v>
      </c>
      <c r="U1833" s="3">
        <v>3.4669999999999999E-2</v>
      </c>
      <c r="V1833" s="3">
        <v>0</v>
      </c>
      <c r="W1833" s="3">
        <v>0</v>
      </c>
      <c r="X1833" s="3">
        <v>0</v>
      </c>
      <c r="Y1833" s="23"/>
      <c r="Z1833" s="23"/>
      <c r="AA1833" s="3" t="str">
        <f t="shared" si="15"/>
        <v>___</v>
      </c>
      <c r="AB1833" s="3" t="str">
        <f t="shared" si="14"/>
        <v>____</v>
      </c>
    </row>
    <row r="1834" spans="1:30" ht="14">
      <c r="A1834" s="3">
        <v>1833</v>
      </c>
      <c r="B1834" s="23"/>
      <c r="C1834" s="32">
        <v>970</v>
      </c>
      <c r="D1834" s="32">
        <v>26</v>
      </c>
      <c r="E1834" s="23"/>
      <c r="F1834" s="23"/>
      <c r="G1834" s="23"/>
      <c r="H1834" s="32" t="s">
        <v>35</v>
      </c>
      <c r="I1834" s="33">
        <v>3</v>
      </c>
      <c r="J1834" s="32">
        <v>25</v>
      </c>
      <c r="K1834" s="32">
        <v>20.100000000000001</v>
      </c>
      <c r="L1834" s="32">
        <v>3</v>
      </c>
      <c r="M1834" s="32" t="s">
        <v>36</v>
      </c>
      <c r="N1834" s="33">
        <v>32</v>
      </c>
      <c r="O1834" s="33">
        <v>12</v>
      </c>
      <c r="P1834" s="33">
        <v>12</v>
      </c>
      <c r="Q1834" s="32">
        <v>0</v>
      </c>
      <c r="R1834" s="33">
        <v>0</v>
      </c>
      <c r="S1834" s="32">
        <v>0</v>
      </c>
      <c r="T1834" s="3">
        <v>5.9380000000000002E-2</v>
      </c>
      <c r="U1834" s="3">
        <v>8.4600000000000005E-3</v>
      </c>
      <c r="V1834" s="3">
        <v>0</v>
      </c>
      <c r="W1834" s="3">
        <v>0</v>
      </c>
      <c r="X1834" s="3">
        <v>0</v>
      </c>
      <c r="Y1834" s="23"/>
      <c r="Z1834" s="23"/>
      <c r="AA1834" s="3" t="str">
        <f t="shared" si="15"/>
        <v>970_26__vv</v>
      </c>
      <c r="AB1834" s="3" t="str">
        <f t="shared" si="14"/>
        <v>970_26__vv_3</v>
      </c>
      <c r="AD1834" s="3" t="s">
        <v>37</v>
      </c>
    </row>
    <row r="1835" spans="1:30" ht="14">
      <c r="A1835" s="3">
        <v>1834</v>
      </c>
      <c r="B1835" s="23"/>
      <c r="C1835" s="23"/>
      <c r="D1835" s="23"/>
      <c r="E1835" s="23"/>
      <c r="F1835" s="23"/>
      <c r="G1835" s="23"/>
      <c r="H1835" s="23"/>
      <c r="I1835" s="22"/>
      <c r="J1835" s="23"/>
      <c r="K1835" s="23"/>
      <c r="L1835" s="23"/>
      <c r="M1835" s="32" t="s">
        <v>38</v>
      </c>
      <c r="N1835" s="33">
        <v>74</v>
      </c>
      <c r="O1835" s="33">
        <v>8</v>
      </c>
      <c r="P1835" s="33">
        <v>15</v>
      </c>
      <c r="Q1835" s="32">
        <v>0</v>
      </c>
      <c r="R1835" s="33">
        <v>2</v>
      </c>
      <c r="S1835" s="32">
        <v>0</v>
      </c>
      <c r="T1835" s="3">
        <v>0.15614</v>
      </c>
      <c r="U1835" s="3">
        <v>5.7889999999999997E-2</v>
      </c>
      <c r="V1835" s="3">
        <v>0.1069</v>
      </c>
      <c r="W1835" s="3">
        <v>0</v>
      </c>
      <c r="X1835" s="3">
        <v>0</v>
      </c>
      <c r="Y1835" s="23"/>
      <c r="Z1835" s="23"/>
      <c r="AA1835" s="3" t="str">
        <f t="shared" si="15"/>
        <v>___</v>
      </c>
      <c r="AB1835" s="3" t="str">
        <f t="shared" si="14"/>
        <v>____</v>
      </c>
    </row>
    <row r="1836" spans="1:30" ht="14">
      <c r="A1836" s="3">
        <v>1835</v>
      </c>
      <c r="B1836" s="23"/>
      <c r="C1836" s="23"/>
      <c r="D1836" s="23"/>
      <c r="E1836" s="23"/>
      <c r="F1836" s="23"/>
      <c r="G1836" s="23"/>
      <c r="H1836" s="23"/>
      <c r="I1836" s="22"/>
      <c r="J1836" s="23"/>
      <c r="K1836" s="23"/>
      <c r="L1836" s="23"/>
      <c r="M1836" s="32" t="s">
        <v>39</v>
      </c>
      <c r="N1836" s="33">
        <v>98</v>
      </c>
      <c r="O1836" s="33">
        <v>3</v>
      </c>
      <c r="P1836" s="33">
        <v>15</v>
      </c>
      <c r="Q1836" s="32">
        <v>0</v>
      </c>
      <c r="R1836" s="33">
        <v>0</v>
      </c>
      <c r="S1836" s="32">
        <v>0</v>
      </c>
      <c r="T1836" s="3">
        <v>2.5180000000000001E-2</v>
      </c>
      <c r="U1836" s="3">
        <v>0.10066</v>
      </c>
      <c r="V1836" s="3">
        <v>0</v>
      </c>
      <c r="W1836" s="3">
        <v>0</v>
      </c>
      <c r="X1836" s="3">
        <v>0</v>
      </c>
      <c r="Y1836" s="32" t="s">
        <v>247</v>
      </c>
      <c r="Z1836" s="23"/>
      <c r="AA1836" s="3" t="str">
        <f t="shared" si="15"/>
        <v>___</v>
      </c>
      <c r="AB1836" s="3" t="str">
        <f t="shared" si="14"/>
        <v>____</v>
      </c>
    </row>
    <row r="1837" spans="1:30" ht="14">
      <c r="A1837" s="3">
        <v>1836</v>
      </c>
      <c r="B1837" s="23"/>
      <c r="C1837" s="32">
        <v>970</v>
      </c>
      <c r="D1837" s="32">
        <v>42</v>
      </c>
      <c r="E1837" s="23"/>
      <c r="F1837" s="23"/>
      <c r="G1837" s="23"/>
      <c r="H1837" s="32" t="s">
        <v>40</v>
      </c>
      <c r="I1837" s="33">
        <v>1</v>
      </c>
      <c r="J1837" s="32">
        <v>14.2</v>
      </c>
      <c r="K1837" s="32">
        <v>14</v>
      </c>
      <c r="L1837" s="32">
        <v>5</v>
      </c>
      <c r="M1837" s="32" t="s">
        <v>36</v>
      </c>
      <c r="N1837" s="33">
        <v>16</v>
      </c>
      <c r="O1837" s="33">
        <v>6</v>
      </c>
      <c r="P1837" s="33">
        <v>6</v>
      </c>
      <c r="Q1837" s="32">
        <v>2</v>
      </c>
      <c r="R1837" s="33">
        <v>0</v>
      </c>
      <c r="S1837" s="32">
        <v>0</v>
      </c>
      <c r="T1837" s="3">
        <v>1.103E-2</v>
      </c>
      <c r="U1837" s="3">
        <v>3.8700000000000002E-3</v>
      </c>
      <c r="V1837" s="3">
        <v>0</v>
      </c>
      <c r="W1837" s="3">
        <v>0</v>
      </c>
      <c r="X1837" s="3">
        <v>0</v>
      </c>
      <c r="Y1837" s="23"/>
      <c r="Z1837" s="23"/>
      <c r="AA1837" s="3" t="str">
        <f t="shared" si="15"/>
        <v>970_42__vm</v>
      </c>
      <c r="AB1837" s="3" t="str">
        <f t="shared" si="14"/>
        <v>970_42__vm_1</v>
      </c>
      <c r="AD1837" s="3" t="s">
        <v>37</v>
      </c>
    </row>
    <row r="1838" spans="1:30" ht="14">
      <c r="A1838" s="3">
        <v>1837</v>
      </c>
      <c r="B1838" s="23"/>
      <c r="C1838" s="23"/>
      <c r="D1838" s="23"/>
      <c r="E1838" s="23"/>
      <c r="F1838" s="23"/>
      <c r="G1838" s="23"/>
      <c r="H1838" s="23"/>
      <c r="I1838" s="22"/>
      <c r="J1838" s="23"/>
      <c r="K1838" s="23"/>
      <c r="L1838" s="23"/>
      <c r="M1838" s="32" t="s">
        <v>38</v>
      </c>
      <c r="N1838" s="33">
        <v>14</v>
      </c>
      <c r="O1838" s="33">
        <v>0</v>
      </c>
      <c r="P1838" s="33">
        <v>3</v>
      </c>
      <c r="Q1838" s="32">
        <v>0</v>
      </c>
      <c r="R1838" s="33">
        <v>0</v>
      </c>
      <c r="S1838" s="32">
        <v>0</v>
      </c>
      <c r="T1838" s="3">
        <v>0</v>
      </c>
      <c r="U1838" s="3">
        <v>4.4600000000000004E-3</v>
      </c>
      <c r="V1838" s="3">
        <v>0</v>
      </c>
      <c r="W1838" s="3">
        <v>0</v>
      </c>
      <c r="X1838" s="3">
        <v>0</v>
      </c>
      <c r="Y1838" s="23"/>
      <c r="Z1838" s="23"/>
      <c r="AA1838" s="3" t="str">
        <f t="shared" si="15"/>
        <v>___</v>
      </c>
      <c r="AB1838" s="3" t="str">
        <f t="shared" si="14"/>
        <v>____</v>
      </c>
    </row>
    <row r="1839" spans="1:30" ht="14">
      <c r="A1839" s="3">
        <v>1838</v>
      </c>
      <c r="B1839" s="23"/>
      <c r="C1839" s="23"/>
      <c r="D1839" s="23"/>
      <c r="E1839" s="23"/>
      <c r="F1839" s="23"/>
      <c r="G1839" s="23"/>
      <c r="H1839" s="23"/>
      <c r="I1839" s="22"/>
      <c r="J1839" s="23"/>
      <c r="K1839" s="23"/>
      <c r="L1839" s="23"/>
      <c r="M1839" s="32" t="s">
        <v>39</v>
      </c>
      <c r="N1839" s="33">
        <v>32</v>
      </c>
      <c r="O1839" s="33">
        <v>0</v>
      </c>
      <c r="P1839" s="33">
        <v>5</v>
      </c>
      <c r="Q1839" s="32">
        <v>0</v>
      </c>
      <c r="R1839" s="33">
        <v>1</v>
      </c>
      <c r="S1839" s="32">
        <v>0</v>
      </c>
      <c r="T1839" s="3">
        <v>0</v>
      </c>
      <c r="U1839" s="3">
        <v>1.721E-2</v>
      </c>
      <c r="V1839" s="3">
        <v>5.7400000000000003E-3</v>
      </c>
      <c r="W1839" s="3">
        <v>0</v>
      </c>
      <c r="X1839" s="3">
        <v>0</v>
      </c>
      <c r="Y1839" s="23"/>
      <c r="Z1839" s="23"/>
      <c r="AA1839" s="3" t="str">
        <f t="shared" si="15"/>
        <v>___</v>
      </c>
      <c r="AB1839" s="3" t="str">
        <f t="shared" si="14"/>
        <v>____</v>
      </c>
    </row>
    <row r="1840" spans="1:30" ht="14">
      <c r="A1840" s="3">
        <v>1839</v>
      </c>
      <c r="B1840" s="23"/>
      <c r="C1840" s="32">
        <v>970</v>
      </c>
      <c r="D1840" s="32">
        <v>42</v>
      </c>
      <c r="E1840" s="23"/>
      <c r="F1840" s="23"/>
      <c r="G1840" s="23"/>
      <c r="H1840" s="32" t="s">
        <v>40</v>
      </c>
      <c r="I1840" s="33">
        <v>2</v>
      </c>
      <c r="J1840" s="32">
        <v>22.5</v>
      </c>
      <c r="K1840" s="32">
        <v>22.1</v>
      </c>
      <c r="L1840" s="32">
        <v>5</v>
      </c>
      <c r="M1840" s="32" t="s">
        <v>36</v>
      </c>
      <c r="N1840" s="33">
        <v>59</v>
      </c>
      <c r="O1840" s="33">
        <v>8</v>
      </c>
      <c r="P1840" s="33">
        <v>8</v>
      </c>
      <c r="Q1840" s="32">
        <v>0</v>
      </c>
      <c r="R1840" s="33">
        <v>0</v>
      </c>
      <c r="S1840" s="32">
        <v>0</v>
      </c>
      <c r="T1840" s="3">
        <v>3.6560000000000002E-2</v>
      </c>
      <c r="U1840" s="3">
        <v>3.1759999999999997E-2</v>
      </c>
      <c r="V1840" s="3">
        <v>0</v>
      </c>
      <c r="W1840" s="3">
        <v>0</v>
      </c>
      <c r="X1840" s="3">
        <v>0</v>
      </c>
      <c r="Y1840" s="23"/>
      <c r="Z1840" s="23"/>
      <c r="AA1840" s="3" t="str">
        <f t="shared" si="15"/>
        <v>970_42__vm</v>
      </c>
      <c r="AB1840" s="3" t="str">
        <f t="shared" si="14"/>
        <v>970_42__vm_2</v>
      </c>
      <c r="AD1840" s="3" t="s">
        <v>37</v>
      </c>
    </row>
    <row r="1841" spans="1:30" ht="14">
      <c r="A1841" s="3">
        <v>1840</v>
      </c>
      <c r="B1841" s="23"/>
      <c r="C1841" s="23"/>
      <c r="D1841" s="23"/>
      <c r="E1841" s="23"/>
      <c r="F1841" s="23"/>
      <c r="G1841" s="23"/>
      <c r="H1841" s="23"/>
      <c r="I1841" s="22"/>
      <c r="J1841" s="23"/>
      <c r="K1841" s="23"/>
      <c r="L1841" s="23"/>
      <c r="M1841" s="32" t="s">
        <v>38</v>
      </c>
      <c r="N1841" s="33">
        <v>79</v>
      </c>
      <c r="O1841" s="33">
        <v>0</v>
      </c>
      <c r="P1841" s="33">
        <v>4</v>
      </c>
      <c r="Q1841" s="32">
        <v>0</v>
      </c>
      <c r="R1841" s="33">
        <v>2</v>
      </c>
      <c r="S1841" s="32">
        <v>0</v>
      </c>
      <c r="T1841" s="3">
        <v>0</v>
      </c>
      <c r="U1841" s="3">
        <v>0.10042</v>
      </c>
      <c r="V1841" s="3">
        <v>0.1429</v>
      </c>
      <c r="W1841" s="3">
        <v>0</v>
      </c>
      <c r="X1841" s="3">
        <v>0</v>
      </c>
      <c r="Y1841" s="23"/>
      <c r="Z1841" s="23"/>
      <c r="AA1841" s="3" t="str">
        <f t="shared" si="15"/>
        <v>___</v>
      </c>
      <c r="AB1841" s="3" t="str">
        <f t="shared" si="14"/>
        <v>____</v>
      </c>
    </row>
    <row r="1842" spans="1:30" ht="14">
      <c r="A1842" s="3">
        <v>1841</v>
      </c>
      <c r="B1842" s="23"/>
      <c r="C1842" s="23"/>
      <c r="D1842" s="23"/>
      <c r="E1842" s="23"/>
      <c r="F1842" s="23"/>
      <c r="G1842" s="23"/>
      <c r="H1842" s="23"/>
      <c r="I1842" s="22"/>
      <c r="J1842" s="23"/>
      <c r="K1842" s="23"/>
      <c r="L1842" s="23"/>
      <c r="M1842" s="32" t="s">
        <v>39</v>
      </c>
      <c r="N1842" s="33">
        <v>7</v>
      </c>
      <c r="O1842" s="33">
        <v>0</v>
      </c>
      <c r="P1842" s="33">
        <v>0</v>
      </c>
      <c r="Q1842" s="32">
        <v>0</v>
      </c>
      <c r="R1842" s="33">
        <v>1</v>
      </c>
      <c r="S1842" s="32">
        <v>0</v>
      </c>
      <c r="T1842" s="3">
        <v>0</v>
      </c>
      <c r="U1842" s="3">
        <v>1.8079999999999999E-2</v>
      </c>
      <c r="V1842" s="3">
        <v>0.28985</v>
      </c>
      <c r="W1842" s="3">
        <v>0</v>
      </c>
      <c r="X1842" s="3">
        <v>0</v>
      </c>
      <c r="Y1842" s="23"/>
      <c r="Z1842" s="23"/>
      <c r="AA1842" s="3" t="str">
        <f t="shared" si="15"/>
        <v>___</v>
      </c>
      <c r="AB1842" s="3" t="str">
        <f t="shared" si="14"/>
        <v>____</v>
      </c>
    </row>
    <row r="1843" spans="1:30" ht="14">
      <c r="A1843" s="3">
        <v>1842</v>
      </c>
      <c r="B1843" s="23"/>
      <c r="C1843" s="32">
        <v>970</v>
      </c>
      <c r="D1843" s="32">
        <v>42</v>
      </c>
      <c r="E1843" s="23"/>
      <c r="F1843" s="23"/>
      <c r="G1843" s="23"/>
      <c r="H1843" s="32" t="s">
        <v>40</v>
      </c>
      <c r="I1843" s="33">
        <v>3</v>
      </c>
      <c r="J1843" s="32">
        <v>27</v>
      </c>
      <c r="K1843" s="32">
        <v>30</v>
      </c>
      <c r="L1843" s="32">
        <v>5</v>
      </c>
      <c r="M1843" s="32" t="s">
        <v>36</v>
      </c>
      <c r="N1843" s="33">
        <v>67</v>
      </c>
      <c r="O1843" s="33">
        <v>8</v>
      </c>
      <c r="P1843" s="33">
        <v>8</v>
      </c>
      <c r="Q1843" s="32">
        <v>0</v>
      </c>
      <c r="R1843" s="33">
        <v>0</v>
      </c>
      <c r="S1843" s="32">
        <v>0</v>
      </c>
      <c r="T1843" s="3">
        <v>8.0949999999999994E-2</v>
      </c>
      <c r="U1843" s="3">
        <v>3.6990000000000002E-2</v>
      </c>
      <c r="V1843" s="3">
        <v>0</v>
      </c>
      <c r="W1843" s="3">
        <v>0</v>
      </c>
      <c r="X1843" s="3">
        <v>0</v>
      </c>
      <c r="Y1843" s="23"/>
      <c r="Z1843" s="23"/>
      <c r="AA1843" s="3" t="str">
        <f t="shared" si="15"/>
        <v>970_42__vm</v>
      </c>
      <c r="AB1843" s="3" t="str">
        <f t="shared" si="14"/>
        <v>970_42__vm_3</v>
      </c>
      <c r="AD1843" s="3" t="s">
        <v>37</v>
      </c>
    </row>
    <row r="1844" spans="1:30" ht="14">
      <c r="A1844" s="3">
        <v>1843</v>
      </c>
      <c r="B1844" s="23"/>
      <c r="C1844" s="23"/>
      <c r="D1844" s="23"/>
      <c r="E1844" s="23"/>
      <c r="F1844" s="23"/>
      <c r="G1844" s="23"/>
      <c r="H1844" s="23"/>
      <c r="I1844" s="22"/>
      <c r="J1844" s="23"/>
      <c r="K1844" s="23"/>
      <c r="L1844" s="23"/>
      <c r="M1844" s="32" t="s">
        <v>38</v>
      </c>
      <c r="N1844" s="33">
        <v>67</v>
      </c>
      <c r="O1844" s="33">
        <v>0</v>
      </c>
      <c r="P1844" s="33">
        <v>2</v>
      </c>
      <c r="Q1844" s="32">
        <v>0</v>
      </c>
      <c r="R1844" s="33">
        <v>2</v>
      </c>
      <c r="S1844" s="32">
        <v>0</v>
      </c>
      <c r="T1844" s="3">
        <v>0</v>
      </c>
      <c r="U1844" s="3">
        <v>6.2300000000000001E-2</v>
      </c>
      <c r="V1844" s="3">
        <v>4.0149999999999998E-2</v>
      </c>
      <c r="W1844" s="3">
        <v>0</v>
      </c>
      <c r="X1844" s="3">
        <v>0</v>
      </c>
      <c r="Y1844" s="23"/>
      <c r="Z1844" s="23"/>
      <c r="AA1844" s="3" t="str">
        <f t="shared" si="15"/>
        <v>___</v>
      </c>
      <c r="AB1844" s="3" t="str">
        <f t="shared" si="14"/>
        <v>____</v>
      </c>
    </row>
    <row r="1845" spans="1:30" ht="14">
      <c r="A1845" s="3">
        <v>1844</v>
      </c>
      <c r="B1845" s="23"/>
      <c r="C1845" s="23"/>
      <c r="D1845" s="23"/>
      <c r="E1845" s="23"/>
      <c r="F1845" s="23"/>
      <c r="G1845" s="23"/>
      <c r="H1845" s="23"/>
      <c r="I1845" s="22"/>
      <c r="J1845" s="23"/>
      <c r="K1845" s="23"/>
      <c r="L1845" s="23"/>
      <c r="M1845" s="32" t="s">
        <v>39</v>
      </c>
      <c r="N1845" s="33">
        <v>37</v>
      </c>
      <c r="O1845" s="33">
        <v>0</v>
      </c>
      <c r="P1845" s="33">
        <v>2</v>
      </c>
      <c r="Q1845" s="32">
        <v>0</v>
      </c>
      <c r="R1845" s="33">
        <v>1</v>
      </c>
      <c r="S1845" s="32">
        <v>0</v>
      </c>
      <c r="T1845" s="3">
        <v>0</v>
      </c>
      <c r="U1845" s="3">
        <v>4.8910000000000002E-2</v>
      </c>
      <c r="V1845" s="3">
        <v>0</v>
      </c>
      <c r="W1845" s="3">
        <v>0</v>
      </c>
      <c r="X1845" s="3">
        <v>0</v>
      </c>
      <c r="Y1845" s="23"/>
      <c r="Z1845" s="23"/>
      <c r="AA1845" s="3" t="str">
        <f t="shared" si="15"/>
        <v>___</v>
      </c>
      <c r="AB1845" s="3" t="str">
        <f t="shared" si="14"/>
        <v>____</v>
      </c>
    </row>
    <row r="1846" spans="1:30" ht="14">
      <c r="A1846" s="3">
        <v>1845</v>
      </c>
      <c r="B1846" s="23"/>
      <c r="C1846" s="32">
        <v>792</v>
      </c>
      <c r="D1846" s="32">
        <v>22</v>
      </c>
      <c r="E1846" s="23"/>
      <c r="F1846" s="23"/>
      <c r="G1846" s="23"/>
      <c r="H1846" s="32" t="s">
        <v>40</v>
      </c>
      <c r="I1846" s="33">
        <v>1</v>
      </c>
      <c r="J1846" s="32">
        <v>11.4</v>
      </c>
      <c r="K1846" s="32">
        <v>15.2</v>
      </c>
      <c r="L1846" s="32">
        <v>6</v>
      </c>
      <c r="M1846" s="32" t="s">
        <v>36</v>
      </c>
      <c r="N1846" s="33">
        <v>28</v>
      </c>
      <c r="O1846" s="33">
        <v>7</v>
      </c>
      <c r="P1846" s="33">
        <v>7</v>
      </c>
      <c r="Q1846" s="32"/>
      <c r="R1846" s="32">
        <v>0</v>
      </c>
      <c r="S1846" s="23"/>
      <c r="T1846" s="3">
        <v>1.5440000000000001E-2</v>
      </c>
      <c r="U1846" s="3">
        <v>9.8200000000000006E-3</v>
      </c>
      <c r="V1846" s="3">
        <v>0</v>
      </c>
      <c r="W1846" s="3">
        <v>0</v>
      </c>
      <c r="X1846" s="3">
        <v>0</v>
      </c>
      <c r="Y1846" s="23"/>
      <c r="Z1846" s="23"/>
      <c r="AA1846" s="3" t="str">
        <f t="shared" si="15"/>
        <v>792_22__vm</v>
      </c>
      <c r="AB1846" s="3" t="str">
        <f t="shared" si="14"/>
        <v>792_22__vm_1</v>
      </c>
      <c r="AD1846" s="3" t="s">
        <v>37</v>
      </c>
    </row>
    <row r="1847" spans="1:30" ht="14">
      <c r="A1847" s="3">
        <v>1846</v>
      </c>
      <c r="B1847" s="23"/>
      <c r="C1847" s="23"/>
      <c r="D1847" s="23"/>
      <c r="E1847" s="23"/>
      <c r="F1847" s="23"/>
      <c r="G1847" s="23"/>
      <c r="H1847" s="23"/>
      <c r="I1847" s="22"/>
      <c r="J1847" s="23"/>
      <c r="K1847" s="23"/>
      <c r="L1847" s="23"/>
      <c r="M1847" s="32" t="s">
        <v>38</v>
      </c>
      <c r="N1847" s="33">
        <v>31</v>
      </c>
      <c r="O1847" s="33">
        <v>0</v>
      </c>
      <c r="P1847" s="33">
        <v>6</v>
      </c>
      <c r="Q1847" s="32"/>
      <c r="R1847" s="32">
        <v>1</v>
      </c>
      <c r="S1847" s="23"/>
      <c r="T1847" s="3">
        <v>0</v>
      </c>
      <c r="U1847" s="3">
        <v>1.583E-2</v>
      </c>
      <c r="V1847" s="3">
        <v>2.3390000000000001E-2</v>
      </c>
      <c r="W1847" s="3">
        <v>0</v>
      </c>
      <c r="X1847" s="3">
        <v>0</v>
      </c>
      <c r="Y1847" s="23"/>
      <c r="Z1847" s="23"/>
      <c r="AA1847" s="3" t="str">
        <f t="shared" si="15"/>
        <v>___</v>
      </c>
      <c r="AB1847" s="3" t="str">
        <f t="shared" si="14"/>
        <v>____</v>
      </c>
    </row>
    <row r="1848" spans="1:30" ht="14">
      <c r="A1848" s="3">
        <v>1847</v>
      </c>
      <c r="B1848" s="23"/>
      <c r="C1848" s="23"/>
      <c r="D1848" s="23"/>
      <c r="E1848" s="23"/>
      <c r="F1848" s="23"/>
      <c r="G1848" s="23"/>
      <c r="H1848" s="23"/>
      <c r="I1848" s="22"/>
      <c r="J1848" s="23"/>
      <c r="K1848" s="23"/>
      <c r="L1848" s="23"/>
      <c r="M1848" s="32" t="s">
        <v>39</v>
      </c>
      <c r="N1848" s="33">
        <v>29</v>
      </c>
      <c r="O1848" s="33">
        <v>0</v>
      </c>
      <c r="P1848" s="33">
        <v>6</v>
      </c>
      <c r="Q1848" s="32"/>
      <c r="R1848" s="32">
        <v>1</v>
      </c>
      <c r="S1848" s="23"/>
      <c r="T1848" s="3">
        <v>0</v>
      </c>
      <c r="U1848" s="3">
        <v>2.1510000000000001E-2</v>
      </c>
      <c r="V1848" s="3">
        <v>4.2459999999999998E-2</v>
      </c>
      <c r="W1848" s="3">
        <v>0</v>
      </c>
      <c r="Y1848" s="23"/>
      <c r="Z1848" s="23"/>
      <c r="AA1848" s="3" t="str">
        <f t="shared" si="15"/>
        <v>___</v>
      </c>
      <c r="AB1848" s="3" t="str">
        <f t="shared" si="14"/>
        <v>____</v>
      </c>
    </row>
    <row r="1849" spans="1:30" ht="14">
      <c r="A1849" s="3">
        <v>1848</v>
      </c>
      <c r="B1849" s="23"/>
      <c r="C1849" s="32">
        <v>792</v>
      </c>
      <c r="D1849" s="32">
        <v>22</v>
      </c>
      <c r="E1849" s="23"/>
      <c r="F1849" s="23"/>
      <c r="G1849" s="23"/>
      <c r="H1849" s="32" t="s">
        <v>40</v>
      </c>
      <c r="I1849" s="33">
        <v>2</v>
      </c>
      <c r="J1849" s="32">
        <v>11.5</v>
      </c>
      <c r="K1849" s="32">
        <v>13.1</v>
      </c>
      <c r="L1849" s="32">
        <v>4</v>
      </c>
      <c r="M1849" s="32" t="s">
        <v>36</v>
      </c>
      <c r="N1849" s="33">
        <v>31</v>
      </c>
      <c r="O1849" s="33">
        <v>5</v>
      </c>
      <c r="P1849" s="33">
        <v>7</v>
      </c>
      <c r="Q1849" s="32"/>
      <c r="R1849" s="32">
        <v>0</v>
      </c>
      <c r="S1849" s="23"/>
      <c r="T1849" s="3">
        <v>2.4879999999999999E-2</v>
      </c>
      <c r="U1849" s="3">
        <v>1.0880000000000001E-2</v>
      </c>
      <c r="V1849" s="3">
        <v>0</v>
      </c>
      <c r="W1849" s="3">
        <v>0</v>
      </c>
      <c r="X1849" s="3">
        <v>0</v>
      </c>
      <c r="Y1849" s="23"/>
      <c r="Z1849" s="23"/>
      <c r="AA1849" s="3" t="str">
        <f t="shared" si="15"/>
        <v>792_22__vm</v>
      </c>
      <c r="AB1849" s="3" t="str">
        <f t="shared" si="14"/>
        <v>792_22__vm_2</v>
      </c>
      <c r="AD1849" s="3" t="s">
        <v>37</v>
      </c>
    </row>
    <row r="1850" spans="1:30" ht="14">
      <c r="A1850" s="3">
        <v>1849</v>
      </c>
      <c r="B1850" s="23"/>
      <c r="C1850" s="23"/>
      <c r="D1850" s="23"/>
      <c r="E1850" s="23"/>
      <c r="F1850" s="23"/>
      <c r="G1850" s="23"/>
      <c r="H1850" s="23"/>
      <c r="I1850" s="22"/>
      <c r="J1850" s="23"/>
      <c r="K1850" s="23"/>
      <c r="L1850" s="23"/>
      <c r="M1850" s="32" t="s">
        <v>38</v>
      </c>
      <c r="N1850" s="33">
        <v>40</v>
      </c>
      <c r="O1850" s="33">
        <v>0</v>
      </c>
      <c r="P1850" s="33">
        <v>9</v>
      </c>
      <c r="Q1850" s="32"/>
      <c r="R1850" s="32">
        <v>2</v>
      </c>
      <c r="S1850" s="23"/>
      <c r="T1850" s="3">
        <v>0</v>
      </c>
      <c r="U1850" s="3">
        <v>1.908E-2</v>
      </c>
      <c r="V1850" s="3">
        <v>1.7659999999999999E-2</v>
      </c>
      <c r="W1850" s="3">
        <v>0</v>
      </c>
      <c r="X1850" s="3">
        <v>0</v>
      </c>
      <c r="Y1850" s="23"/>
      <c r="Z1850" s="23"/>
      <c r="AA1850" s="3" t="str">
        <f t="shared" si="15"/>
        <v>___</v>
      </c>
      <c r="AB1850" s="3" t="str">
        <f t="shared" si="14"/>
        <v>____</v>
      </c>
    </row>
    <row r="1851" spans="1:30" ht="14">
      <c r="A1851" s="3">
        <v>1850</v>
      </c>
      <c r="B1851" s="23"/>
      <c r="C1851" s="23"/>
      <c r="D1851" s="23"/>
      <c r="E1851" s="23"/>
      <c r="F1851" s="23"/>
      <c r="G1851" s="23"/>
      <c r="H1851" s="23"/>
      <c r="I1851" s="22"/>
      <c r="J1851" s="23"/>
      <c r="K1851" s="23"/>
      <c r="L1851" s="23"/>
      <c r="M1851" s="32" t="s">
        <v>39</v>
      </c>
      <c r="N1851" s="33">
        <v>38</v>
      </c>
      <c r="O1851" s="33">
        <v>0</v>
      </c>
      <c r="P1851" s="33">
        <v>9</v>
      </c>
      <c r="Q1851" s="32"/>
      <c r="R1851" s="32">
        <v>2</v>
      </c>
      <c r="S1851" s="23"/>
      <c r="T1851" s="3">
        <v>0</v>
      </c>
      <c r="U1851" s="3">
        <v>4.6620000000000002E-2</v>
      </c>
      <c r="V1851" s="3">
        <v>0.17332</v>
      </c>
      <c r="W1851" s="3">
        <v>0</v>
      </c>
      <c r="X1851" s="3">
        <v>0</v>
      </c>
      <c r="Y1851" s="23"/>
      <c r="Z1851" s="23"/>
      <c r="AA1851" s="3" t="str">
        <f t="shared" si="15"/>
        <v>___</v>
      </c>
      <c r="AB1851" s="3" t="str">
        <f t="shared" si="14"/>
        <v>____</v>
      </c>
    </row>
    <row r="1852" spans="1:30" ht="14">
      <c r="A1852" s="3">
        <v>1851</v>
      </c>
      <c r="B1852" s="23"/>
      <c r="C1852" s="32">
        <v>792</v>
      </c>
      <c r="D1852" s="32">
        <v>22</v>
      </c>
      <c r="E1852" s="23"/>
      <c r="F1852" s="23"/>
      <c r="G1852" s="23"/>
      <c r="H1852" s="32" t="s">
        <v>40</v>
      </c>
      <c r="I1852" s="33">
        <v>3</v>
      </c>
      <c r="J1852" s="32">
        <v>13.3</v>
      </c>
      <c r="K1852" s="32">
        <v>15.4</v>
      </c>
      <c r="L1852" s="32">
        <v>7</v>
      </c>
      <c r="M1852" s="32" t="s">
        <v>36</v>
      </c>
      <c r="N1852" s="33">
        <v>8</v>
      </c>
      <c r="O1852" s="33">
        <v>5</v>
      </c>
      <c r="P1852" s="33">
        <v>0</v>
      </c>
      <c r="Q1852" s="32"/>
      <c r="R1852" s="32">
        <v>0</v>
      </c>
      <c r="S1852" s="23"/>
      <c r="T1852" s="3">
        <v>5.5399999999999998E-3</v>
      </c>
      <c r="U1852" s="3">
        <v>2.5899999999999999E-3</v>
      </c>
      <c r="V1852" s="3">
        <v>0</v>
      </c>
      <c r="W1852" s="3">
        <v>0</v>
      </c>
      <c r="X1852" s="3">
        <v>0</v>
      </c>
      <c r="Y1852" s="23"/>
      <c r="Z1852" s="23"/>
      <c r="AA1852" s="3" t="str">
        <f t="shared" si="15"/>
        <v>792_22__vm</v>
      </c>
      <c r="AB1852" s="3" t="str">
        <f t="shared" si="14"/>
        <v>792_22__vm_3</v>
      </c>
      <c r="AD1852" s="3" t="s">
        <v>37</v>
      </c>
    </row>
    <row r="1853" spans="1:30" ht="14">
      <c r="A1853" s="3">
        <v>1852</v>
      </c>
      <c r="B1853" s="23"/>
      <c r="C1853" s="23"/>
      <c r="D1853" s="23"/>
      <c r="E1853" s="23"/>
      <c r="F1853" s="23"/>
      <c r="G1853" s="23"/>
      <c r="H1853" s="23"/>
      <c r="I1853" s="22"/>
      <c r="J1853" s="23"/>
      <c r="K1853" s="23"/>
      <c r="L1853" s="23"/>
      <c r="M1853" s="32" t="s">
        <v>38</v>
      </c>
      <c r="N1853" s="33">
        <v>51</v>
      </c>
      <c r="O1853" s="33">
        <v>0</v>
      </c>
      <c r="P1853" s="33">
        <v>7</v>
      </c>
      <c r="Q1853" s="32"/>
      <c r="R1853" s="32">
        <v>2</v>
      </c>
      <c r="S1853" s="23"/>
      <c r="T1853" s="3">
        <v>0</v>
      </c>
      <c r="U1853" s="3">
        <v>2.7810000000000001E-2</v>
      </c>
      <c r="V1853" s="3">
        <v>1.7000000000000001E-2</v>
      </c>
      <c r="W1853" s="3">
        <v>0</v>
      </c>
      <c r="X1853" s="3">
        <v>0</v>
      </c>
      <c r="Y1853" s="23"/>
      <c r="Z1853" s="23"/>
      <c r="AA1853" s="3" t="str">
        <f t="shared" si="15"/>
        <v>___</v>
      </c>
      <c r="AB1853" s="3" t="str">
        <f t="shared" si="14"/>
        <v>____</v>
      </c>
    </row>
    <row r="1854" spans="1:30" ht="14">
      <c r="A1854" s="3">
        <v>1853</v>
      </c>
      <c r="B1854" s="23"/>
      <c r="C1854" s="23"/>
      <c r="D1854" s="23"/>
      <c r="E1854" s="23"/>
      <c r="F1854" s="23"/>
      <c r="G1854" s="23"/>
      <c r="H1854" s="23"/>
      <c r="I1854" s="22"/>
      <c r="J1854" s="23"/>
      <c r="K1854" s="23"/>
      <c r="L1854" s="23"/>
      <c r="M1854" s="32" t="s">
        <v>39</v>
      </c>
      <c r="N1854" s="33">
        <v>24</v>
      </c>
      <c r="O1854" s="33">
        <v>0</v>
      </c>
      <c r="P1854" s="33">
        <v>6</v>
      </c>
      <c r="Q1854" s="32"/>
      <c r="R1854" s="32">
        <v>0</v>
      </c>
      <c r="S1854" s="23"/>
      <c r="T1854" s="3">
        <v>0</v>
      </c>
      <c r="U1854" s="3">
        <v>1.7350000000000001E-2</v>
      </c>
      <c r="V1854" s="3">
        <v>0</v>
      </c>
      <c r="W1854" s="3">
        <v>0</v>
      </c>
      <c r="Y1854" s="23"/>
      <c r="Z1854" s="23"/>
      <c r="AA1854" s="3" t="str">
        <f t="shared" si="15"/>
        <v>___</v>
      </c>
      <c r="AB1854" s="3" t="str">
        <f t="shared" si="14"/>
        <v>____</v>
      </c>
    </row>
    <row r="1855" spans="1:30" ht="14">
      <c r="A1855" s="3">
        <v>1854</v>
      </c>
      <c r="B1855" s="23"/>
      <c r="C1855" s="32">
        <v>792</v>
      </c>
      <c r="D1855" s="32">
        <v>22</v>
      </c>
      <c r="E1855" s="23"/>
      <c r="F1855" s="23"/>
      <c r="G1855" s="23"/>
      <c r="H1855" s="32" t="s">
        <v>35</v>
      </c>
      <c r="I1855" s="33">
        <v>1</v>
      </c>
      <c r="J1855" s="32">
        <v>6.7</v>
      </c>
      <c r="K1855" s="32">
        <v>7.2</v>
      </c>
      <c r="L1855" s="32">
        <v>3</v>
      </c>
      <c r="M1855" s="32" t="s">
        <v>36</v>
      </c>
      <c r="N1855" s="33">
        <v>18</v>
      </c>
      <c r="O1855" s="33">
        <v>6</v>
      </c>
      <c r="P1855" s="33">
        <v>8</v>
      </c>
      <c r="Q1855" s="32"/>
      <c r="R1855" s="32">
        <v>0</v>
      </c>
      <c r="S1855" s="23"/>
      <c r="T1855" s="3">
        <v>1.06E-2</v>
      </c>
      <c r="U1855" s="3">
        <v>2.3500000000000001E-3</v>
      </c>
      <c r="V1855" s="3">
        <v>0</v>
      </c>
      <c r="W1855" s="3">
        <v>0</v>
      </c>
      <c r="X1855" s="3">
        <v>0</v>
      </c>
      <c r="Y1855" s="23"/>
      <c r="Z1855" s="23"/>
      <c r="AA1855" s="3" t="str">
        <f t="shared" si="15"/>
        <v>792_22__vv</v>
      </c>
      <c r="AB1855" s="3" t="str">
        <f t="shared" si="14"/>
        <v>792_22__vv_1</v>
      </c>
      <c r="AD1855" s="3" t="s">
        <v>37</v>
      </c>
    </row>
    <row r="1856" spans="1:30" ht="14">
      <c r="A1856" s="3">
        <v>1855</v>
      </c>
      <c r="B1856" s="23"/>
      <c r="C1856" s="23"/>
      <c r="D1856" s="23"/>
      <c r="E1856" s="23"/>
      <c r="F1856" s="23"/>
      <c r="G1856" s="23"/>
      <c r="H1856" s="23"/>
      <c r="I1856" s="22"/>
      <c r="J1856" s="23"/>
      <c r="K1856" s="23"/>
      <c r="L1856" s="23"/>
      <c r="M1856" s="32" t="s">
        <v>38</v>
      </c>
      <c r="N1856" s="33">
        <v>44</v>
      </c>
      <c r="O1856" s="33">
        <v>2</v>
      </c>
      <c r="P1856" s="33">
        <v>11</v>
      </c>
      <c r="Q1856" s="32"/>
      <c r="R1856" s="32">
        <v>1</v>
      </c>
      <c r="S1856" s="23"/>
      <c r="T1856" s="3">
        <v>9.8099999999999993E-3</v>
      </c>
      <c r="U1856" s="3">
        <v>1.9529999999999999E-2</v>
      </c>
      <c r="V1856" s="3">
        <v>1.8259999999999998E-2</v>
      </c>
      <c r="W1856" s="3">
        <v>0</v>
      </c>
      <c r="X1856" s="3">
        <v>0</v>
      </c>
      <c r="Y1856" s="23"/>
      <c r="Z1856" s="23"/>
      <c r="AA1856" s="3" t="str">
        <f t="shared" si="15"/>
        <v>___</v>
      </c>
      <c r="AB1856" s="3" t="str">
        <f t="shared" si="14"/>
        <v>____</v>
      </c>
    </row>
    <row r="1857" spans="1:30" ht="14">
      <c r="A1857" s="3">
        <v>1856</v>
      </c>
      <c r="B1857" s="23"/>
      <c r="C1857" s="23"/>
      <c r="D1857" s="23"/>
      <c r="E1857" s="23"/>
      <c r="F1857" s="23"/>
      <c r="G1857" s="23"/>
      <c r="H1857" s="23"/>
      <c r="I1857" s="22"/>
      <c r="J1857" s="23"/>
      <c r="K1857" s="23"/>
      <c r="L1857" s="23"/>
      <c r="M1857" s="32" t="s">
        <v>39</v>
      </c>
      <c r="N1857" s="33">
        <v>19</v>
      </c>
      <c r="O1857" s="33">
        <v>0</v>
      </c>
      <c r="P1857" s="33">
        <v>2</v>
      </c>
      <c r="Q1857" s="32"/>
      <c r="R1857" s="32">
        <v>0</v>
      </c>
      <c r="S1857" s="23"/>
      <c r="T1857" s="3">
        <v>0</v>
      </c>
      <c r="U1857" s="3">
        <v>5.8599999999999998E-3</v>
      </c>
      <c r="V1857" s="3">
        <v>0</v>
      </c>
      <c r="W1857" s="3">
        <v>0</v>
      </c>
      <c r="X1857" s="3">
        <v>0</v>
      </c>
      <c r="Y1857" s="23"/>
      <c r="Z1857" s="23"/>
      <c r="AA1857" s="3" t="str">
        <f t="shared" si="15"/>
        <v>___</v>
      </c>
      <c r="AB1857" s="3" t="str">
        <f t="shared" si="14"/>
        <v>____</v>
      </c>
    </row>
    <row r="1858" spans="1:30" ht="14">
      <c r="A1858" s="3">
        <v>1857</v>
      </c>
      <c r="B1858" s="23"/>
      <c r="C1858" s="32">
        <v>792</v>
      </c>
      <c r="D1858" s="32">
        <v>22</v>
      </c>
      <c r="E1858" s="23"/>
      <c r="F1858" s="23"/>
      <c r="G1858" s="23"/>
      <c r="H1858" s="32" t="s">
        <v>35</v>
      </c>
      <c r="I1858" s="33">
        <v>2</v>
      </c>
      <c r="J1858" s="32">
        <v>10.9</v>
      </c>
      <c r="K1858" s="32">
        <v>10.7</v>
      </c>
      <c r="L1858" s="32">
        <v>5</v>
      </c>
      <c r="M1858" s="32" t="s">
        <v>36</v>
      </c>
      <c r="N1858" s="33">
        <v>17</v>
      </c>
      <c r="O1858" s="33">
        <v>8</v>
      </c>
      <c r="P1858" s="33">
        <v>10</v>
      </c>
      <c r="Q1858" s="32"/>
      <c r="R1858" s="32">
        <v>0</v>
      </c>
      <c r="S1858" s="23"/>
      <c r="T1858" s="3">
        <v>4.0829999999999998E-2</v>
      </c>
      <c r="U1858" s="3">
        <v>4.4200000000000003E-3</v>
      </c>
      <c r="V1858" s="3">
        <v>0</v>
      </c>
      <c r="W1858" s="3">
        <v>0</v>
      </c>
      <c r="X1858" s="3">
        <v>0</v>
      </c>
      <c r="Y1858" s="23"/>
      <c r="Z1858" s="23"/>
      <c r="AA1858" s="3" t="str">
        <f t="shared" si="15"/>
        <v>792_22__vv</v>
      </c>
      <c r="AB1858" s="3" t="str">
        <f t="shared" si="14"/>
        <v>792_22__vv_2</v>
      </c>
      <c r="AD1858" s="3" t="s">
        <v>37</v>
      </c>
    </row>
    <row r="1859" spans="1:30" ht="14">
      <c r="A1859" s="3">
        <v>1858</v>
      </c>
      <c r="B1859" s="23"/>
      <c r="C1859" s="23"/>
      <c r="D1859" s="23"/>
      <c r="E1859" s="23"/>
      <c r="F1859" s="23"/>
      <c r="G1859" s="23"/>
      <c r="H1859" s="23"/>
      <c r="I1859" s="22"/>
      <c r="J1859" s="23"/>
      <c r="K1859" s="23"/>
      <c r="L1859" s="23"/>
      <c r="M1859" s="32" t="s">
        <v>38</v>
      </c>
      <c r="N1859" s="33">
        <v>22</v>
      </c>
      <c r="O1859" s="33">
        <v>7</v>
      </c>
      <c r="P1859" s="33">
        <v>10</v>
      </c>
      <c r="Q1859" s="32"/>
      <c r="R1859" s="32">
        <v>0</v>
      </c>
      <c r="S1859" s="23"/>
      <c r="T1859" s="3">
        <v>5.2900000000000003E-2</v>
      </c>
      <c r="U1859" s="3">
        <v>8.77E-3</v>
      </c>
      <c r="V1859" s="3">
        <v>0</v>
      </c>
      <c r="W1859" s="3">
        <v>0</v>
      </c>
      <c r="X1859" s="3">
        <v>0</v>
      </c>
      <c r="Y1859" s="23"/>
      <c r="Z1859" s="23"/>
      <c r="AA1859" s="3" t="str">
        <f t="shared" si="15"/>
        <v>___</v>
      </c>
      <c r="AB1859" s="3" t="str">
        <f t="shared" si="14"/>
        <v>____</v>
      </c>
    </row>
    <row r="1860" spans="1:30" ht="14">
      <c r="A1860" s="3">
        <v>1859</v>
      </c>
      <c r="B1860" s="23"/>
      <c r="C1860" s="23"/>
      <c r="D1860" s="23"/>
      <c r="E1860" s="23"/>
      <c r="F1860" s="23"/>
      <c r="G1860" s="23"/>
      <c r="H1860" s="23"/>
      <c r="I1860" s="22"/>
      <c r="J1860" s="23"/>
      <c r="K1860" s="23"/>
      <c r="L1860" s="23"/>
      <c r="M1860" s="32" t="s">
        <v>39</v>
      </c>
      <c r="N1860" s="33">
        <v>19</v>
      </c>
      <c r="O1860" s="33">
        <v>7</v>
      </c>
      <c r="P1860" s="33">
        <v>10</v>
      </c>
      <c r="Q1860" s="32"/>
      <c r="R1860" s="32">
        <v>0</v>
      </c>
      <c r="S1860" s="23"/>
      <c r="T1860" s="3">
        <v>2.9440000000000001E-2</v>
      </c>
      <c r="U1860" s="3">
        <v>7.9000000000000008E-3</v>
      </c>
      <c r="V1860" s="3">
        <v>0</v>
      </c>
      <c r="W1860" s="3">
        <v>0</v>
      </c>
      <c r="Y1860" s="23"/>
      <c r="Z1860" s="23"/>
      <c r="AA1860" s="3" t="str">
        <f t="shared" si="15"/>
        <v>___</v>
      </c>
      <c r="AB1860" s="3" t="str">
        <f t="shared" si="14"/>
        <v>____</v>
      </c>
    </row>
    <row r="1861" spans="1:30" ht="14">
      <c r="A1861" s="3">
        <v>1860</v>
      </c>
      <c r="B1861" s="23"/>
      <c r="C1861" s="32">
        <v>792</v>
      </c>
      <c r="D1861" s="32">
        <v>22</v>
      </c>
      <c r="E1861" s="23"/>
      <c r="F1861" s="23"/>
      <c r="G1861" s="23"/>
      <c r="H1861" s="32" t="s">
        <v>35</v>
      </c>
      <c r="I1861" s="33">
        <v>3</v>
      </c>
      <c r="J1861" s="32">
        <v>7.3</v>
      </c>
      <c r="K1861" s="32">
        <v>9.1</v>
      </c>
      <c r="L1861" s="32">
        <v>4</v>
      </c>
      <c r="M1861" s="32" t="s">
        <v>36</v>
      </c>
      <c r="N1861" s="33">
        <v>25</v>
      </c>
      <c r="O1861" s="33">
        <v>7</v>
      </c>
      <c r="P1861" s="33">
        <v>7</v>
      </c>
      <c r="Q1861" s="32"/>
      <c r="R1861" s="32">
        <v>0</v>
      </c>
      <c r="S1861" s="23"/>
      <c r="T1861" s="3">
        <v>3.134E-2</v>
      </c>
      <c r="U1861" s="3">
        <v>5.3800000000000002E-3</v>
      </c>
      <c r="V1861" s="3">
        <v>0</v>
      </c>
      <c r="W1861" s="3">
        <v>0</v>
      </c>
      <c r="X1861" s="3">
        <v>0</v>
      </c>
      <c r="Y1861" s="23"/>
      <c r="Z1861" s="23"/>
      <c r="AA1861" s="3" t="str">
        <f t="shared" si="15"/>
        <v>792_22__vv</v>
      </c>
      <c r="AB1861" s="3" t="str">
        <f t="shared" si="14"/>
        <v>792_22__vv_3</v>
      </c>
      <c r="AD1861" s="3" t="s">
        <v>37</v>
      </c>
    </row>
    <row r="1862" spans="1:30" ht="14">
      <c r="A1862" s="3">
        <v>1861</v>
      </c>
      <c r="B1862" s="23"/>
      <c r="C1862" s="23"/>
      <c r="D1862" s="23"/>
      <c r="E1862" s="23"/>
      <c r="F1862" s="23"/>
      <c r="G1862" s="23"/>
      <c r="H1862" s="23"/>
      <c r="I1862" s="22"/>
      <c r="J1862" s="23"/>
      <c r="K1862" s="23"/>
      <c r="L1862" s="23"/>
      <c r="M1862" s="32" t="s">
        <v>38</v>
      </c>
      <c r="N1862" s="33">
        <v>26</v>
      </c>
      <c r="O1862" s="33">
        <v>9</v>
      </c>
      <c r="P1862" s="33">
        <v>10</v>
      </c>
      <c r="Q1862" s="32"/>
      <c r="R1862" s="32">
        <v>0</v>
      </c>
      <c r="S1862" s="23"/>
      <c r="T1862" s="3">
        <v>5.0439999999999999E-2</v>
      </c>
      <c r="U1862" s="3">
        <v>1.021E-2</v>
      </c>
      <c r="V1862" s="3">
        <v>0</v>
      </c>
      <c r="W1862" s="3">
        <v>0</v>
      </c>
      <c r="X1862" s="3">
        <v>0</v>
      </c>
      <c r="Y1862" s="23"/>
      <c r="Z1862" s="23"/>
      <c r="AA1862" s="3" t="str">
        <f t="shared" si="15"/>
        <v>___</v>
      </c>
      <c r="AB1862" s="3" t="str">
        <f t="shared" si="14"/>
        <v>____</v>
      </c>
    </row>
    <row r="1863" spans="1:30" ht="14">
      <c r="A1863" s="3">
        <v>1862</v>
      </c>
      <c r="B1863" s="23"/>
      <c r="C1863" s="23"/>
      <c r="D1863" s="23"/>
      <c r="E1863" s="23"/>
      <c r="F1863" s="23"/>
      <c r="G1863" s="23"/>
      <c r="H1863" s="23"/>
      <c r="I1863" s="22"/>
      <c r="J1863" s="23"/>
      <c r="K1863" s="23"/>
      <c r="L1863" s="23"/>
      <c r="M1863" s="32" t="s">
        <v>39</v>
      </c>
      <c r="N1863" s="33">
        <v>27</v>
      </c>
      <c r="O1863" s="33">
        <v>2</v>
      </c>
      <c r="P1863" s="33">
        <v>6</v>
      </c>
      <c r="Q1863" s="32"/>
      <c r="R1863" s="32">
        <v>0</v>
      </c>
      <c r="S1863" s="23"/>
      <c r="T1863" s="3">
        <v>7.0800000000000004E-3</v>
      </c>
      <c r="U1863" s="3">
        <v>1.406E-2</v>
      </c>
      <c r="V1863" s="3">
        <v>0</v>
      </c>
      <c r="W1863" s="3">
        <v>0</v>
      </c>
      <c r="X1863" s="3">
        <v>0</v>
      </c>
      <c r="Y1863" s="23"/>
      <c r="Z1863" s="23"/>
      <c r="AA1863" s="3" t="str">
        <f t="shared" si="15"/>
        <v>___</v>
      </c>
      <c r="AB1863" s="3" t="str">
        <f t="shared" si="14"/>
        <v>____</v>
      </c>
    </row>
    <row r="1864" spans="1:30" ht="14">
      <c r="A1864" s="3">
        <v>1863</v>
      </c>
      <c r="B1864" s="23"/>
      <c r="C1864" s="32">
        <v>1427</v>
      </c>
      <c r="D1864" s="32">
        <v>13</v>
      </c>
      <c r="E1864" s="23"/>
      <c r="F1864" s="23"/>
      <c r="G1864" s="23"/>
      <c r="H1864" s="32" t="s">
        <v>35</v>
      </c>
      <c r="I1864" s="33">
        <v>1</v>
      </c>
      <c r="J1864" s="32">
        <v>6.5</v>
      </c>
      <c r="K1864" s="32">
        <v>6.9</v>
      </c>
      <c r="L1864" s="32">
        <v>5</v>
      </c>
      <c r="M1864" s="32" t="s">
        <v>36</v>
      </c>
      <c r="N1864" s="33">
        <v>14</v>
      </c>
      <c r="O1864" s="33">
        <v>8</v>
      </c>
      <c r="P1864" s="33">
        <v>8</v>
      </c>
      <c r="Q1864" s="32"/>
      <c r="R1864" s="32">
        <v>0</v>
      </c>
      <c r="S1864" s="23"/>
      <c r="T1864" s="3">
        <v>2.9770000000000001E-2</v>
      </c>
      <c r="U1864" s="3">
        <v>2.0899999999999998E-3</v>
      </c>
      <c r="V1864" s="3">
        <v>0</v>
      </c>
      <c r="W1864" s="3">
        <v>0</v>
      </c>
      <c r="X1864" s="3">
        <v>0</v>
      </c>
      <c r="Y1864" s="23"/>
      <c r="Z1864" s="23"/>
      <c r="AA1864" s="3" t="str">
        <f t="shared" si="15"/>
        <v>1427_13__vv</v>
      </c>
      <c r="AB1864" s="3" t="str">
        <f t="shared" si="14"/>
        <v>1427_13__vv_1</v>
      </c>
      <c r="AD1864" s="3" t="s">
        <v>37</v>
      </c>
    </row>
    <row r="1865" spans="1:30" ht="14">
      <c r="A1865" s="3">
        <v>1864</v>
      </c>
      <c r="B1865" s="23"/>
      <c r="C1865" s="23"/>
      <c r="D1865" s="23"/>
      <c r="E1865" s="23"/>
      <c r="F1865" s="23"/>
      <c r="G1865" s="23"/>
      <c r="H1865" s="23"/>
      <c r="I1865" s="22"/>
      <c r="J1865" s="23"/>
      <c r="K1865" s="23"/>
      <c r="L1865" s="23"/>
      <c r="M1865" s="32" t="s">
        <v>38</v>
      </c>
      <c r="N1865" s="33">
        <v>16</v>
      </c>
      <c r="O1865" s="33">
        <v>5</v>
      </c>
      <c r="P1865" s="33">
        <v>10</v>
      </c>
      <c r="Q1865" s="32"/>
      <c r="R1865" s="32">
        <v>0</v>
      </c>
      <c r="S1865" s="23"/>
      <c r="T1865" s="3">
        <v>2.3539999999999998E-2</v>
      </c>
      <c r="U1865" s="3">
        <v>4.6299999999999996E-3</v>
      </c>
      <c r="V1865" s="3">
        <v>0</v>
      </c>
      <c r="W1865" s="3">
        <v>0</v>
      </c>
      <c r="X1865" s="3">
        <v>0</v>
      </c>
      <c r="Y1865" s="23"/>
      <c r="Z1865" s="23"/>
      <c r="AA1865" s="3" t="str">
        <f t="shared" si="15"/>
        <v>___</v>
      </c>
      <c r="AB1865" s="3" t="str">
        <f t="shared" si="14"/>
        <v>____</v>
      </c>
    </row>
    <row r="1866" spans="1:30" ht="14">
      <c r="A1866" s="3">
        <v>1865</v>
      </c>
      <c r="B1866" s="23"/>
      <c r="C1866" s="23"/>
      <c r="D1866" s="23"/>
      <c r="E1866" s="23"/>
      <c r="F1866" s="23"/>
      <c r="G1866" s="23"/>
      <c r="H1866" s="23"/>
      <c r="I1866" s="22"/>
      <c r="J1866" s="23"/>
      <c r="K1866" s="23"/>
      <c r="L1866" s="23"/>
      <c r="M1866" s="32" t="s">
        <v>39</v>
      </c>
      <c r="N1866" s="33">
        <v>9</v>
      </c>
      <c r="O1866" s="33">
        <v>2</v>
      </c>
      <c r="P1866" s="33">
        <v>6</v>
      </c>
      <c r="Q1866" s="32"/>
      <c r="R1866" s="32">
        <v>0</v>
      </c>
      <c r="S1866" s="23"/>
      <c r="T1866" s="3">
        <v>5.8300000000000001E-3</v>
      </c>
      <c r="U1866" s="3">
        <v>3.5000000000000001E-3</v>
      </c>
      <c r="V1866" s="3">
        <v>0</v>
      </c>
      <c r="W1866" s="3">
        <v>0</v>
      </c>
      <c r="X1866" s="3">
        <v>0</v>
      </c>
      <c r="Y1866" s="23"/>
      <c r="Z1866" s="23"/>
      <c r="AA1866" s="3" t="str">
        <f t="shared" si="15"/>
        <v>___</v>
      </c>
      <c r="AB1866" s="3" t="str">
        <f t="shared" si="14"/>
        <v>____</v>
      </c>
    </row>
    <row r="1867" spans="1:30" ht="14">
      <c r="A1867" s="3">
        <v>1866</v>
      </c>
      <c r="B1867" s="23"/>
      <c r="C1867" s="32">
        <v>1427</v>
      </c>
      <c r="D1867" s="32">
        <v>13</v>
      </c>
      <c r="E1867" s="23"/>
      <c r="F1867" s="23"/>
      <c r="G1867" s="23"/>
      <c r="H1867" s="32" t="s">
        <v>35</v>
      </c>
      <c r="I1867" s="33">
        <v>2</v>
      </c>
      <c r="J1867" s="32">
        <v>8</v>
      </c>
      <c r="K1867" s="32">
        <v>13.9</v>
      </c>
      <c r="L1867" s="32">
        <v>6</v>
      </c>
      <c r="M1867" s="32" t="s">
        <v>36</v>
      </c>
      <c r="N1867" s="33">
        <v>32</v>
      </c>
      <c r="O1867" s="33">
        <v>10</v>
      </c>
      <c r="P1867" s="33">
        <v>12</v>
      </c>
      <c r="Q1867" s="32"/>
      <c r="R1867" s="32">
        <v>0</v>
      </c>
      <c r="S1867" s="23"/>
      <c r="T1867" s="3">
        <v>6.9180000000000005E-2</v>
      </c>
      <c r="U1867" s="3">
        <v>8.3300000000000006E-3</v>
      </c>
      <c r="V1867" s="3">
        <v>0</v>
      </c>
      <c r="W1867" s="3">
        <v>0</v>
      </c>
      <c r="X1867" s="3">
        <v>0</v>
      </c>
      <c r="Y1867" s="23"/>
      <c r="Z1867" s="23"/>
      <c r="AA1867" s="3" t="str">
        <f t="shared" si="15"/>
        <v>1427_13__vv</v>
      </c>
      <c r="AB1867" s="3" t="str">
        <f t="shared" si="14"/>
        <v>1427_13__vv_2</v>
      </c>
      <c r="AD1867" s="3" t="s">
        <v>37</v>
      </c>
    </row>
    <row r="1868" spans="1:30" ht="14">
      <c r="A1868" s="3">
        <v>1867</v>
      </c>
      <c r="B1868" s="23"/>
      <c r="C1868" s="23"/>
      <c r="D1868" s="23"/>
      <c r="E1868" s="23"/>
      <c r="F1868" s="23"/>
      <c r="G1868" s="23"/>
      <c r="H1868" s="23"/>
      <c r="I1868" s="22"/>
      <c r="J1868" s="23"/>
      <c r="K1868" s="23"/>
      <c r="L1868" s="23"/>
      <c r="M1868" s="32" t="s">
        <v>38</v>
      </c>
      <c r="N1868" s="33">
        <v>43</v>
      </c>
      <c r="O1868" s="33">
        <v>8</v>
      </c>
      <c r="P1868" s="33">
        <v>12</v>
      </c>
      <c r="Q1868" s="32"/>
      <c r="R1868" s="32">
        <v>0</v>
      </c>
      <c r="S1868" s="23"/>
      <c r="T1868" s="3">
        <v>6.6680000000000003E-2</v>
      </c>
      <c r="U1868" s="3">
        <v>2.138E-2</v>
      </c>
      <c r="V1868" s="3">
        <v>0</v>
      </c>
      <c r="W1868" s="3">
        <v>0</v>
      </c>
      <c r="X1868" s="3">
        <v>0</v>
      </c>
      <c r="Y1868" s="32" t="s">
        <v>248</v>
      </c>
      <c r="Z1868" s="23"/>
      <c r="AA1868" s="3" t="str">
        <f t="shared" si="15"/>
        <v>___</v>
      </c>
      <c r="AB1868" s="3" t="str">
        <f t="shared" si="14"/>
        <v>____</v>
      </c>
    </row>
    <row r="1869" spans="1:30" ht="14">
      <c r="A1869" s="3">
        <v>1868</v>
      </c>
      <c r="B1869" s="23"/>
      <c r="C1869" s="23"/>
      <c r="D1869" s="23"/>
      <c r="E1869" s="23"/>
      <c r="F1869" s="23"/>
      <c r="G1869" s="23"/>
      <c r="H1869" s="23"/>
      <c r="I1869" s="22"/>
      <c r="J1869" s="23"/>
      <c r="K1869" s="23"/>
      <c r="L1869" s="23"/>
      <c r="M1869" s="32" t="s">
        <v>39</v>
      </c>
      <c r="N1869" s="33">
        <v>15</v>
      </c>
      <c r="O1869" s="33">
        <v>0</v>
      </c>
      <c r="P1869" s="33">
        <v>7</v>
      </c>
      <c r="Q1869" s="32"/>
      <c r="R1869" s="32">
        <v>1</v>
      </c>
      <c r="S1869" s="23"/>
      <c r="T1869" s="3">
        <v>0</v>
      </c>
      <c r="U1869" s="3">
        <v>1.409E-2</v>
      </c>
      <c r="V1869" s="3">
        <v>9.4380000000000006E-2</v>
      </c>
      <c r="W1869" s="3">
        <v>0</v>
      </c>
      <c r="X1869" s="3">
        <v>0</v>
      </c>
      <c r="Y1869" s="23"/>
      <c r="Z1869" s="23"/>
      <c r="AA1869" s="3" t="str">
        <f t="shared" si="15"/>
        <v>___</v>
      </c>
      <c r="AB1869" s="3" t="str">
        <f t="shared" si="14"/>
        <v>____</v>
      </c>
    </row>
    <row r="1870" spans="1:30" ht="14">
      <c r="A1870" s="3">
        <v>1869</v>
      </c>
      <c r="B1870" s="23"/>
      <c r="C1870" s="32">
        <v>1427</v>
      </c>
      <c r="D1870" s="32">
        <v>13</v>
      </c>
      <c r="E1870" s="23"/>
      <c r="F1870" s="23"/>
      <c r="G1870" s="23"/>
      <c r="H1870" s="32" t="s">
        <v>35</v>
      </c>
      <c r="I1870" s="33">
        <v>3</v>
      </c>
      <c r="J1870" s="32">
        <v>7.1</v>
      </c>
      <c r="K1870" s="32">
        <v>12.1</v>
      </c>
      <c r="L1870" s="32">
        <v>3</v>
      </c>
      <c r="M1870" s="32" t="s">
        <v>36</v>
      </c>
      <c r="N1870" s="33">
        <v>11</v>
      </c>
      <c r="O1870" s="33">
        <v>9</v>
      </c>
      <c r="P1870" s="33">
        <v>10</v>
      </c>
      <c r="Q1870" s="32"/>
      <c r="R1870" s="32">
        <v>0</v>
      </c>
      <c r="S1870" s="23"/>
      <c r="T1870" s="3">
        <v>2.2429999999999999E-2</v>
      </c>
      <c r="U1870" s="3">
        <v>2.0600000000000002E-3</v>
      </c>
      <c r="V1870" s="3">
        <v>0</v>
      </c>
      <c r="W1870" s="3">
        <v>0</v>
      </c>
      <c r="X1870" s="3">
        <v>0</v>
      </c>
      <c r="Y1870" s="23"/>
      <c r="Z1870" s="23"/>
      <c r="AA1870" s="3" t="str">
        <f t="shared" si="15"/>
        <v>1427_13__vv</v>
      </c>
      <c r="AB1870" s="3" t="str">
        <f t="shared" si="14"/>
        <v>1427_13__vv_3</v>
      </c>
      <c r="AD1870" s="3" t="s">
        <v>37</v>
      </c>
    </row>
    <row r="1871" spans="1:30" ht="14">
      <c r="A1871" s="3">
        <v>1870</v>
      </c>
      <c r="B1871" s="23"/>
      <c r="C1871" s="23"/>
      <c r="D1871" s="23"/>
      <c r="E1871" s="23"/>
      <c r="F1871" s="23"/>
      <c r="G1871" s="23"/>
      <c r="H1871" s="23"/>
      <c r="I1871" s="22"/>
      <c r="J1871" s="23"/>
      <c r="K1871" s="23"/>
      <c r="L1871" s="23"/>
      <c r="M1871" s="32" t="s">
        <v>38</v>
      </c>
      <c r="N1871" s="33">
        <v>22</v>
      </c>
      <c r="O1871" s="33">
        <v>10</v>
      </c>
      <c r="P1871" s="33">
        <v>14</v>
      </c>
      <c r="Q1871" s="32"/>
      <c r="R1871" s="32">
        <v>0</v>
      </c>
      <c r="S1871" s="23"/>
      <c r="T1871" s="3">
        <v>5.7829999999999999E-2</v>
      </c>
      <c r="U1871" s="3">
        <v>9.3500000000000007E-3</v>
      </c>
      <c r="V1871" s="3">
        <v>0</v>
      </c>
      <c r="W1871" s="3">
        <v>0</v>
      </c>
      <c r="X1871" s="3">
        <v>0</v>
      </c>
      <c r="Y1871" s="23"/>
      <c r="Z1871" s="23"/>
      <c r="AA1871" s="3" t="str">
        <f t="shared" si="15"/>
        <v>___</v>
      </c>
      <c r="AB1871" s="3" t="str">
        <f t="shared" si="14"/>
        <v>____</v>
      </c>
    </row>
    <row r="1872" spans="1:30" ht="14">
      <c r="A1872" s="3">
        <v>1871</v>
      </c>
      <c r="B1872" s="23"/>
      <c r="C1872" s="23"/>
      <c r="D1872" s="23"/>
      <c r="E1872" s="23"/>
      <c r="F1872" s="23"/>
      <c r="G1872" s="23"/>
      <c r="H1872" s="23"/>
      <c r="I1872" s="22"/>
      <c r="J1872" s="23"/>
      <c r="K1872" s="23"/>
      <c r="L1872" s="23"/>
      <c r="M1872" s="32" t="s">
        <v>39</v>
      </c>
      <c r="N1872" s="33">
        <v>87</v>
      </c>
      <c r="O1872" s="33">
        <v>5</v>
      </c>
      <c r="P1872" s="33">
        <v>16</v>
      </c>
      <c r="Q1872" s="32"/>
      <c r="R1872" s="32">
        <v>0</v>
      </c>
      <c r="S1872" s="23"/>
      <c r="T1872" s="3">
        <v>3.8490000000000003E-2</v>
      </c>
      <c r="U1872" s="3">
        <v>3.6580000000000001E-2</v>
      </c>
      <c r="V1872" s="3">
        <v>0</v>
      </c>
      <c r="W1872" s="3">
        <v>0</v>
      </c>
      <c r="X1872" s="3">
        <v>0</v>
      </c>
      <c r="Y1872" s="23"/>
      <c r="Z1872" s="23"/>
      <c r="AA1872" s="3" t="str">
        <f t="shared" si="15"/>
        <v>___</v>
      </c>
      <c r="AB1872" s="3" t="str">
        <f t="shared" si="14"/>
        <v>____</v>
      </c>
    </row>
    <row r="1873" spans="1:30" ht="14">
      <c r="A1873" s="3">
        <v>1872</v>
      </c>
      <c r="B1873" s="23"/>
      <c r="C1873" s="32">
        <v>1427</v>
      </c>
      <c r="D1873" s="32">
        <v>13</v>
      </c>
      <c r="E1873" s="23"/>
      <c r="F1873" s="23"/>
      <c r="G1873" s="23"/>
      <c r="H1873" s="32" t="s">
        <v>40</v>
      </c>
      <c r="I1873" s="33">
        <v>1</v>
      </c>
      <c r="J1873" s="32">
        <v>7.5</v>
      </c>
      <c r="K1873" s="32">
        <v>8.1999999999999993</v>
      </c>
      <c r="L1873" s="32">
        <v>4</v>
      </c>
      <c r="M1873" s="32" t="s">
        <v>36</v>
      </c>
      <c r="N1873" s="33">
        <v>16</v>
      </c>
      <c r="O1873" s="33">
        <v>5</v>
      </c>
      <c r="P1873" s="33">
        <v>6</v>
      </c>
      <c r="Q1873" s="32"/>
      <c r="R1873" s="32">
        <v>0</v>
      </c>
      <c r="S1873" s="23"/>
      <c r="T1873" s="3">
        <v>9.9100000000000004E-3</v>
      </c>
      <c r="U1873" s="3">
        <v>4.28E-3</v>
      </c>
      <c r="V1873" s="3">
        <v>0</v>
      </c>
      <c r="W1873" s="3">
        <v>0</v>
      </c>
      <c r="X1873" s="3">
        <v>0</v>
      </c>
      <c r="Y1873" s="23"/>
      <c r="Z1873" s="23"/>
      <c r="AA1873" s="3" t="str">
        <f t="shared" si="15"/>
        <v>1427_13__vm</v>
      </c>
      <c r="AB1873" s="3" t="str">
        <f t="shared" si="14"/>
        <v>1427_13__vm_1</v>
      </c>
      <c r="AD1873" s="3" t="s">
        <v>37</v>
      </c>
    </row>
    <row r="1874" spans="1:30" ht="14">
      <c r="A1874" s="3">
        <v>1873</v>
      </c>
      <c r="B1874" s="23"/>
      <c r="C1874" s="23"/>
      <c r="D1874" s="23"/>
      <c r="E1874" s="23"/>
      <c r="F1874" s="23"/>
      <c r="G1874" s="23"/>
      <c r="H1874" s="23"/>
      <c r="I1874" s="22"/>
      <c r="J1874" s="23"/>
      <c r="K1874" s="23"/>
      <c r="L1874" s="23"/>
      <c r="M1874" s="32" t="s">
        <v>38</v>
      </c>
      <c r="N1874" s="33">
        <v>26</v>
      </c>
      <c r="O1874" s="33">
        <v>0</v>
      </c>
      <c r="P1874" s="33">
        <v>7</v>
      </c>
      <c r="Q1874" s="32"/>
      <c r="R1874" s="32">
        <v>1</v>
      </c>
      <c r="S1874" s="23"/>
      <c r="T1874" s="3">
        <v>0</v>
      </c>
      <c r="U1874" s="3">
        <v>1.1610000000000001E-2</v>
      </c>
      <c r="V1874" s="3">
        <v>8.7200000000000003E-3</v>
      </c>
      <c r="W1874" s="3">
        <v>0</v>
      </c>
      <c r="X1874" s="3">
        <v>0</v>
      </c>
      <c r="Y1874" s="23"/>
      <c r="Z1874" s="23"/>
      <c r="AA1874" s="3" t="str">
        <f t="shared" si="15"/>
        <v>___</v>
      </c>
      <c r="AB1874" s="3" t="str">
        <f t="shared" si="14"/>
        <v>____</v>
      </c>
    </row>
    <row r="1875" spans="1:30" ht="14">
      <c r="A1875" s="3">
        <v>1874</v>
      </c>
      <c r="B1875" s="23"/>
      <c r="C1875" s="23"/>
      <c r="D1875" s="23"/>
      <c r="E1875" s="23"/>
      <c r="F1875" s="23"/>
      <c r="G1875" s="23"/>
      <c r="H1875" s="23"/>
      <c r="I1875" s="22"/>
      <c r="J1875" s="23"/>
      <c r="K1875" s="23"/>
      <c r="L1875" s="23"/>
      <c r="M1875" s="32" t="s">
        <v>39</v>
      </c>
      <c r="N1875" s="33">
        <v>36</v>
      </c>
      <c r="O1875" s="33">
        <v>0</v>
      </c>
      <c r="P1875" s="33">
        <v>15</v>
      </c>
      <c r="Q1875" s="32"/>
      <c r="R1875" s="32">
        <v>2</v>
      </c>
      <c r="S1875" s="23"/>
      <c r="T1875" s="3">
        <v>0</v>
      </c>
      <c r="U1875" s="3">
        <v>3.3930000000000002E-2</v>
      </c>
      <c r="V1875" s="3">
        <v>4.7730000000000002E-2</v>
      </c>
      <c r="W1875" s="3">
        <v>0</v>
      </c>
      <c r="X1875" s="3">
        <v>0</v>
      </c>
      <c r="Y1875" s="23"/>
      <c r="Z1875" s="23"/>
      <c r="AA1875" s="3" t="str">
        <f t="shared" si="15"/>
        <v>___</v>
      </c>
      <c r="AB1875" s="3" t="str">
        <f t="shared" si="14"/>
        <v>____</v>
      </c>
    </row>
    <row r="1876" spans="1:30" ht="14">
      <c r="A1876" s="3">
        <v>1875</v>
      </c>
      <c r="B1876" s="23"/>
      <c r="C1876" s="32">
        <v>1427</v>
      </c>
      <c r="D1876" s="32">
        <v>13</v>
      </c>
      <c r="E1876" s="23"/>
      <c r="F1876" s="23"/>
      <c r="G1876" s="23"/>
      <c r="H1876" s="32" t="s">
        <v>40</v>
      </c>
      <c r="I1876" s="33">
        <v>2</v>
      </c>
      <c r="J1876" s="32">
        <v>7.7</v>
      </c>
      <c r="K1876" s="32">
        <v>8.6999999999999993</v>
      </c>
      <c r="L1876" s="32">
        <v>7</v>
      </c>
      <c r="M1876" s="32" t="s">
        <v>36</v>
      </c>
      <c r="N1876" s="33">
        <v>14</v>
      </c>
      <c r="O1876" s="33">
        <v>5</v>
      </c>
      <c r="P1876" s="33">
        <v>5</v>
      </c>
      <c r="Q1876" s="32"/>
      <c r="R1876" s="32">
        <v>0</v>
      </c>
      <c r="S1876" s="23"/>
      <c r="T1876" s="3">
        <v>9.1699999999999993E-3</v>
      </c>
      <c r="U1876" s="3">
        <v>3.0100000000000001E-3</v>
      </c>
      <c r="V1876" s="3">
        <v>0</v>
      </c>
      <c r="W1876" s="3">
        <v>0</v>
      </c>
      <c r="X1876" s="3">
        <v>0</v>
      </c>
      <c r="Y1876" s="23"/>
      <c r="Z1876" s="23"/>
      <c r="AA1876" s="3" t="str">
        <f t="shared" si="15"/>
        <v>1427_13__vm</v>
      </c>
      <c r="AB1876" s="3" t="str">
        <f t="shared" si="14"/>
        <v>1427_13__vm_2</v>
      </c>
      <c r="AD1876" s="3" t="s">
        <v>37</v>
      </c>
    </row>
    <row r="1877" spans="1:30" ht="14">
      <c r="A1877" s="3">
        <v>1876</v>
      </c>
      <c r="B1877" s="23"/>
      <c r="C1877" s="23"/>
      <c r="D1877" s="23"/>
      <c r="E1877" s="23"/>
      <c r="F1877" s="23"/>
      <c r="G1877" s="23"/>
      <c r="H1877" s="23"/>
      <c r="I1877" s="22"/>
      <c r="J1877" s="23"/>
      <c r="K1877" s="23"/>
      <c r="L1877" s="23"/>
      <c r="M1877" s="32" t="s">
        <v>38</v>
      </c>
      <c r="N1877" s="33">
        <v>11</v>
      </c>
      <c r="O1877" s="33">
        <v>0</v>
      </c>
      <c r="P1877" s="33">
        <v>4</v>
      </c>
      <c r="Q1877" s="32"/>
      <c r="R1877" s="32">
        <v>1</v>
      </c>
      <c r="S1877" s="23"/>
      <c r="T1877" s="3">
        <v>0</v>
      </c>
      <c r="U1877" s="3">
        <v>3.3600000000000001E-3</v>
      </c>
      <c r="V1877" s="3">
        <v>3.7499999999999999E-3</v>
      </c>
      <c r="W1877" s="3">
        <v>0</v>
      </c>
      <c r="X1877" s="3">
        <v>0</v>
      </c>
      <c r="Y1877" s="23"/>
      <c r="Z1877" s="23"/>
      <c r="AA1877" s="3" t="str">
        <f t="shared" si="15"/>
        <v>___</v>
      </c>
      <c r="AB1877" s="3" t="str">
        <f t="shared" si="14"/>
        <v>____</v>
      </c>
    </row>
    <row r="1878" spans="1:30" ht="14">
      <c r="A1878" s="3">
        <v>1877</v>
      </c>
      <c r="B1878" s="23"/>
      <c r="C1878" s="23"/>
      <c r="D1878" s="23"/>
      <c r="E1878" s="23"/>
      <c r="F1878" s="23"/>
      <c r="G1878" s="23"/>
      <c r="H1878" s="23"/>
      <c r="I1878" s="22"/>
      <c r="J1878" s="23"/>
      <c r="K1878" s="23"/>
      <c r="L1878" s="23"/>
      <c r="M1878" s="32" t="s">
        <v>39</v>
      </c>
      <c r="N1878" s="33">
        <v>16</v>
      </c>
      <c r="O1878" s="33">
        <v>0</v>
      </c>
      <c r="P1878" s="33">
        <v>6</v>
      </c>
      <c r="Q1878" s="32"/>
      <c r="R1878" s="32">
        <v>1</v>
      </c>
      <c r="S1878" s="23"/>
      <c r="T1878" s="3">
        <v>0</v>
      </c>
      <c r="U1878" s="3">
        <v>7.1700000000000002E-3</v>
      </c>
      <c r="V1878" s="3">
        <v>9.4000000000000004E-3</v>
      </c>
      <c r="W1878" s="3">
        <v>0</v>
      </c>
      <c r="X1878" s="3">
        <v>0</v>
      </c>
      <c r="Y1878" s="23"/>
      <c r="Z1878" s="23"/>
      <c r="AA1878" s="3" t="str">
        <f t="shared" si="15"/>
        <v>___</v>
      </c>
      <c r="AB1878" s="3" t="str">
        <f t="shared" si="14"/>
        <v>____</v>
      </c>
    </row>
    <row r="1879" spans="1:30" ht="14">
      <c r="A1879" s="3">
        <v>1878</v>
      </c>
      <c r="B1879" s="23"/>
      <c r="C1879" s="32">
        <v>1427</v>
      </c>
      <c r="D1879" s="32">
        <v>13</v>
      </c>
      <c r="E1879" s="23"/>
      <c r="F1879" s="23"/>
      <c r="G1879" s="23"/>
      <c r="H1879" s="32" t="s">
        <v>40</v>
      </c>
      <c r="I1879" s="33">
        <v>3</v>
      </c>
      <c r="J1879" s="32">
        <v>10.4</v>
      </c>
      <c r="K1879" s="32">
        <v>11.3</v>
      </c>
      <c r="L1879" s="32">
        <v>6</v>
      </c>
      <c r="M1879" s="32" t="s">
        <v>36</v>
      </c>
      <c r="N1879" s="33">
        <v>17</v>
      </c>
      <c r="O1879" s="33">
        <v>6</v>
      </c>
      <c r="P1879" s="33">
        <v>6</v>
      </c>
      <c r="Q1879" s="32"/>
      <c r="R1879" s="32">
        <v>0</v>
      </c>
      <c r="S1879" s="23"/>
      <c r="T1879" s="3">
        <v>1.242E-2</v>
      </c>
      <c r="U1879" s="3">
        <v>4.8500000000000001E-3</v>
      </c>
      <c r="V1879" s="3">
        <v>0</v>
      </c>
      <c r="W1879" s="3">
        <v>0</v>
      </c>
      <c r="X1879" s="3">
        <v>0</v>
      </c>
      <c r="Y1879" s="23"/>
      <c r="Z1879" s="23"/>
      <c r="AA1879" s="3" t="str">
        <f t="shared" si="15"/>
        <v>1427_13__vm</v>
      </c>
      <c r="AB1879" s="3" t="str">
        <f t="shared" si="14"/>
        <v>1427_13__vm_3</v>
      </c>
      <c r="AD1879" s="3" t="s">
        <v>37</v>
      </c>
    </row>
    <row r="1880" spans="1:30" ht="14">
      <c r="A1880" s="3">
        <v>1879</v>
      </c>
      <c r="B1880" s="23"/>
      <c r="C1880" s="23"/>
      <c r="D1880" s="23"/>
      <c r="E1880" s="23"/>
      <c r="F1880" s="23"/>
      <c r="G1880" s="23"/>
      <c r="H1880" s="23"/>
      <c r="I1880" s="22"/>
      <c r="J1880" s="23"/>
      <c r="K1880" s="23"/>
      <c r="L1880" s="23"/>
      <c r="M1880" s="32" t="s">
        <v>38</v>
      </c>
      <c r="N1880" s="33">
        <v>32</v>
      </c>
      <c r="O1880" s="33">
        <v>0</v>
      </c>
      <c r="P1880" s="33">
        <v>6</v>
      </c>
      <c r="Q1880" s="32"/>
      <c r="R1880" s="32">
        <v>2</v>
      </c>
      <c r="S1880" s="23"/>
      <c r="T1880" s="3">
        <v>0</v>
      </c>
      <c r="U1880" s="3">
        <v>1.8200000000000001E-2</v>
      </c>
      <c r="V1880" s="3">
        <v>2.6239999999999999E-2</v>
      </c>
      <c r="W1880" s="3">
        <v>0</v>
      </c>
      <c r="X1880" s="3">
        <v>0</v>
      </c>
      <c r="Y1880" s="23"/>
      <c r="Z1880" s="23"/>
      <c r="AA1880" s="3" t="str">
        <f t="shared" si="15"/>
        <v>___</v>
      </c>
      <c r="AB1880" s="3" t="str">
        <f t="shared" si="14"/>
        <v>____</v>
      </c>
    </row>
    <row r="1881" spans="1:30" ht="14">
      <c r="A1881" s="3">
        <v>1880</v>
      </c>
      <c r="B1881" s="23"/>
      <c r="C1881" s="23"/>
      <c r="D1881" s="23"/>
      <c r="E1881" s="23"/>
      <c r="F1881" s="23"/>
      <c r="G1881" s="23"/>
      <c r="H1881" s="23"/>
      <c r="I1881" s="22"/>
      <c r="J1881" s="23"/>
      <c r="K1881" s="23"/>
      <c r="L1881" s="23"/>
      <c r="M1881" s="32" t="s">
        <v>39</v>
      </c>
      <c r="N1881" s="33">
        <v>18</v>
      </c>
      <c r="O1881" s="33">
        <v>0</v>
      </c>
      <c r="P1881" s="33">
        <v>6</v>
      </c>
      <c r="Q1881" s="32"/>
      <c r="R1881" s="32">
        <v>1</v>
      </c>
      <c r="S1881" s="23"/>
      <c r="T1881" s="3">
        <v>0</v>
      </c>
      <c r="U1881" s="3">
        <v>1.434E-2</v>
      </c>
      <c r="V1881" s="3">
        <v>2.019E-2</v>
      </c>
      <c r="W1881" s="3">
        <v>0</v>
      </c>
      <c r="X1881" s="3">
        <v>0</v>
      </c>
      <c r="Y1881" s="23"/>
      <c r="Z1881" s="23"/>
      <c r="AA1881" s="3" t="str">
        <f t="shared" si="15"/>
        <v>___</v>
      </c>
      <c r="AB1881" s="3" t="str">
        <f t="shared" si="14"/>
        <v>____</v>
      </c>
    </row>
    <row r="1882" spans="1:30" ht="14">
      <c r="A1882" s="3">
        <v>1881</v>
      </c>
      <c r="B1882" s="23"/>
      <c r="C1882" s="32">
        <v>905</v>
      </c>
      <c r="D1882" s="32">
        <v>44</v>
      </c>
      <c r="E1882" s="23"/>
      <c r="F1882" s="23"/>
      <c r="G1882" s="23"/>
      <c r="H1882" s="32" t="s">
        <v>35</v>
      </c>
      <c r="I1882" s="33">
        <v>1</v>
      </c>
      <c r="J1882" s="32">
        <v>14.7</v>
      </c>
      <c r="K1882" s="32">
        <v>20.7</v>
      </c>
      <c r="L1882" s="32">
        <v>7</v>
      </c>
      <c r="M1882" s="32" t="s">
        <v>36</v>
      </c>
      <c r="N1882" s="33">
        <v>30</v>
      </c>
      <c r="O1882" s="33">
        <v>11</v>
      </c>
      <c r="P1882" s="33">
        <v>11</v>
      </c>
      <c r="Q1882" s="32"/>
      <c r="R1882" s="32">
        <v>0</v>
      </c>
      <c r="S1882" s="23"/>
      <c r="T1882" s="3">
        <v>9.92E-3</v>
      </c>
      <c r="U1882" s="3">
        <v>9.92E-3</v>
      </c>
      <c r="V1882" s="3">
        <v>0</v>
      </c>
      <c r="W1882" s="3">
        <v>0</v>
      </c>
      <c r="X1882" s="3">
        <v>0</v>
      </c>
      <c r="Y1882" s="23"/>
      <c r="Z1882" s="23"/>
      <c r="AA1882" s="3" t="str">
        <f t="shared" si="15"/>
        <v>905_44__vv</v>
      </c>
      <c r="AB1882" s="3" t="str">
        <f t="shared" si="14"/>
        <v>905_44__vv_1</v>
      </c>
      <c r="AD1882" s="3" t="s">
        <v>37</v>
      </c>
    </row>
    <row r="1883" spans="1:30" ht="14">
      <c r="A1883" s="3">
        <v>1882</v>
      </c>
      <c r="B1883" s="23"/>
      <c r="C1883" s="23"/>
      <c r="D1883" s="23"/>
      <c r="E1883" s="23"/>
      <c r="F1883" s="23"/>
      <c r="G1883" s="23"/>
      <c r="H1883" s="23"/>
      <c r="I1883" s="22"/>
      <c r="J1883" s="23"/>
      <c r="K1883" s="23"/>
      <c r="L1883" s="23"/>
      <c r="M1883" s="32" t="s">
        <v>38</v>
      </c>
      <c r="N1883" s="33">
        <v>41</v>
      </c>
      <c r="O1883" s="33">
        <v>8</v>
      </c>
      <c r="P1883" s="33">
        <v>12</v>
      </c>
      <c r="Q1883" s="32">
        <v>1</v>
      </c>
      <c r="R1883" s="32">
        <v>1</v>
      </c>
      <c r="S1883" s="23"/>
      <c r="T1883" s="3">
        <v>0.13286000000000001</v>
      </c>
      <c r="U1883" s="3">
        <v>2.5749999999999999E-2</v>
      </c>
      <c r="V1883" s="3">
        <v>5.4039999999999998E-2</v>
      </c>
      <c r="W1883" s="3">
        <v>0</v>
      </c>
      <c r="X1883" s="3">
        <v>0</v>
      </c>
      <c r="Y1883" s="23"/>
      <c r="Z1883" s="23"/>
      <c r="AA1883" s="3" t="str">
        <f t="shared" si="15"/>
        <v>___</v>
      </c>
      <c r="AB1883" s="3" t="str">
        <f t="shared" si="14"/>
        <v>____</v>
      </c>
    </row>
    <row r="1884" spans="1:30" ht="14">
      <c r="A1884" s="3">
        <v>1883</v>
      </c>
      <c r="B1884" s="23"/>
      <c r="C1884" s="23"/>
      <c r="D1884" s="23"/>
      <c r="E1884" s="23"/>
      <c r="F1884" s="23"/>
      <c r="G1884" s="23"/>
      <c r="H1884" s="23"/>
      <c r="I1884" s="22"/>
      <c r="J1884" s="23"/>
      <c r="K1884" s="23"/>
      <c r="L1884" s="23"/>
      <c r="M1884" s="32" t="s">
        <v>39</v>
      </c>
      <c r="N1884" s="33">
        <v>37</v>
      </c>
      <c r="O1884" s="33">
        <v>7</v>
      </c>
      <c r="P1884" s="33">
        <v>11</v>
      </c>
      <c r="Q1884" s="32"/>
      <c r="R1884" s="32">
        <v>0</v>
      </c>
      <c r="S1884" s="23"/>
      <c r="T1884" s="3">
        <v>6.3670000000000004E-2</v>
      </c>
      <c r="U1884" s="3">
        <v>3.1230000000000001E-2</v>
      </c>
      <c r="V1884" s="3">
        <v>0</v>
      </c>
      <c r="W1884" s="3">
        <v>0</v>
      </c>
      <c r="X1884" s="3">
        <v>0</v>
      </c>
      <c r="Y1884" s="23"/>
      <c r="Z1884" s="23"/>
      <c r="AA1884" s="3" t="str">
        <f t="shared" si="15"/>
        <v>___</v>
      </c>
      <c r="AB1884" s="3" t="str">
        <f t="shared" si="14"/>
        <v>____</v>
      </c>
    </row>
    <row r="1885" spans="1:30" ht="14">
      <c r="A1885" s="3">
        <v>1884</v>
      </c>
      <c r="B1885" s="23"/>
      <c r="C1885" s="32">
        <v>905</v>
      </c>
      <c r="D1885" s="32">
        <v>44</v>
      </c>
      <c r="E1885" s="23"/>
      <c r="F1885" s="23"/>
      <c r="G1885" s="23"/>
      <c r="H1885" s="32" t="s">
        <v>35</v>
      </c>
      <c r="I1885" s="33">
        <v>2</v>
      </c>
      <c r="J1885" s="32">
        <v>17.100000000000001</v>
      </c>
      <c r="K1885" s="32">
        <v>15.2</v>
      </c>
      <c r="L1885" s="32">
        <v>5</v>
      </c>
      <c r="M1885" s="32" t="s">
        <v>36</v>
      </c>
      <c r="N1885" s="33">
        <v>28</v>
      </c>
      <c r="O1885" s="33">
        <v>11</v>
      </c>
      <c r="P1885" s="33">
        <v>11</v>
      </c>
      <c r="Q1885" s="32"/>
      <c r="R1885" s="32">
        <v>0</v>
      </c>
      <c r="S1885" s="23"/>
      <c r="T1885" s="3">
        <v>9.3710000000000002E-2</v>
      </c>
      <c r="U1885" s="3">
        <v>1.106E-2</v>
      </c>
      <c r="V1885" s="3">
        <v>0</v>
      </c>
      <c r="W1885" s="3">
        <v>0</v>
      </c>
      <c r="X1885" s="3">
        <v>0</v>
      </c>
      <c r="Y1885" s="23"/>
      <c r="Z1885" s="23"/>
      <c r="AA1885" s="3" t="str">
        <f t="shared" si="15"/>
        <v>905_44__vv</v>
      </c>
      <c r="AB1885" s="3" t="str">
        <f t="shared" si="14"/>
        <v>905_44__vv_2</v>
      </c>
      <c r="AD1885" s="3" t="s">
        <v>37</v>
      </c>
    </row>
    <row r="1886" spans="1:30" ht="14">
      <c r="A1886" s="3">
        <v>1885</v>
      </c>
      <c r="B1886" s="23"/>
      <c r="C1886" s="23"/>
      <c r="D1886" s="23"/>
      <c r="E1886" s="23"/>
      <c r="F1886" s="23"/>
      <c r="G1886" s="23"/>
      <c r="H1886" s="23"/>
      <c r="I1886" s="22"/>
      <c r="J1886" s="23"/>
      <c r="K1886" s="23"/>
      <c r="L1886" s="23"/>
      <c r="M1886" s="32" t="s">
        <v>38</v>
      </c>
      <c r="N1886" s="33">
        <v>34</v>
      </c>
      <c r="O1886" s="33">
        <v>6</v>
      </c>
      <c r="P1886" s="33">
        <v>9</v>
      </c>
      <c r="Q1886" s="32"/>
      <c r="R1886" s="32">
        <v>0</v>
      </c>
      <c r="S1886" s="23"/>
      <c r="T1886" s="3">
        <v>0.10219</v>
      </c>
      <c r="U1886" s="3">
        <v>1.9810000000000001E-2</v>
      </c>
      <c r="V1886" s="3">
        <v>0</v>
      </c>
      <c r="W1886" s="3">
        <v>0</v>
      </c>
      <c r="X1886" s="3">
        <v>0</v>
      </c>
      <c r="Y1886" s="23"/>
      <c r="Z1886" s="23"/>
      <c r="AA1886" s="3" t="str">
        <f t="shared" si="15"/>
        <v>___</v>
      </c>
      <c r="AB1886" s="3" t="str">
        <f t="shared" si="14"/>
        <v>____</v>
      </c>
    </row>
    <row r="1887" spans="1:30" ht="14">
      <c r="A1887" s="3">
        <v>1886</v>
      </c>
      <c r="B1887" s="23"/>
      <c r="C1887" s="23"/>
      <c r="D1887" s="23"/>
      <c r="E1887" s="23"/>
      <c r="F1887" s="23"/>
      <c r="G1887" s="23"/>
      <c r="H1887" s="23"/>
      <c r="I1887" s="22"/>
      <c r="J1887" s="23"/>
      <c r="K1887" s="23"/>
      <c r="L1887" s="23"/>
      <c r="M1887" s="32" t="s">
        <v>39</v>
      </c>
      <c r="N1887" s="33">
        <v>53</v>
      </c>
      <c r="O1887" s="33">
        <v>6</v>
      </c>
      <c r="P1887" s="33">
        <v>10</v>
      </c>
      <c r="Q1887" s="32"/>
      <c r="R1887" s="32">
        <v>0</v>
      </c>
      <c r="S1887" s="23"/>
      <c r="T1887" s="3">
        <v>4.2369999999999998E-2</v>
      </c>
      <c r="U1887" s="3">
        <v>4.3749999999999997E-2</v>
      </c>
      <c r="V1887" s="3">
        <v>0</v>
      </c>
      <c r="W1887" s="3">
        <v>0</v>
      </c>
      <c r="X1887" s="3">
        <v>0</v>
      </c>
      <c r="Y1887" s="23"/>
      <c r="Z1887" s="23"/>
      <c r="AA1887" s="3" t="str">
        <f t="shared" si="15"/>
        <v>___</v>
      </c>
      <c r="AB1887" s="3" t="str">
        <f t="shared" si="14"/>
        <v>____</v>
      </c>
    </row>
    <row r="1888" spans="1:30" ht="14">
      <c r="A1888" s="3">
        <v>1887</v>
      </c>
      <c r="B1888" s="23"/>
      <c r="C1888" s="32">
        <v>905</v>
      </c>
      <c r="D1888" s="32">
        <v>44</v>
      </c>
      <c r="E1888" s="23"/>
      <c r="F1888" s="23"/>
      <c r="G1888" s="23"/>
      <c r="H1888" s="32" t="s">
        <v>35</v>
      </c>
      <c r="I1888" s="33">
        <v>3</v>
      </c>
      <c r="J1888" s="32">
        <v>12.6</v>
      </c>
      <c r="K1888" s="32">
        <v>16.100000000000001</v>
      </c>
      <c r="L1888" s="32">
        <v>4</v>
      </c>
      <c r="M1888" s="32" t="s">
        <v>36</v>
      </c>
      <c r="N1888" s="33">
        <v>59</v>
      </c>
      <c r="O1888" s="33">
        <v>11</v>
      </c>
      <c r="P1888" s="33">
        <v>14</v>
      </c>
      <c r="Q1888" s="32"/>
      <c r="R1888" s="32">
        <v>0</v>
      </c>
      <c r="S1888" s="23"/>
      <c r="T1888" s="3">
        <v>0.12759000000000001</v>
      </c>
      <c r="U1888" s="3">
        <v>2.8309999999999998E-2</v>
      </c>
      <c r="V1888" s="3">
        <v>0</v>
      </c>
      <c r="W1888" s="3">
        <v>0</v>
      </c>
      <c r="X1888" s="3">
        <v>0</v>
      </c>
      <c r="Y1888" s="23"/>
      <c r="Z1888" s="23"/>
      <c r="AA1888" s="3" t="str">
        <f t="shared" si="15"/>
        <v>905_44__vv</v>
      </c>
      <c r="AB1888" s="3" t="str">
        <f t="shared" si="14"/>
        <v>905_44__vv_3</v>
      </c>
      <c r="AD1888" s="3" t="s">
        <v>37</v>
      </c>
    </row>
    <row r="1889" spans="1:30" ht="14">
      <c r="A1889" s="3">
        <v>1888</v>
      </c>
      <c r="B1889" s="23"/>
      <c r="C1889" s="23"/>
      <c r="D1889" s="23"/>
      <c r="E1889" s="23"/>
      <c r="F1889" s="23"/>
      <c r="G1889" s="23"/>
      <c r="H1889" s="23"/>
      <c r="I1889" s="22"/>
      <c r="J1889" s="23"/>
      <c r="K1889" s="23"/>
      <c r="L1889" s="23"/>
      <c r="M1889" s="32" t="s">
        <v>38</v>
      </c>
      <c r="N1889" s="33">
        <v>49</v>
      </c>
      <c r="O1889" s="33">
        <v>3</v>
      </c>
      <c r="P1889" s="33">
        <v>11</v>
      </c>
      <c r="Q1889" s="32"/>
      <c r="R1889" s="32">
        <v>0</v>
      </c>
      <c r="S1889" s="23"/>
      <c r="T1889" s="3">
        <v>4.0800000000000003E-2</v>
      </c>
      <c r="U1889" s="3">
        <v>3.6269999999999997E-2</v>
      </c>
      <c r="V1889" s="3">
        <v>0</v>
      </c>
      <c r="W1889" s="3">
        <v>0</v>
      </c>
      <c r="X1889" s="3">
        <v>0</v>
      </c>
      <c r="Y1889" s="23"/>
      <c r="Z1889" s="23"/>
      <c r="AA1889" s="3" t="str">
        <f t="shared" si="15"/>
        <v>___</v>
      </c>
      <c r="AB1889" s="3" t="str">
        <f t="shared" si="14"/>
        <v>____</v>
      </c>
    </row>
    <row r="1890" spans="1:30" ht="14">
      <c r="A1890" s="3">
        <v>1889</v>
      </c>
      <c r="B1890" s="23"/>
      <c r="C1890" s="23"/>
      <c r="D1890" s="23"/>
      <c r="E1890" s="23"/>
      <c r="F1890" s="23"/>
      <c r="G1890" s="23"/>
      <c r="H1890" s="23"/>
      <c r="I1890" s="22"/>
      <c r="J1890" s="23"/>
      <c r="K1890" s="23"/>
      <c r="L1890" s="23"/>
      <c r="M1890" s="32" t="s">
        <v>39</v>
      </c>
      <c r="N1890" s="33">
        <v>53</v>
      </c>
      <c r="O1890" s="33">
        <v>0</v>
      </c>
      <c r="P1890" s="33">
        <v>11</v>
      </c>
      <c r="Q1890" s="32"/>
      <c r="R1890" s="32">
        <v>0</v>
      </c>
      <c r="S1890" s="23"/>
      <c r="T1890" s="3">
        <v>0</v>
      </c>
      <c r="U1890" s="3">
        <v>4.8599999999999997E-2</v>
      </c>
      <c r="V1890" s="3">
        <v>0</v>
      </c>
      <c r="W1890" s="3">
        <v>0</v>
      </c>
      <c r="X1890" s="3">
        <v>0</v>
      </c>
      <c r="Y1890" s="23"/>
      <c r="Z1890" s="23"/>
      <c r="AA1890" s="3" t="str">
        <f t="shared" si="15"/>
        <v>___</v>
      </c>
      <c r="AB1890" s="3" t="str">
        <f t="shared" si="14"/>
        <v>____</v>
      </c>
    </row>
    <row r="1891" spans="1:30" ht="14">
      <c r="A1891" s="3">
        <v>1890</v>
      </c>
      <c r="B1891" s="23"/>
      <c r="C1891" s="32">
        <v>905</v>
      </c>
      <c r="D1891" s="32">
        <v>44</v>
      </c>
      <c r="E1891" s="23"/>
      <c r="F1891" s="23"/>
      <c r="G1891" s="23"/>
      <c r="H1891" s="32" t="s">
        <v>40</v>
      </c>
      <c r="I1891" s="33">
        <v>1</v>
      </c>
      <c r="J1891" s="32">
        <v>16.8</v>
      </c>
      <c r="K1891" s="32">
        <v>22.3</v>
      </c>
      <c r="L1891" s="23"/>
      <c r="M1891" s="32" t="s">
        <v>36</v>
      </c>
      <c r="N1891" s="33">
        <v>57</v>
      </c>
      <c r="O1891" s="33">
        <v>9</v>
      </c>
      <c r="P1891" s="33">
        <v>9</v>
      </c>
      <c r="Q1891" s="32"/>
      <c r="R1891" s="32">
        <v>0</v>
      </c>
      <c r="S1891" s="23"/>
      <c r="T1891" s="3">
        <v>4.5499999999999999E-2</v>
      </c>
      <c r="U1891" s="3">
        <v>2.7109999999999999E-2</v>
      </c>
      <c r="V1891" s="3">
        <v>0</v>
      </c>
      <c r="W1891" s="3">
        <v>0</v>
      </c>
      <c r="X1891" s="3">
        <v>0</v>
      </c>
      <c r="Y1891" s="32" t="s">
        <v>249</v>
      </c>
      <c r="Z1891" s="23"/>
      <c r="AA1891" s="3" t="str">
        <f t="shared" si="15"/>
        <v>905_44__vm</v>
      </c>
      <c r="AB1891" s="3" t="str">
        <f t="shared" si="14"/>
        <v>905_44__vm_1</v>
      </c>
      <c r="AD1891" s="3" t="s">
        <v>37</v>
      </c>
    </row>
    <row r="1892" spans="1:30" ht="14">
      <c r="A1892" s="3">
        <v>1891</v>
      </c>
      <c r="B1892" s="23"/>
      <c r="C1892" s="23"/>
      <c r="D1892" s="23"/>
      <c r="E1892" s="23"/>
      <c r="F1892" s="23"/>
      <c r="G1892" s="23"/>
      <c r="H1892" s="23"/>
      <c r="I1892" s="22"/>
      <c r="J1892" s="23"/>
      <c r="K1892" s="23"/>
      <c r="L1892" s="23"/>
      <c r="M1892" s="32" t="s">
        <v>38</v>
      </c>
      <c r="N1892" s="33">
        <v>53</v>
      </c>
      <c r="O1892" s="33">
        <v>0</v>
      </c>
      <c r="P1892" s="33">
        <v>2</v>
      </c>
      <c r="Q1892" s="32">
        <v>4</v>
      </c>
      <c r="R1892" s="32">
        <v>3</v>
      </c>
      <c r="S1892" s="23"/>
      <c r="T1892" s="3">
        <v>0</v>
      </c>
      <c r="U1892" s="3">
        <v>5.4969999999999998E-2</v>
      </c>
      <c r="V1892" s="3">
        <v>0.11433</v>
      </c>
      <c r="W1892" s="3">
        <v>0</v>
      </c>
      <c r="X1892" s="3">
        <v>0</v>
      </c>
      <c r="Y1892" s="23"/>
      <c r="Z1892" s="23"/>
      <c r="AA1892" s="3" t="str">
        <f t="shared" si="15"/>
        <v>___</v>
      </c>
      <c r="AB1892" s="3" t="str">
        <f t="shared" si="14"/>
        <v>____</v>
      </c>
    </row>
    <row r="1893" spans="1:30" ht="14">
      <c r="A1893" s="3">
        <v>1892</v>
      </c>
      <c r="B1893" s="23"/>
      <c r="C1893" s="23"/>
      <c r="D1893" s="23"/>
      <c r="E1893" s="23"/>
      <c r="F1893" s="23"/>
      <c r="G1893" s="23"/>
      <c r="H1893" s="23"/>
      <c r="I1893" s="22"/>
      <c r="J1893" s="23"/>
      <c r="K1893" s="23"/>
      <c r="L1893" s="23"/>
      <c r="M1893" s="32" t="s">
        <v>39</v>
      </c>
      <c r="N1893" s="33">
        <v>40</v>
      </c>
      <c r="O1893" s="33">
        <v>0</v>
      </c>
      <c r="P1893" s="33">
        <v>5</v>
      </c>
      <c r="Q1893" s="32">
        <v>0</v>
      </c>
      <c r="R1893" s="32">
        <v>0</v>
      </c>
      <c r="S1893" s="23"/>
      <c r="T1893" s="3">
        <v>0</v>
      </c>
      <c r="U1893" s="3">
        <v>4.5900000000000003E-2</v>
      </c>
      <c r="V1893" s="3">
        <v>0</v>
      </c>
      <c r="W1893" s="3">
        <v>0</v>
      </c>
      <c r="X1893" s="3">
        <v>0</v>
      </c>
      <c r="Y1893" s="23"/>
      <c r="Z1893" s="23"/>
      <c r="AA1893" s="3" t="str">
        <f t="shared" si="15"/>
        <v>___</v>
      </c>
      <c r="AB1893" s="3" t="str">
        <f t="shared" si="14"/>
        <v>____</v>
      </c>
    </row>
    <row r="1894" spans="1:30" ht="14">
      <c r="A1894" s="3">
        <v>1893</v>
      </c>
      <c r="B1894" s="23"/>
      <c r="C1894" s="32">
        <v>905</v>
      </c>
      <c r="D1894" s="32">
        <v>44</v>
      </c>
      <c r="E1894" s="23"/>
      <c r="F1894" s="23"/>
      <c r="G1894" s="23"/>
      <c r="H1894" s="32" t="s">
        <v>40</v>
      </c>
      <c r="I1894" s="33">
        <v>2</v>
      </c>
      <c r="J1894" s="32">
        <v>17.899999999999999</v>
      </c>
      <c r="K1894" s="32">
        <v>22.4</v>
      </c>
      <c r="L1894" s="32">
        <v>8</v>
      </c>
      <c r="M1894" s="32" t="s">
        <v>36</v>
      </c>
      <c r="N1894" s="33">
        <v>27</v>
      </c>
      <c r="O1894" s="33">
        <v>6</v>
      </c>
      <c r="P1894" s="33">
        <v>6</v>
      </c>
      <c r="Q1894" s="32"/>
      <c r="R1894" s="32">
        <v>0</v>
      </c>
      <c r="S1894" s="23"/>
      <c r="T1894" s="3">
        <v>1.9539999999999998E-2</v>
      </c>
      <c r="U1894" s="3">
        <v>8.5000000000000006E-3</v>
      </c>
      <c r="V1894" s="3">
        <v>0</v>
      </c>
      <c r="W1894" s="3">
        <v>0</v>
      </c>
      <c r="X1894" s="3">
        <v>0</v>
      </c>
      <c r="Y1894" s="23"/>
      <c r="Z1894" s="23"/>
      <c r="AA1894" s="3" t="str">
        <f t="shared" si="15"/>
        <v>905_44__vm</v>
      </c>
      <c r="AB1894" s="3" t="str">
        <f t="shared" si="14"/>
        <v>905_44__vm_2</v>
      </c>
      <c r="AD1894" s="3" t="s">
        <v>37</v>
      </c>
    </row>
    <row r="1895" spans="1:30" ht="14">
      <c r="A1895" s="3">
        <v>1894</v>
      </c>
      <c r="B1895" s="23"/>
      <c r="C1895" s="23"/>
      <c r="D1895" s="23"/>
      <c r="E1895" s="23"/>
      <c r="F1895" s="23"/>
      <c r="G1895" s="23"/>
      <c r="H1895" s="23"/>
      <c r="I1895" s="22"/>
      <c r="J1895" s="23"/>
      <c r="K1895" s="23"/>
      <c r="L1895" s="23"/>
      <c r="M1895" s="32" t="s">
        <v>38</v>
      </c>
      <c r="N1895" s="33">
        <v>35</v>
      </c>
      <c r="O1895" s="33">
        <v>0</v>
      </c>
      <c r="P1895" s="33">
        <v>3</v>
      </c>
      <c r="Q1895" s="32">
        <v>2</v>
      </c>
      <c r="R1895" s="32">
        <v>2</v>
      </c>
      <c r="S1895" s="23"/>
      <c r="T1895" s="3">
        <v>0</v>
      </c>
      <c r="U1895" s="3">
        <v>1.5599999999999999E-2</v>
      </c>
      <c r="V1895" s="3">
        <v>2.232E-2</v>
      </c>
      <c r="W1895" s="3">
        <v>0</v>
      </c>
      <c r="X1895" s="3">
        <v>0</v>
      </c>
      <c r="Y1895" s="23"/>
      <c r="Z1895" s="23"/>
      <c r="AA1895" s="3" t="str">
        <f t="shared" si="15"/>
        <v>___</v>
      </c>
      <c r="AB1895" s="3" t="str">
        <f t="shared" si="14"/>
        <v>____</v>
      </c>
    </row>
    <row r="1896" spans="1:30" ht="14">
      <c r="A1896" s="3">
        <v>1895</v>
      </c>
      <c r="B1896" s="23"/>
      <c r="C1896" s="23"/>
      <c r="D1896" s="23"/>
      <c r="E1896" s="23"/>
      <c r="F1896" s="23"/>
      <c r="G1896" s="23"/>
      <c r="H1896" s="23"/>
      <c r="I1896" s="22"/>
      <c r="J1896" s="23"/>
      <c r="K1896" s="23"/>
      <c r="L1896" s="23"/>
      <c r="M1896" s="32" t="s">
        <v>39</v>
      </c>
      <c r="N1896" s="33">
        <v>49</v>
      </c>
      <c r="O1896" s="33">
        <v>0</v>
      </c>
      <c r="P1896" s="33">
        <v>3</v>
      </c>
      <c r="Q1896" s="32">
        <v>2</v>
      </c>
      <c r="R1896" s="32">
        <v>2</v>
      </c>
      <c r="S1896" s="23"/>
      <c r="T1896" s="3">
        <v>0</v>
      </c>
      <c r="U1896" s="3">
        <v>3.7379999999999997E-2</v>
      </c>
      <c r="V1896" s="3">
        <v>9.8909999999999998E-2</v>
      </c>
      <c r="W1896" s="3">
        <v>0</v>
      </c>
      <c r="X1896" s="3">
        <v>0</v>
      </c>
      <c r="Y1896" s="23"/>
      <c r="Z1896" s="23"/>
      <c r="AA1896" s="3" t="str">
        <f t="shared" si="15"/>
        <v>___</v>
      </c>
      <c r="AB1896" s="3" t="str">
        <f t="shared" si="14"/>
        <v>____</v>
      </c>
    </row>
    <row r="1897" spans="1:30" ht="14">
      <c r="A1897" s="3">
        <v>1896</v>
      </c>
      <c r="B1897" s="23"/>
      <c r="C1897" s="32">
        <v>905</v>
      </c>
      <c r="D1897" s="32">
        <v>44</v>
      </c>
      <c r="E1897" s="23"/>
      <c r="F1897" s="23"/>
      <c r="G1897" s="23"/>
      <c r="H1897" s="32" t="s">
        <v>40</v>
      </c>
      <c r="I1897" s="33">
        <v>3</v>
      </c>
      <c r="J1897" s="32">
        <v>15.8</v>
      </c>
      <c r="K1897" s="32">
        <v>17.399999999999999</v>
      </c>
      <c r="L1897" s="32">
        <v>6</v>
      </c>
      <c r="M1897" s="32" t="s">
        <v>36</v>
      </c>
      <c r="N1897" s="33">
        <v>27</v>
      </c>
      <c r="O1897" s="33">
        <v>6</v>
      </c>
      <c r="P1897" s="33">
        <v>6</v>
      </c>
      <c r="Q1897" s="23"/>
      <c r="R1897" s="22"/>
      <c r="S1897" s="23"/>
      <c r="T1897" s="3">
        <v>1.451E-2</v>
      </c>
      <c r="U1897" s="3">
        <v>6.3899999999999998E-3</v>
      </c>
      <c r="V1897" s="3">
        <v>0</v>
      </c>
      <c r="W1897" s="3">
        <v>0</v>
      </c>
      <c r="X1897" s="3">
        <v>0</v>
      </c>
      <c r="Y1897" s="23"/>
      <c r="Z1897" s="23"/>
      <c r="AA1897" s="3" t="str">
        <f t="shared" si="15"/>
        <v>905_44__vm</v>
      </c>
      <c r="AB1897" s="3" t="str">
        <f t="shared" si="14"/>
        <v>905_44__vm_3</v>
      </c>
      <c r="AD1897" s="3" t="s">
        <v>37</v>
      </c>
    </row>
    <row r="1898" spans="1:30" ht="14">
      <c r="A1898" s="3">
        <v>1897</v>
      </c>
      <c r="B1898" s="23"/>
      <c r="C1898" s="23"/>
      <c r="D1898" s="23"/>
      <c r="E1898" s="23"/>
      <c r="F1898" s="23"/>
      <c r="G1898" s="23"/>
      <c r="H1898" s="23"/>
      <c r="I1898" s="22"/>
      <c r="J1898" s="23"/>
      <c r="K1898" s="23"/>
      <c r="L1898" s="23"/>
      <c r="M1898" s="32" t="s">
        <v>38</v>
      </c>
      <c r="N1898" s="33">
        <v>30</v>
      </c>
      <c r="O1898" s="33">
        <v>0</v>
      </c>
      <c r="P1898" s="33">
        <v>3</v>
      </c>
      <c r="Q1898" s="32">
        <v>2</v>
      </c>
      <c r="R1898" s="33">
        <v>2</v>
      </c>
      <c r="S1898" s="23"/>
      <c r="T1898" s="3">
        <v>0</v>
      </c>
      <c r="U1898" s="3">
        <v>1.1390000000000001E-2</v>
      </c>
      <c r="V1898" s="3">
        <v>1.4149999999999999E-2</v>
      </c>
      <c r="W1898" s="3">
        <v>0</v>
      </c>
      <c r="X1898" s="3">
        <v>0</v>
      </c>
      <c r="Y1898" s="23"/>
      <c r="Z1898" s="23"/>
      <c r="AA1898" s="3" t="str">
        <f t="shared" si="15"/>
        <v>___</v>
      </c>
      <c r="AB1898" s="3" t="str">
        <f t="shared" si="14"/>
        <v>____</v>
      </c>
    </row>
    <row r="1899" spans="1:30" ht="14">
      <c r="A1899" s="3">
        <v>1898</v>
      </c>
      <c r="B1899" s="23"/>
      <c r="C1899" s="23"/>
      <c r="D1899" s="23"/>
      <c r="E1899" s="23"/>
      <c r="F1899" s="23"/>
      <c r="G1899" s="23"/>
      <c r="H1899" s="23"/>
      <c r="I1899" s="22"/>
      <c r="J1899" s="23"/>
      <c r="K1899" s="23"/>
      <c r="L1899" s="23"/>
      <c r="M1899" s="32" t="s">
        <v>39</v>
      </c>
      <c r="N1899" s="33">
        <v>44</v>
      </c>
      <c r="O1899" s="33">
        <v>0</v>
      </c>
      <c r="P1899" s="33">
        <v>2</v>
      </c>
      <c r="Q1899" s="32">
        <v>3</v>
      </c>
      <c r="R1899" s="33">
        <v>2</v>
      </c>
      <c r="S1899" s="23"/>
      <c r="T1899" s="3">
        <v>0</v>
      </c>
      <c r="U1899" s="3">
        <v>2.4850000000000001E-2</v>
      </c>
      <c r="V1899" s="3">
        <v>2.4709999999999999E-2</v>
      </c>
      <c r="W1899" s="3">
        <v>0</v>
      </c>
      <c r="X1899" s="3">
        <v>0</v>
      </c>
      <c r="Y1899" s="23"/>
      <c r="Z1899" s="23"/>
      <c r="AA1899" s="3" t="str">
        <f t="shared" si="15"/>
        <v>___</v>
      </c>
      <c r="AB1899" s="3" t="str">
        <f t="shared" si="14"/>
        <v>____</v>
      </c>
    </row>
    <row r="1900" spans="1:30" ht="14">
      <c r="A1900" s="3">
        <v>1899</v>
      </c>
      <c r="B1900" s="23"/>
      <c r="C1900" s="32">
        <v>1427</v>
      </c>
      <c r="D1900" s="32">
        <v>46</v>
      </c>
      <c r="E1900" s="23"/>
      <c r="F1900" s="23"/>
      <c r="G1900" s="23"/>
      <c r="H1900" s="32" t="s">
        <v>35</v>
      </c>
      <c r="I1900" s="33">
        <v>1</v>
      </c>
      <c r="J1900" s="32">
        <v>13.6</v>
      </c>
      <c r="K1900" s="32">
        <v>21.9</v>
      </c>
      <c r="L1900" s="32">
        <v>7</v>
      </c>
      <c r="M1900" s="32" t="s">
        <v>36</v>
      </c>
      <c r="N1900" s="33">
        <v>11</v>
      </c>
      <c r="O1900" s="33">
        <v>8</v>
      </c>
      <c r="P1900" s="33">
        <v>10</v>
      </c>
      <c r="Q1900" s="23"/>
      <c r="R1900" s="33">
        <v>0</v>
      </c>
      <c r="S1900" s="23"/>
      <c r="T1900" s="3">
        <v>1.278E-2</v>
      </c>
      <c r="U1900" s="3">
        <v>1.6299999999999999E-3</v>
      </c>
      <c r="V1900" s="3">
        <v>0</v>
      </c>
      <c r="W1900" s="3">
        <v>0</v>
      </c>
      <c r="X1900" s="3">
        <v>0</v>
      </c>
      <c r="Y1900" s="23"/>
      <c r="Z1900" s="23"/>
      <c r="AA1900" s="3" t="str">
        <f t="shared" si="15"/>
        <v>1427_46__vv</v>
      </c>
      <c r="AB1900" s="3" t="str">
        <f t="shared" si="14"/>
        <v>1427_46__vv_1</v>
      </c>
      <c r="AD1900" s="3" t="s">
        <v>37</v>
      </c>
    </row>
    <row r="1901" spans="1:30" ht="14">
      <c r="A1901" s="3">
        <v>1900</v>
      </c>
      <c r="B1901" s="23"/>
      <c r="C1901" s="23"/>
      <c r="D1901" s="23"/>
      <c r="E1901" s="23"/>
      <c r="F1901" s="23"/>
      <c r="G1901" s="23"/>
      <c r="H1901" s="23"/>
      <c r="I1901" s="22"/>
      <c r="J1901" s="23"/>
      <c r="K1901" s="23"/>
      <c r="L1901" s="23"/>
      <c r="M1901" s="32" t="s">
        <v>38</v>
      </c>
      <c r="N1901" s="33">
        <v>17</v>
      </c>
      <c r="O1901" s="33">
        <v>7</v>
      </c>
      <c r="P1901" s="33">
        <v>9</v>
      </c>
      <c r="Q1901" s="23"/>
      <c r="R1901" s="33">
        <v>0</v>
      </c>
      <c r="S1901" s="23"/>
      <c r="T1901" s="3">
        <v>4.1009999999999998E-2</v>
      </c>
      <c r="U1901" s="3">
        <v>4.0400000000000002E-3</v>
      </c>
      <c r="V1901" s="3">
        <v>0</v>
      </c>
      <c r="W1901" s="3">
        <v>0</v>
      </c>
      <c r="X1901" s="3">
        <v>0</v>
      </c>
      <c r="Y1901" s="23"/>
      <c r="Z1901" s="23"/>
      <c r="AA1901" s="3" t="str">
        <f t="shared" si="15"/>
        <v>___</v>
      </c>
      <c r="AB1901" s="3" t="str">
        <f t="shared" si="14"/>
        <v>____</v>
      </c>
    </row>
    <row r="1902" spans="1:30" ht="14">
      <c r="A1902" s="3">
        <v>1901</v>
      </c>
      <c r="B1902" s="23"/>
      <c r="C1902" s="23"/>
      <c r="D1902" s="23"/>
      <c r="E1902" s="23"/>
      <c r="F1902" s="23"/>
      <c r="G1902" s="23"/>
      <c r="H1902" s="23"/>
      <c r="I1902" s="22"/>
      <c r="J1902" s="23"/>
      <c r="K1902" s="23"/>
      <c r="L1902" s="23"/>
      <c r="M1902" s="32" t="s">
        <v>39</v>
      </c>
      <c r="N1902" s="33">
        <v>29</v>
      </c>
      <c r="O1902" s="33">
        <v>8</v>
      </c>
      <c r="P1902" s="33">
        <v>12</v>
      </c>
      <c r="Q1902" s="23"/>
      <c r="R1902" s="33">
        <v>0</v>
      </c>
      <c r="S1902" s="23"/>
      <c r="T1902" s="3">
        <v>9.4740000000000005E-2</v>
      </c>
      <c r="U1902" s="3">
        <v>1.2999999999999999E-2</v>
      </c>
      <c r="V1902" s="3">
        <v>0</v>
      </c>
      <c r="W1902" s="3">
        <v>0</v>
      </c>
      <c r="X1902" s="3">
        <v>0</v>
      </c>
      <c r="Y1902" s="23"/>
      <c r="Z1902" s="23"/>
      <c r="AA1902" s="3" t="str">
        <f t="shared" si="15"/>
        <v>___</v>
      </c>
      <c r="AB1902" s="3" t="str">
        <f t="shared" si="14"/>
        <v>____</v>
      </c>
    </row>
    <row r="1903" spans="1:30" ht="14">
      <c r="A1903" s="3">
        <v>1902</v>
      </c>
      <c r="B1903" s="23"/>
      <c r="C1903" s="32">
        <v>1427</v>
      </c>
      <c r="D1903" s="32">
        <v>46</v>
      </c>
      <c r="E1903" s="23"/>
      <c r="F1903" s="23"/>
      <c r="G1903" s="23"/>
      <c r="H1903" s="32" t="s">
        <v>35</v>
      </c>
      <c r="I1903" s="33">
        <v>2</v>
      </c>
      <c r="J1903" s="32">
        <v>13</v>
      </c>
      <c r="K1903" s="32">
        <v>11.1</v>
      </c>
      <c r="L1903" s="32">
        <v>4</v>
      </c>
      <c r="M1903" s="32" t="s">
        <v>36</v>
      </c>
      <c r="N1903" s="33">
        <v>11</v>
      </c>
      <c r="O1903" s="33">
        <v>11</v>
      </c>
      <c r="P1903" s="33">
        <v>11</v>
      </c>
      <c r="Q1903" s="23"/>
      <c r="R1903" s="33">
        <v>0</v>
      </c>
      <c r="S1903" s="23"/>
      <c r="T1903" s="3">
        <v>3.1379999999999998E-2</v>
      </c>
      <c r="U1903" s="37">
        <v>286</v>
      </c>
      <c r="V1903" s="3">
        <v>0</v>
      </c>
      <c r="W1903" s="3">
        <v>0</v>
      </c>
      <c r="X1903" s="3">
        <v>0</v>
      </c>
      <c r="Y1903" s="23"/>
      <c r="Z1903" s="23"/>
      <c r="AA1903" s="3" t="str">
        <f t="shared" si="15"/>
        <v>1427_46__vv</v>
      </c>
      <c r="AB1903" s="3" t="str">
        <f t="shared" si="14"/>
        <v>1427_46__vv_2</v>
      </c>
      <c r="AD1903" s="3" t="s">
        <v>37</v>
      </c>
    </row>
    <row r="1904" spans="1:30" ht="14">
      <c r="A1904" s="3">
        <v>1903</v>
      </c>
      <c r="B1904" s="23"/>
      <c r="C1904" s="23"/>
      <c r="D1904" s="23"/>
      <c r="E1904" s="23"/>
      <c r="F1904" s="23"/>
      <c r="G1904" s="23"/>
      <c r="H1904" s="23"/>
      <c r="I1904" s="22"/>
      <c r="J1904" s="23"/>
      <c r="K1904" s="23"/>
      <c r="L1904" s="23"/>
      <c r="M1904" s="32" t="s">
        <v>38</v>
      </c>
      <c r="N1904" s="33">
        <v>19</v>
      </c>
      <c r="O1904" s="33">
        <v>11</v>
      </c>
      <c r="P1904" s="33">
        <v>13</v>
      </c>
      <c r="Q1904" s="23"/>
      <c r="R1904" s="33">
        <v>1</v>
      </c>
      <c r="S1904" s="23"/>
      <c r="T1904" s="3">
        <v>0.11242000000000001</v>
      </c>
      <c r="U1904" s="3">
        <v>1.4489999999999999E-2</v>
      </c>
      <c r="V1904" s="3">
        <v>9.8200000000000006E-3</v>
      </c>
      <c r="W1904" s="3">
        <v>0</v>
      </c>
      <c r="Y1904" s="32" t="s">
        <v>250</v>
      </c>
      <c r="Z1904" s="23"/>
      <c r="AA1904" s="3" t="str">
        <f t="shared" si="15"/>
        <v>___</v>
      </c>
      <c r="AB1904" s="3" t="str">
        <f t="shared" si="14"/>
        <v>____</v>
      </c>
    </row>
    <row r="1905" spans="1:30" ht="14">
      <c r="A1905" s="3">
        <v>1904</v>
      </c>
      <c r="B1905" s="23"/>
      <c r="C1905" s="23"/>
      <c r="D1905" s="23"/>
      <c r="E1905" s="23"/>
      <c r="F1905" s="23"/>
      <c r="G1905" s="23"/>
      <c r="H1905" s="23"/>
      <c r="I1905" s="22"/>
      <c r="J1905" s="23"/>
      <c r="K1905" s="23"/>
      <c r="L1905" s="23"/>
      <c r="M1905" s="32" t="s">
        <v>39</v>
      </c>
      <c r="N1905" s="33">
        <v>59</v>
      </c>
      <c r="O1905" s="33">
        <v>8</v>
      </c>
      <c r="P1905" s="33">
        <v>24</v>
      </c>
      <c r="Q1905" s="23"/>
      <c r="R1905" s="33">
        <v>1</v>
      </c>
      <c r="S1905" s="23"/>
      <c r="T1905" s="3">
        <v>7.578E-2</v>
      </c>
      <c r="U1905" s="3">
        <v>7.9009999999999997E-2</v>
      </c>
      <c r="V1905" s="3">
        <v>0.13013</v>
      </c>
      <c r="W1905" s="3">
        <v>0</v>
      </c>
      <c r="Y1905" s="23"/>
      <c r="Z1905" s="23"/>
      <c r="AA1905" s="3" t="str">
        <f t="shared" si="15"/>
        <v>___</v>
      </c>
      <c r="AB1905" s="3" t="str">
        <f t="shared" si="14"/>
        <v>____</v>
      </c>
    </row>
    <row r="1906" spans="1:30" ht="14">
      <c r="A1906" s="3">
        <v>1905</v>
      </c>
      <c r="B1906" s="23"/>
      <c r="C1906" s="32">
        <v>1427</v>
      </c>
      <c r="D1906" s="32">
        <v>46</v>
      </c>
      <c r="E1906" s="23"/>
      <c r="F1906" s="23"/>
      <c r="G1906" s="23"/>
      <c r="H1906" s="32" t="s">
        <v>35</v>
      </c>
      <c r="I1906" s="33">
        <v>3</v>
      </c>
      <c r="J1906" s="32">
        <v>20.8</v>
      </c>
      <c r="K1906" s="32">
        <v>18.5</v>
      </c>
      <c r="L1906" s="32">
        <v>5</v>
      </c>
      <c r="M1906" s="32" t="s">
        <v>36</v>
      </c>
      <c r="N1906" s="33">
        <v>19</v>
      </c>
      <c r="O1906" s="33">
        <v>11</v>
      </c>
      <c r="P1906" s="33">
        <v>11</v>
      </c>
      <c r="Q1906" s="23"/>
      <c r="R1906" s="33">
        <v>0</v>
      </c>
      <c r="S1906" s="23"/>
      <c r="T1906" s="3">
        <v>6.658E-2</v>
      </c>
      <c r="U1906" s="3">
        <v>6.7000000000000002E-3</v>
      </c>
      <c r="V1906" s="3">
        <v>0</v>
      </c>
      <c r="W1906" s="3">
        <v>0</v>
      </c>
      <c r="Y1906" s="32" t="s">
        <v>250</v>
      </c>
      <c r="Z1906" s="23"/>
      <c r="AA1906" s="3" t="str">
        <f t="shared" si="15"/>
        <v>1427_46__vv</v>
      </c>
      <c r="AB1906" s="3" t="str">
        <f t="shared" si="14"/>
        <v>1427_46__vv_3</v>
      </c>
      <c r="AC1906" s="3"/>
      <c r="AD1906" s="3" t="s">
        <v>37</v>
      </c>
    </row>
    <row r="1907" spans="1:30" ht="14">
      <c r="A1907" s="3">
        <v>1906</v>
      </c>
      <c r="B1907" s="23"/>
      <c r="C1907" s="23"/>
      <c r="D1907" s="23"/>
      <c r="E1907" s="23"/>
      <c r="F1907" s="23"/>
      <c r="G1907" s="23"/>
      <c r="H1907" s="23"/>
      <c r="I1907" s="22"/>
      <c r="J1907" s="23"/>
      <c r="K1907" s="23"/>
      <c r="L1907" s="23"/>
      <c r="M1907" s="32" t="s">
        <v>38</v>
      </c>
      <c r="N1907" s="33">
        <v>27</v>
      </c>
      <c r="O1907" s="33">
        <v>13</v>
      </c>
      <c r="P1907" s="33">
        <v>14</v>
      </c>
      <c r="Q1907" s="23"/>
      <c r="R1907" s="33">
        <v>1</v>
      </c>
      <c r="S1907" s="23"/>
      <c r="T1907" s="3">
        <v>0.19056000000000001</v>
      </c>
      <c r="U1907" s="3">
        <v>1.7219999999999999E-2</v>
      </c>
      <c r="V1907" s="3">
        <v>7.0299999999999998E-3</v>
      </c>
      <c r="W1907" s="3">
        <v>0</v>
      </c>
      <c r="Y1907" s="23"/>
      <c r="Z1907" s="23"/>
      <c r="AA1907" s="3" t="str">
        <f t="shared" si="15"/>
        <v>___</v>
      </c>
      <c r="AB1907" s="3" t="str">
        <f t="shared" si="14"/>
        <v>____</v>
      </c>
    </row>
    <row r="1908" spans="1:30" ht="14">
      <c r="A1908" s="3">
        <v>1907</v>
      </c>
      <c r="B1908" s="23"/>
      <c r="C1908" s="23"/>
      <c r="D1908" s="23"/>
      <c r="E1908" s="23"/>
      <c r="F1908" s="23"/>
      <c r="G1908" s="23"/>
      <c r="H1908" s="23"/>
      <c r="I1908" s="22"/>
      <c r="J1908" s="23"/>
      <c r="K1908" s="23"/>
      <c r="L1908" s="23"/>
      <c r="M1908" s="32" t="s">
        <v>39</v>
      </c>
      <c r="N1908" s="33">
        <v>67</v>
      </c>
      <c r="O1908" s="33">
        <v>8</v>
      </c>
      <c r="P1908" s="33">
        <v>17</v>
      </c>
      <c r="Q1908" s="23"/>
      <c r="R1908" s="33">
        <v>0</v>
      </c>
      <c r="S1908" s="23"/>
      <c r="T1908" s="3">
        <v>0.12659000000000001</v>
      </c>
      <c r="U1908" s="3">
        <v>6.8390000000000006E-2</v>
      </c>
      <c r="V1908" s="3">
        <v>0</v>
      </c>
      <c r="W1908" s="3">
        <v>0</v>
      </c>
      <c r="Y1908" s="23"/>
      <c r="Z1908" s="23"/>
      <c r="AA1908" s="3" t="str">
        <f t="shared" si="15"/>
        <v>___</v>
      </c>
      <c r="AB1908" s="3" t="str">
        <f t="shared" si="14"/>
        <v>____</v>
      </c>
    </row>
    <row r="1909" spans="1:30" ht="14">
      <c r="A1909" s="3">
        <v>1908</v>
      </c>
      <c r="B1909" s="23"/>
      <c r="C1909" s="32">
        <v>1427</v>
      </c>
      <c r="D1909" s="32">
        <v>46</v>
      </c>
      <c r="E1909" s="23"/>
      <c r="F1909" s="23"/>
      <c r="G1909" s="23"/>
      <c r="H1909" s="32" t="s">
        <v>40</v>
      </c>
      <c r="I1909" s="33">
        <v>1</v>
      </c>
      <c r="J1909" s="32">
        <v>18.899999999999999</v>
      </c>
      <c r="K1909" s="32">
        <v>21.2</v>
      </c>
      <c r="L1909" s="32">
        <v>7</v>
      </c>
      <c r="M1909" s="32" t="s">
        <v>36</v>
      </c>
      <c r="N1909" s="33">
        <v>89</v>
      </c>
      <c r="O1909" s="33">
        <v>9</v>
      </c>
      <c r="P1909" s="33">
        <v>9</v>
      </c>
      <c r="Q1909" s="23"/>
      <c r="R1909" s="33">
        <v>0</v>
      </c>
      <c r="S1909" s="23"/>
      <c r="T1909" s="3">
        <v>8.9539999999999995E-2</v>
      </c>
      <c r="U1909" s="3">
        <v>7.1629999999999999E-2</v>
      </c>
      <c r="V1909" s="3">
        <v>0</v>
      </c>
      <c r="W1909" s="3">
        <v>0</v>
      </c>
      <c r="Y1909" s="32" t="s">
        <v>251</v>
      </c>
      <c r="Z1909" s="23"/>
      <c r="AA1909" s="3" t="str">
        <f t="shared" si="15"/>
        <v>1427_46__vm</v>
      </c>
      <c r="AB1909" s="3" t="str">
        <f t="shared" si="14"/>
        <v>1427_46__vm_1</v>
      </c>
      <c r="AC1909" s="3"/>
      <c r="AD1909" s="3" t="s">
        <v>37</v>
      </c>
    </row>
    <row r="1910" spans="1:30" ht="14">
      <c r="A1910" s="3">
        <v>1909</v>
      </c>
      <c r="B1910" s="23"/>
      <c r="C1910" s="23"/>
      <c r="D1910" s="23"/>
      <c r="E1910" s="23"/>
      <c r="F1910" s="23"/>
      <c r="G1910" s="23"/>
      <c r="H1910" s="23"/>
      <c r="I1910" s="22"/>
      <c r="J1910" s="23"/>
      <c r="K1910" s="23"/>
      <c r="L1910" s="23"/>
      <c r="M1910" s="32" t="s">
        <v>38</v>
      </c>
      <c r="N1910" s="33">
        <v>27</v>
      </c>
      <c r="O1910" s="33">
        <v>0</v>
      </c>
      <c r="P1910" s="33">
        <v>5</v>
      </c>
      <c r="Q1910" s="23"/>
      <c r="R1910" s="33">
        <v>1</v>
      </c>
      <c r="S1910" s="23"/>
      <c r="T1910" s="3">
        <v>0</v>
      </c>
      <c r="U1910" s="3">
        <v>4.9759999999999999E-2</v>
      </c>
      <c r="V1910" s="3">
        <v>0.11786000000000001</v>
      </c>
      <c r="W1910" s="3">
        <v>0</v>
      </c>
      <c r="Y1910" s="23"/>
      <c r="Z1910" s="23"/>
      <c r="AA1910" s="3" t="str">
        <f t="shared" si="15"/>
        <v>___</v>
      </c>
      <c r="AB1910" s="3" t="str">
        <f t="shared" si="14"/>
        <v>____</v>
      </c>
    </row>
    <row r="1911" spans="1:30" ht="14">
      <c r="A1911" s="3">
        <v>1910</v>
      </c>
      <c r="B1911" s="23"/>
      <c r="C1911" s="23"/>
      <c r="D1911" s="23"/>
      <c r="E1911" s="23"/>
      <c r="F1911" s="23"/>
      <c r="G1911" s="23"/>
      <c r="H1911" s="23"/>
      <c r="I1911" s="22"/>
      <c r="J1911" s="23"/>
      <c r="K1911" s="23"/>
      <c r="L1911" s="23"/>
      <c r="M1911" s="32" t="s">
        <v>39</v>
      </c>
      <c r="N1911" s="33">
        <v>46</v>
      </c>
      <c r="O1911" s="33">
        <v>0</v>
      </c>
      <c r="P1911" s="33">
        <v>3</v>
      </c>
      <c r="Q1911" s="23"/>
      <c r="R1911" s="33">
        <v>0</v>
      </c>
      <c r="S1911" s="23"/>
      <c r="T1911" s="3">
        <v>0</v>
      </c>
      <c r="U1911" s="3">
        <v>8.7999999999999995E-2</v>
      </c>
      <c r="V1911" s="3">
        <v>0</v>
      </c>
      <c r="W1911" s="3">
        <v>0</v>
      </c>
      <c r="Y1911" s="23"/>
      <c r="Z1911" s="23"/>
      <c r="AA1911" s="3" t="str">
        <f t="shared" si="15"/>
        <v>___</v>
      </c>
      <c r="AB1911" s="3" t="str">
        <f t="shared" si="14"/>
        <v>____</v>
      </c>
    </row>
    <row r="1912" spans="1:30" ht="14">
      <c r="A1912" s="3">
        <v>1911</v>
      </c>
      <c r="B1912" s="23"/>
      <c r="C1912" s="32">
        <v>1427</v>
      </c>
      <c r="D1912" s="32">
        <v>46</v>
      </c>
      <c r="E1912" s="23"/>
      <c r="F1912" s="23"/>
      <c r="G1912" s="23"/>
      <c r="H1912" s="32" t="s">
        <v>40</v>
      </c>
      <c r="I1912" s="33">
        <v>2</v>
      </c>
      <c r="J1912" s="32">
        <v>23.1</v>
      </c>
      <c r="K1912" s="32">
        <v>27.8</v>
      </c>
      <c r="L1912" s="32">
        <v>7</v>
      </c>
      <c r="M1912" s="32" t="s">
        <v>36</v>
      </c>
      <c r="N1912" s="33">
        <v>10</v>
      </c>
      <c r="O1912" s="33">
        <v>3</v>
      </c>
      <c r="P1912" s="33">
        <v>3</v>
      </c>
      <c r="Q1912" s="23"/>
      <c r="R1912" s="33">
        <v>0</v>
      </c>
      <c r="S1912" s="23"/>
      <c r="T1912" s="3">
        <v>1.5810000000000001E-2</v>
      </c>
      <c r="U1912" s="3">
        <v>2.47E-3</v>
      </c>
      <c r="V1912" s="3">
        <v>0</v>
      </c>
      <c r="W1912" s="3">
        <v>0</v>
      </c>
      <c r="Y1912" s="23"/>
      <c r="Z1912" s="23"/>
      <c r="AA1912" s="3" t="str">
        <f t="shared" si="15"/>
        <v>1427_46__vm</v>
      </c>
      <c r="AB1912" s="3" t="str">
        <f t="shared" si="14"/>
        <v>1427_46__vm_2</v>
      </c>
      <c r="AC1912" s="3"/>
      <c r="AD1912" s="3" t="s">
        <v>37</v>
      </c>
    </row>
    <row r="1913" spans="1:30" ht="14">
      <c r="A1913" s="3">
        <v>1912</v>
      </c>
      <c r="B1913" s="23"/>
      <c r="C1913" s="23"/>
      <c r="D1913" s="23"/>
      <c r="E1913" s="23"/>
      <c r="F1913" s="23"/>
      <c r="G1913" s="23"/>
      <c r="H1913" s="23"/>
      <c r="I1913" s="22"/>
      <c r="J1913" s="23"/>
      <c r="K1913" s="23"/>
      <c r="L1913" s="23"/>
      <c r="M1913" s="32" t="s">
        <v>38</v>
      </c>
      <c r="N1913" s="33">
        <v>22</v>
      </c>
      <c r="O1913" s="33">
        <v>0</v>
      </c>
      <c r="P1913" s="33">
        <v>4</v>
      </c>
      <c r="Q1913" s="23"/>
      <c r="R1913" s="33">
        <v>0</v>
      </c>
      <c r="S1913" s="23"/>
      <c r="T1913" s="3">
        <v>0</v>
      </c>
      <c r="U1913" s="3">
        <v>1.332E-2</v>
      </c>
      <c r="V1913" s="3">
        <v>0</v>
      </c>
      <c r="W1913" s="3">
        <v>0</v>
      </c>
      <c r="Y1913" s="23"/>
      <c r="Z1913" s="23"/>
      <c r="AA1913" s="3" t="str">
        <f t="shared" si="15"/>
        <v>___</v>
      </c>
      <c r="AB1913" s="3" t="str">
        <f t="shared" si="14"/>
        <v>____</v>
      </c>
    </row>
    <row r="1914" spans="1:30" ht="14">
      <c r="A1914" s="3">
        <v>1913</v>
      </c>
      <c r="B1914" s="23"/>
      <c r="C1914" s="23"/>
      <c r="D1914" s="23"/>
      <c r="E1914" s="23"/>
      <c r="F1914" s="23"/>
      <c r="G1914" s="23"/>
      <c r="H1914" s="23"/>
      <c r="I1914" s="22"/>
      <c r="J1914" s="23"/>
      <c r="K1914" s="23"/>
      <c r="L1914" s="23"/>
      <c r="M1914" s="32" t="s">
        <v>39</v>
      </c>
      <c r="N1914" s="33">
        <v>63</v>
      </c>
      <c r="O1914" s="33">
        <v>0</v>
      </c>
      <c r="P1914" s="33">
        <v>8</v>
      </c>
      <c r="Q1914" s="23"/>
      <c r="R1914" s="33">
        <v>4</v>
      </c>
      <c r="S1914" s="23"/>
      <c r="T1914" s="3">
        <v>0</v>
      </c>
      <c r="U1914" s="3">
        <v>8.7120000000000003E-2</v>
      </c>
      <c r="V1914" s="3">
        <v>0.23755999999999999</v>
      </c>
      <c r="W1914" s="3">
        <v>0</v>
      </c>
      <c r="Y1914" s="23"/>
      <c r="Z1914" s="23"/>
      <c r="AA1914" s="3" t="str">
        <f t="shared" si="15"/>
        <v>___</v>
      </c>
      <c r="AB1914" s="3" t="str">
        <f t="shared" si="14"/>
        <v>____</v>
      </c>
    </row>
    <row r="1915" spans="1:30" ht="14">
      <c r="A1915" s="3">
        <v>1914</v>
      </c>
      <c r="B1915" s="23"/>
      <c r="C1915" s="32">
        <v>1427</v>
      </c>
      <c r="D1915" s="32">
        <v>46</v>
      </c>
      <c r="E1915" s="23"/>
      <c r="F1915" s="23"/>
      <c r="G1915" s="23"/>
      <c r="H1915" s="32" t="s">
        <v>40</v>
      </c>
      <c r="I1915" s="33">
        <v>3</v>
      </c>
      <c r="J1915" s="32">
        <v>22.6</v>
      </c>
      <c r="K1915" s="32">
        <v>30.1</v>
      </c>
      <c r="L1915" s="32">
        <v>5</v>
      </c>
      <c r="M1915" s="32" t="s">
        <v>36</v>
      </c>
      <c r="N1915" s="33">
        <v>31</v>
      </c>
      <c r="O1915" s="33">
        <v>6</v>
      </c>
      <c r="P1915" s="33">
        <v>6</v>
      </c>
      <c r="Q1915" s="23"/>
      <c r="R1915" s="33">
        <v>0</v>
      </c>
      <c r="S1915" s="23"/>
      <c r="T1915" s="3">
        <v>4.3180000000000003E-2</v>
      </c>
      <c r="U1915" s="3">
        <v>1.3299999999999999E-2</v>
      </c>
      <c r="V1915" s="3">
        <v>0</v>
      </c>
      <c r="W1915" s="3">
        <v>0</v>
      </c>
      <c r="Y1915" s="23"/>
      <c r="Z1915" s="23"/>
      <c r="AA1915" s="3" t="str">
        <f t="shared" si="15"/>
        <v>1427_46__vm</v>
      </c>
      <c r="AB1915" s="3" t="str">
        <f t="shared" si="14"/>
        <v>1427_46__vm_3</v>
      </c>
      <c r="AD1915" s="3" t="s">
        <v>37</v>
      </c>
    </row>
    <row r="1916" spans="1:30" ht="14">
      <c r="A1916" s="3">
        <v>1915</v>
      </c>
      <c r="B1916" s="23"/>
      <c r="C1916" s="23"/>
      <c r="D1916" s="23"/>
      <c r="E1916" s="23"/>
      <c r="F1916" s="23"/>
      <c r="G1916" s="23"/>
      <c r="H1916" s="23"/>
      <c r="I1916" s="22"/>
      <c r="J1916" s="23"/>
      <c r="K1916" s="23"/>
      <c r="L1916" s="23"/>
      <c r="M1916" s="32" t="s">
        <v>38</v>
      </c>
      <c r="N1916" s="33">
        <v>54</v>
      </c>
      <c r="O1916" s="33">
        <v>0</v>
      </c>
      <c r="P1916" s="33">
        <v>6</v>
      </c>
      <c r="Q1916" s="23"/>
      <c r="R1916" s="33">
        <v>1</v>
      </c>
      <c r="S1916" s="23"/>
      <c r="T1916" s="3">
        <v>0</v>
      </c>
      <c r="U1916" s="3">
        <v>4.6899999999999997E-2</v>
      </c>
      <c r="V1916" s="3">
        <v>4.0259999999999997E-2</v>
      </c>
      <c r="W1916" s="3">
        <v>0</v>
      </c>
      <c r="Y1916" s="23"/>
      <c r="Z1916" s="23"/>
      <c r="AA1916" s="3" t="str">
        <f t="shared" si="15"/>
        <v>___</v>
      </c>
      <c r="AB1916" s="3" t="str">
        <f t="shared" si="14"/>
        <v>____</v>
      </c>
    </row>
    <row r="1917" spans="1:30" ht="14">
      <c r="A1917" s="3">
        <v>1916</v>
      </c>
      <c r="B1917" s="23"/>
      <c r="C1917" s="23"/>
      <c r="D1917" s="23"/>
      <c r="E1917" s="23"/>
      <c r="F1917" s="23"/>
      <c r="G1917" s="23"/>
      <c r="H1917" s="23"/>
      <c r="I1917" s="22"/>
      <c r="J1917" s="23"/>
      <c r="K1917" s="23"/>
      <c r="L1917" s="23"/>
      <c r="M1917" s="32" t="s">
        <v>39</v>
      </c>
      <c r="N1917" s="33">
        <v>97</v>
      </c>
      <c r="O1917" s="33">
        <v>0</v>
      </c>
      <c r="P1917" s="33">
        <v>9</v>
      </c>
      <c r="Q1917" s="23"/>
      <c r="R1917" s="33">
        <v>1</v>
      </c>
      <c r="S1917" s="23"/>
      <c r="T1917" s="3">
        <v>0</v>
      </c>
      <c r="U1917" s="3">
        <v>0.17587</v>
      </c>
      <c r="V1917" s="3">
        <v>8.8319999999999996E-2</v>
      </c>
      <c r="W1917" s="3">
        <v>0</v>
      </c>
      <c r="Y1917" s="23"/>
      <c r="Z1917" s="23"/>
      <c r="AA1917" s="3" t="str">
        <f t="shared" si="15"/>
        <v>___</v>
      </c>
      <c r="AB1917" s="3" t="str">
        <f t="shared" si="14"/>
        <v>____</v>
      </c>
    </row>
    <row r="1918" spans="1:30" ht="14">
      <c r="A1918" s="3">
        <v>1917</v>
      </c>
      <c r="B1918" s="23"/>
      <c r="C1918" s="32">
        <v>792</v>
      </c>
      <c r="D1918" s="32">
        <v>33</v>
      </c>
      <c r="E1918" s="23"/>
      <c r="F1918" s="23"/>
      <c r="G1918" s="23"/>
      <c r="H1918" s="32" t="s">
        <v>35</v>
      </c>
      <c r="I1918" s="33">
        <v>1</v>
      </c>
      <c r="J1918" s="32">
        <v>10.199999999999999</v>
      </c>
      <c r="K1918" s="32">
        <v>11.1</v>
      </c>
      <c r="L1918" s="32">
        <v>5</v>
      </c>
      <c r="M1918" s="32" t="s">
        <v>36</v>
      </c>
      <c r="N1918" s="33">
        <v>47</v>
      </c>
      <c r="O1918" s="33">
        <v>11</v>
      </c>
      <c r="P1918" s="33">
        <v>15</v>
      </c>
      <c r="Q1918" s="23"/>
      <c r="R1918" s="33">
        <v>0</v>
      </c>
      <c r="S1918" s="23"/>
      <c r="T1918" s="3">
        <v>1.866E-2</v>
      </c>
      <c r="U1918" s="3">
        <v>9.4400000000000005E-3</v>
      </c>
      <c r="V1918" s="3">
        <v>0</v>
      </c>
      <c r="W1918" s="3">
        <v>0</v>
      </c>
      <c r="Y1918" s="23"/>
      <c r="Z1918" s="23"/>
      <c r="AA1918" s="3" t="str">
        <f t="shared" si="15"/>
        <v>792_33__vv</v>
      </c>
      <c r="AB1918" s="3" t="str">
        <f t="shared" si="14"/>
        <v>792_33__vv_1</v>
      </c>
      <c r="AD1918" s="3" t="s">
        <v>37</v>
      </c>
    </row>
    <row r="1919" spans="1:30" ht="14">
      <c r="A1919" s="3">
        <v>1918</v>
      </c>
      <c r="B1919" s="23"/>
      <c r="C1919" s="23"/>
      <c r="D1919" s="23"/>
      <c r="E1919" s="23"/>
      <c r="F1919" s="23"/>
      <c r="G1919" s="23"/>
      <c r="H1919" s="23"/>
      <c r="I1919" s="22"/>
      <c r="J1919" s="23"/>
      <c r="K1919" s="23"/>
      <c r="L1919" s="23"/>
      <c r="M1919" s="32" t="s">
        <v>38</v>
      </c>
      <c r="N1919" s="33">
        <v>9</v>
      </c>
      <c r="O1919" s="33">
        <v>0</v>
      </c>
      <c r="P1919" s="33">
        <v>8</v>
      </c>
      <c r="Q1919" s="23"/>
      <c r="R1919" s="33">
        <v>0</v>
      </c>
      <c r="S1919" s="23"/>
      <c r="T1919" s="3">
        <v>0</v>
      </c>
      <c r="U1919" s="3">
        <v>2.4399999999999999E-3</v>
      </c>
      <c r="V1919" s="3">
        <v>0</v>
      </c>
      <c r="W1919" s="3">
        <v>0</v>
      </c>
      <c r="Y1919" s="23"/>
      <c r="Z1919" s="23"/>
      <c r="AA1919" s="3" t="str">
        <f t="shared" si="15"/>
        <v>___</v>
      </c>
      <c r="AB1919" s="3" t="str">
        <f t="shared" si="14"/>
        <v>____</v>
      </c>
    </row>
    <row r="1920" spans="1:30" ht="14">
      <c r="A1920" s="3">
        <v>1919</v>
      </c>
      <c r="B1920" s="23"/>
      <c r="C1920" s="23"/>
      <c r="D1920" s="23"/>
      <c r="E1920" s="23"/>
      <c r="F1920" s="23"/>
      <c r="G1920" s="23"/>
      <c r="H1920" s="23"/>
      <c r="I1920" s="22"/>
      <c r="J1920" s="23"/>
      <c r="K1920" s="23"/>
      <c r="L1920" s="23"/>
      <c r="M1920" s="32" t="s">
        <v>39</v>
      </c>
      <c r="N1920" s="33">
        <v>11</v>
      </c>
      <c r="O1920" s="33">
        <v>1</v>
      </c>
      <c r="P1920" s="33">
        <v>6</v>
      </c>
      <c r="Q1920" s="23"/>
      <c r="R1920" s="33">
        <v>0</v>
      </c>
      <c r="S1920" s="23"/>
      <c r="T1920" s="3">
        <v>2.32E-3</v>
      </c>
      <c r="U1920" s="3">
        <v>3.0200000000000001E-3</v>
      </c>
      <c r="V1920" s="3">
        <v>0</v>
      </c>
      <c r="W1920" s="3">
        <v>0</v>
      </c>
      <c r="Y1920" s="23"/>
      <c r="Z1920" s="23"/>
      <c r="AA1920" s="3" t="str">
        <f t="shared" si="15"/>
        <v>___</v>
      </c>
      <c r="AB1920" s="3" t="str">
        <f t="shared" si="14"/>
        <v>____</v>
      </c>
    </row>
    <row r="1921" spans="1:30" ht="14">
      <c r="A1921" s="3">
        <v>1920</v>
      </c>
      <c r="B1921" s="23"/>
      <c r="C1921" s="32">
        <v>792</v>
      </c>
      <c r="D1921" s="32">
        <v>33</v>
      </c>
      <c r="E1921" s="23"/>
      <c r="F1921" s="23"/>
      <c r="G1921" s="23"/>
      <c r="H1921" s="32" t="s">
        <v>35</v>
      </c>
      <c r="I1921" s="33">
        <v>2</v>
      </c>
      <c r="J1921" s="32">
        <v>10.6</v>
      </c>
      <c r="K1921" s="32">
        <v>12.2</v>
      </c>
      <c r="L1921" s="32">
        <v>4</v>
      </c>
      <c r="M1921" s="32" t="s">
        <v>36</v>
      </c>
      <c r="N1921" s="33">
        <v>7</v>
      </c>
      <c r="O1921" s="33">
        <v>6</v>
      </c>
      <c r="P1921" s="33">
        <v>7</v>
      </c>
      <c r="Q1921" s="23"/>
      <c r="R1921" s="33">
        <v>0</v>
      </c>
      <c r="S1921" s="23"/>
      <c r="T1921" s="3">
        <v>1.5630000000000002E-2</v>
      </c>
      <c r="U1921" s="3">
        <v>2.5600000000000002E-3</v>
      </c>
      <c r="V1921" s="3">
        <v>0</v>
      </c>
      <c r="W1921" s="3">
        <v>0</v>
      </c>
      <c r="Y1921" s="23"/>
      <c r="Z1921" s="23"/>
      <c r="AA1921" s="3" t="str">
        <f t="shared" si="15"/>
        <v>792_33__vv</v>
      </c>
      <c r="AB1921" s="3" t="str">
        <f t="shared" si="14"/>
        <v>792_33__vv_2</v>
      </c>
      <c r="AD1921" s="3" t="s">
        <v>37</v>
      </c>
    </row>
    <row r="1922" spans="1:30" ht="14">
      <c r="A1922" s="3">
        <v>1921</v>
      </c>
      <c r="B1922" s="23"/>
      <c r="C1922" s="23"/>
      <c r="D1922" s="23"/>
      <c r="E1922" s="23"/>
      <c r="F1922" s="23"/>
      <c r="G1922" s="23"/>
      <c r="H1922" s="23"/>
      <c r="I1922" s="22"/>
      <c r="J1922" s="23"/>
      <c r="K1922" s="23"/>
      <c r="L1922" s="23"/>
      <c r="M1922" s="32" t="s">
        <v>38</v>
      </c>
      <c r="N1922" s="33">
        <v>54</v>
      </c>
      <c r="O1922" s="33">
        <v>9</v>
      </c>
      <c r="P1922" s="33">
        <v>13</v>
      </c>
      <c r="Q1922" s="23"/>
      <c r="R1922" s="33">
        <v>0</v>
      </c>
      <c r="S1922" s="23"/>
      <c r="T1922" s="3">
        <v>4.5600000000000002E-2</v>
      </c>
      <c r="U1922" s="3">
        <v>2.7539999999999999E-2</v>
      </c>
      <c r="V1922" s="3">
        <v>0</v>
      </c>
      <c r="Y1922" s="23"/>
      <c r="Z1922" s="23"/>
      <c r="AA1922" s="3" t="str">
        <f t="shared" si="15"/>
        <v>___</v>
      </c>
      <c r="AB1922" s="3" t="str">
        <f t="shared" si="14"/>
        <v>____</v>
      </c>
    </row>
    <row r="1923" spans="1:30" ht="14">
      <c r="A1923" s="3">
        <v>1922</v>
      </c>
      <c r="B1923" s="23"/>
      <c r="C1923" s="23"/>
      <c r="D1923" s="23"/>
      <c r="E1923" s="23"/>
      <c r="F1923" s="23"/>
      <c r="G1923" s="23"/>
      <c r="H1923" s="23"/>
      <c r="I1923" s="22"/>
      <c r="J1923" s="23"/>
      <c r="K1923" s="23"/>
      <c r="L1923" s="23"/>
      <c r="M1923" s="32" t="s">
        <v>39</v>
      </c>
      <c r="N1923" s="33">
        <v>36</v>
      </c>
      <c r="O1923" s="33">
        <v>0</v>
      </c>
      <c r="P1923" s="33">
        <v>6</v>
      </c>
      <c r="Q1923" s="23"/>
      <c r="R1923" s="33">
        <v>0</v>
      </c>
      <c r="S1923" s="23"/>
      <c r="T1923" s="3">
        <v>0</v>
      </c>
      <c r="U1923" s="3">
        <v>2.5409999999999999E-2</v>
      </c>
      <c r="V1923" s="3">
        <v>0</v>
      </c>
      <c r="Y1923" s="23"/>
      <c r="Z1923" s="23"/>
      <c r="AA1923" s="3" t="str">
        <f t="shared" si="15"/>
        <v>___</v>
      </c>
      <c r="AB1923" s="3" t="str">
        <f t="shared" si="14"/>
        <v>____</v>
      </c>
    </row>
    <row r="1924" spans="1:30" ht="14">
      <c r="A1924" s="3">
        <v>1923</v>
      </c>
      <c r="B1924" s="23"/>
      <c r="C1924" s="32">
        <v>792</v>
      </c>
      <c r="D1924" s="32">
        <v>33</v>
      </c>
      <c r="E1924" s="23"/>
      <c r="F1924" s="23"/>
      <c r="G1924" s="23"/>
      <c r="H1924" s="32" t="s">
        <v>35</v>
      </c>
      <c r="I1924" s="33">
        <v>3</v>
      </c>
      <c r="J1924" s="32">
        <v>11.8</v>
      </c>
      <c r="K1924" s="32">
        <v>12.1</v>
      </c>
      <c r="L1924" s="32">
        <v>5</v>
      </c>
      <c r="M1924" s="32" t="s">
        <v>36</v>
      </c>
      <c r="N1924" s="33">
        <v>4</v>
      </c>
      <c r="O1924" s="33">
        <v>4</v>
      </c>
      <c r="P1924" s="33">
        <v>4</v>
      </c>
      <c r="Q1924" s="23"/>
      <c r="R1924" s="33">
        <v>0</v>
      </c>
      <c r="S1924" s="23"/>
      <c r="T1924" s="3">
        <v>5.0499999999999998E-3</v>
      </c>
      <c r="U1924" s="3">
        <v>4.2000000000000002E-4</v>
      </c>
      <c r="V1924" s="3">
        <v>0</v>
      </c>
      <c r="Y1924" s="23"/>
      <c r="Z1924" s="23"/>
      <c r="AA1924" s="3" t="str">
        <f t="shared" si="15"/>
        <v>792_33__vv</v>
      </c>
      <c r="AB1924" s="3" t="str">
        <f t="shared" si="14"/>
        <v>792_33__vv_3</v>
      </c>
      <c r="AD1924" s="3" t="s">
        <v>37</v>
      </c>
    </row>
    <row r="1925" spans="1:30" ht="14">
      <c r="A1925" s="3">
        <v>1924</v>
      </c>
      <c r="B1925" s="23"/>
      <c r="C1925" s="23"/>
      <c r="D1925" s="23"/>
      <c r="E1925" s="23"/>
      <c r="F1925" s="23"/>
      <c r="G1925" s="23"/>
      <c r="H1925" s="23"/>
      <c r="I1925" s="22"/>
      <c r="J1925" s="23"/>
      <c r="K1925" s="23"/>
      <c r="L1925" s="23"/>
      <c r="M1925" s="32" t="s">
        <v>38</v>
      </c>
      <c r="N1925" s="33">
        <v>36</v>
      </c>
      <c r="O1925" s="33">
        <v>9</v>
      </c>
      <c r="P1925" s="33">
        <v>13</v>
      </c>
      <c r="Q1925" s="23"/>
      <c r="R1925" s="33">
        <v>0</v>
      </c>
      <c r="S1925" s="23"/>
      <c r="T1925" s="3">
        <v>5.987E-2</v>
      </c>
      <c r="U1925" s="3">
        <v>9.7099999999999999E-3</v>
      </c>
      <c r="V1925" s="3">
        <v>0</v>
      </c>
      <c r="Y1925" s="23"/>
      <c r="Z1925" s="23"/>
      <c r="AA1925" s="3" t="str">
        <f t="shared" si="15"/>
        <v>___</v>
      </c>
      <c r="AB1925" s="3" t="str">
        <f t="shared" si="14"/>
        <v>____</v>
      </c>
    </row>
    <row r="1926" spans="1:30" ht="14">
      <c r="A1926" s="3">
        <v>1925</v>
      </c>
      <c r="B1926" s="23"/>
      <c r="C1926" s="23"/>
      <c r="D1926" s="23"/>
      <c r="E1926" s="23"/>
      <c r="F1926" s="23"/>
      <c r="G1926" s="23"/>
      <c r="H1926" s="23"/>
      <c r="I1926" s="22"/>
      <c r="J1926" s="23"/>
      <c r="K1926" s="23"/>
      <c r="L1926" s="23"/>
      <c r="M1926" s="32" t="s">
        <v>39</v>
      </c>
      <c r="N1926" s="33">
        <v>26</v>
      </c>
      <c r="O1926" s="33">
        <v>6</v>
      </c>
      <c r="P1926" s="33">
        <v>11</v>
      </c>
      <c r="Q1926" s="23"/>
      <c r="R1926" s="33">
        <v>0</v>
      </c>
      <c r="S1926" s="23"/>
      <c r="T1926" s="3">
        <v>3.7109999999999997E-2</v>
      </c>
      <c r="U1926" s="3">
        <v>1.6729999999999998E-2</v>
      </c>
      <c r="V1926" s="3">
        <v>0</v>
      </c>
      <c r="Y1926" s="23"/>
      <c r="Z1926" s="23"/>
      <c r="AA1926" s="3" t="str">
        <f t="shared" si="15"/>
        <v>___</v>
      </c>
      <c r="AB1926" s="3" t="str">
        <f t="shared" si="14"/>
        <v>____</v>
      </c>
    </row>
    <row r="1927" spans="1:30" ht="14">
      <c r="A1927" s="3">
        <v>1926</v>
      </c>
      <c r="B1927" s="23"/>
      <c r="C1927" s="32">
        <v>792</v>
      </c>
      <c r="D1927" s="32">
        <v>33</v>
      </c>
      <c r="E1927" s="23"/>
      <c r="F1927" s="23"/>
      <c r="G1927" s="23"/>
      <c r="H1927" s="32" t="s">
        <v>40</v>
      </c>
      <c r="I1927" s="33">
        <v>1</v>
      </c>
      <c r="J1927" s="32">
        <v>14.8</v>
      </c>
      <c r="K1927" s="32">
        <v>17.2</v>
      </c>
      <c r="L1927" s="32">
        <v>5</v>
      </c>
      <c r="M1927" s="32" t="s">
        <v>36</v>
      </c>
      <c r="N1927" s="33">
        <v>28</v>
      </c>
      <c r="O1927" s="33">
        <v>6</v>
      </c>
      <c r="P1927" s="33">
        <v>8</v>
      </c>
      <c r="Q1927" s="23"/>
      <c r="R1927" s="33">
        <v>0</v>
      </c>
      <c r="S1927" s="23"/>
      <c r="T1927" s="3">
        <v>2.017E-2</v>
      </c>
      <c r="U1927" s="3">
        <v>1.0970000000000001E-2</v>
      </c>
      <c r="V1927" s="3">
        <v>0</v>
      </c>
      <c r="Y1927" s="23"/>
      <c r="Z1927" s="23"/>
      <c r="AA1927" s="3" t="str">
        <f t="shared" si="15"/>
        <v>792_33__vm</v>
      </c>
      <c r="AB1927" s="3" t="str">
        <f t="shared" si="14"/>
        <v>792_33__vm_1</v>
      </c>
      <c r="AD1927" s="3" t="s">
        <v>37</v>
      </c>
    </row>
    <row r="1928" spans="1:30" ht="14">
      <c r="A1928" s="3">
        <v>1927</v>
      </c>
      <c r="B1928" s="23"/>
      <c r="C1928" s="23"/>
      <c r="D1928" s="23"/>
      <c r="E1928" s="23"/>
      <c r="F1928" s="23"/>
      <c r="G1928" s="23"/>
      <c r="H1928" s="23"/>
      <c r="I1928" s="22"/>
      <c r="J1928" s="23"/>
      <c r="K1928" s="23"/>
      <c r="L1928" s="23"/>
      <c r="M1928" s="32" t="s">
        <v>38</v>
      </c>
      <c r="N1928" s="33">
        <v>59</v>
      </c>
      <c r="O1928" s="33">
        <v>0</v>
      </c>
      <c r="P1928" s="33">
        <v>10</v>
      </c>
      <c r="Q1928" s="23"/>
      <c r="R1928" s="33">
        <v>2</v>
      </c>
      <c r="S1928" s="23"/>
      <c r="T1928" s="3">
        <v>0</v>
      </c>
      <c r="U1928" s="3">
        <v>4.5960000000000001E-2</v>
      </c>
      <c r="V1928" s="3">
        <v>4.5629999999999997E-2</v>
      </c>
      <c r="Y1928" s="23"/>
      <c r="Z1928" s="23"/>
      <c r="AA1928" s="3" t="str">
        <f t="shared" si="15"/>
        <v>___</v>
      </c>
      <c r="AB1928" s="3" t="str">
        <f t="shared" si="14"/>
        <v>____</v>
      </c>
    </row>
    <row r="1929" spans="1:30" ht="14">
      <c r="A1929" s="3">
        <v>1928</v>
      </c>
      <c r="B1929" s="23"/>
      <c r="C1929" s="23"/>
      <c r="D1929" s="23"/>
      <c r="E1929" s="23"/>
      <c r="F1929" s="23"/>
      <c r="G1929" s="23"/>
      <c r="H1929" s="23"/>
      <c r="I1929" s="22"/>
      <c r="J1929" s="23"/>
      <c r="K1929" s="23"/>
      <c r="L1929" s="23"/>
      <c r="M1929" s="32" t="s">
        <v>39</v>
      </c>
      <c r="N1929" s="33">
        <v>53</v>
      </c>
      <c r="O1929" s="33">
        <v>0</v>
      </c>
      <c r="P1929" s="33">
        <v>8</v>
      </c>
      <c r="Q1929" s="23"/>
      <c r="R1929" s="33">
        <v>2</v>
      </c>
      <c r="S1929" s="23"/>
      <c r="T1929" s="3">
        <v>0</v>
      </c>
      <c r="U1929" s="3">
        <v>7.2520000000000001E-2</v>
      </c>
      <c r="V1929" s="3">
        <v>0.10475</v>
      </c>
      <c r="Y1929" s="23"/>
      <c r="Z1929" s="23"/>
      <c r="AA1929" s="3" t="str">
        <f t="shared" si="15"/>
        <v>___</v>
      </c>
      <c r="AB1929" s="3" t="str">
        <f t="shared" si="14"/>
        <v>____</v>
      </c>
    </row>
    <row r="1930" spans="1:30" ht="14">
      <c r="A1930" s="3">
        <v>1929</v>
      </c>
      <c r="B1930" s="23"/>
      <c r="C1930" s="32">
        <v>792</v>
      </c>
      <c r="D1930" s="32">
        <v>33</v>
      </c>
      <c r="E1930" s="23"/>
      <c r="F1930" s="23"/>
      <c r="G1930" s="23"/>
      <c r="H1930" s="32" t="s">
        <v>40</v>
      </c>
      <c r="I1930" s="33">
        <v>2</v>
      </c>
      <c r="J1930" s="32">
        <v>10.4</v>
      </c>
      <c r="K1930" s="32">
        <v>13.1</v>
      </c>
      <c r="L1930" s="32">
        <v>5</v>
      </c>
      <c r="M1930" s="32" t="s">
        <v>36</v>
      </c>
      <c r="N1930" s="33">
        <v>12</v>
      </c>
      <c r="O1930" s="33">
        <v>4</v>
      </c>
      <c r="P1930" s="33">
        <v>4</v>
      </c>
      <c r="Q1930" s="23"/>
      <c r="R1930" s="33">
        <v>0</v>
      </c>
      <c r="S1930" s="23"/>
      <c r="T1930" s="3">
        <v>8.6199999999999992E-3</v>
      </c>
      <c r="U1930" s="3">
        <v>2.7100000000000002E-3</v>
      </c>
      <c r="V1930" s="3">
        <v>0</v>
      </c>
      <c r="Y1930" s="23"/>
      <c r="Z1930" s="23"/>
      <c r="AA1930" s="3" t="str">
        <f t="shared" si="15"/>
        <v>792_33__vm</v>
      </c>
      <c r="AB1930" s="3" t="str">
        <f t="shared" si="14"/>
        <v>792_33__vm_2</v>
      </c>
      <c r="AD1930" s="3" t="s">
        <v>37</v>
      </c>
    </row>
    <row r="1931" spans="1:30" ht="14">
      <c r="A1931" s="3">
        <v>1930</v>
      </c>
      <c r="B1931" s="23"/>
      <c r="C1931" s="23"/>
      <c r="D1931" s="23"/>
      <c r="E1931" s="23"/>
      <c r="F1931" s="23"/>
      <c r="G1931" s="23"/>
      <c r="H1931" s="23"/>
      <c r="I1931" s="22"/>
      <c r="J1931" s="23"/>
      <c r="K1931" s="23"/>
      <c r="L1931" s="23"/>
      <c r="M1931" s="32" t="s">
        <v>38</v>
      </c>
      <c r="N1931" s="33">
        <v>23</v>
      </c>
      <c r="O1931" s="33">
        <v>0</v>
      </c>
      <c r="P1931" s="33">
        <v>6</v>
      </c>
      <c r="Q1931" s="23"/>
      <c r="R1931" s="33">
        <v>1</v>
      </c>
      <c r="S1931" s="23"/>
      <c r="T1931" s="3">
        <v>0</v>
      </c>
      <c r="U1931" s="3">
        <v>8.4100000000000008E-3</v>
      </c>
      <c r="V1931" s="3">
        <v>8.7799999999999996E-3</v>
      </c>
      <c r="Y1931" s="23"/>
      <c r="Z1931" s="23"/>
      <c r="AA1931" s="3" t="str">
        <f t="shared" si="15"/>
        <v>___</v>
      </c>
      <c r="AB1931" s="3" t="str">
        <f t="shared" si="14"/>
        <v>____</v>
      </c>
    </row>
    <row r="1932" spans="1:30" ht="14">
      <c r="A1932" s="3">
        <v>1931</v>
      </c>
      <c r="B1932" s="23"/>
      <c r="C1932" s="23"/>
      <c r="D1932" s="23"/>
      <c r="E1932" s="23"/>
      <c r="F1932" s="23"/>
      <c r="G1932" s="23"/>
      <c r="H1932" s="23"/>
      <c r="I1932" s="22"/>
      <c r="J1932" s="23"/>
      <c r="K1932" s="23"/>
      <c r="L1932" s="23"/>
      <c r="M1932" s="32" t="s">
        <v>39</v>
      </c>
      <c r="N1932" s="33">
        <v>36</v>
      </c>
      <c r="O1932" s="33">
        <v>0</v>
      </c>
      <c r="P1932" s="33">
        <v>8</v>
      </c>
      <c r="Q1932" s="23"/>
      <c r="R1932" s="33">
        <v>2</v>
      </c>
      <c r="S1932" s="23"/>
      <c r="T1932" s="3">
        <v>0</v>
      </c>
      <c r="U1932" s="3">
        <v>1.8700000000000001E-2</v>
      </c>
      <c r="V1932" s="3">
        <v>9.5099999999999994E-3</v>
      </c>
      <c r="Y1932" s="23"/>
      <c r="Z1932" s="23"/>
      <c r="AA1932" s="3" t="str">
        <f t="shared" si="15"/>
        <v>___</v>
      </c>
      <c r="AB1932" s="3" t="str">
        <f t="shared" si="14"/>
        <v>____</v>
      </c>
    </row>
    <row r="1933" spans="1:30" ht="14">
      <c r="A1933" s="3">
        <v>1932</v>
      </c>
      <c r="B1933" s="23"/>
      <c r="C1933" s="32">
        <v>792</v>
      </c>
      <c r="D1933" s="32">
        <v>33</v>
      </c>
      <c r="E1933" s="23"/>
      <c r="F1933" s="23"/>
      <c r="G1933" s="23"/>
      <c r="H1933" s="32" t="s">
        <v>40</v>
      </c>
      <c r="I1933" s="33">
        <v>3</v>
      </c>
      <c r="J1933" s="32">
        <v>12.5</v>
      </c>
      <c r="K1933" s="32">
        <v>13.7</v>
      </c>
      <c r="L1933" s="32">
        <v>7</v>
      </c>
      <c r="M1933" s="32" t="s">
        <v>36</v>
      </c>
      <c r="N1933" s="33">
        <v>16</v>
      </c>
      <c r="O1933" s="33">
        <v>6</v>
      </c>
      <c r="P1933" s="33">
        <v>6</v>
      </c>
      <c r="Q1933" s="23"/>
      <c r="R1933" s="33">
        <v>0</v>
      </c>
      <c r="S1933" s="23"/>
      <c r="T1933" s="3">
        <v>1.074E-2</v>
      </c>
      <c r="U1933" s="3">
        <v>4.8799999999999998E-3</v>
      </c>
      <c r="V1933" s="3">
        <v>0</v>
      </c>
      <c r="Y1933" s="23"/>
      <c r="Z1933" s="23"/>
      <c r="AA1933" s="3" t="str">
        <f t="shared" si="15"/>
        <v>792_33__vm</v>
      </c>
      <c r="AB1933" s="3" t="str">
        <f t="shared" si="14"/>
        <v>792_33__vm_3</v>
      </c>
      <c r="AD1933" s="3" t="s">
        <v>37</v>
      </c>
    </row>
    <row r="1934" spans="1:30" ht="14">
      <c r="A1934" s="3">
        <v>1933</v>
      </c>
      <c r="B1934" s="23"/>
      <c r="C1934" s="23"/>
      <c r="D1934" s="23"/>
      <c r="E1934" s="23"/>
      <c r="F1934" s="23"/>
      <c r="G1934" s="23"/>
      <c r="H1934" s="23"/>
      <c r="I1934" s="22"/>
      <c r="J1934" s="23"/>
      <c r="K1934" s="23"/>
      <c r="L1934" s="23"/>
      <c r="M1934" s="32" t="s">
        <v>38</v>
      </c>
      <c r="N1934" s="33">
        <v>23</v>
      </c>
      <c r="O1934" s="33">
        <v>0</v>
      </c>
      <c r="P1934" s="33">
        <v>7</v>
      </c>
      <c r="Q1934" s="23"/>
      <c r="R1934" s="33">
        <v>1</v>
      </c>
      <c r="S1934" s="23"/>
      <c r="T1934" s="3">
        <v>0</v>
      </c>
      <c r="U1934" s="3">
        <v>1.04E-2</v>
      </c>
      <c r="V1934" s="3">
        <v>1.153E-2</v>
      </c>
      <c r="Y1934" s="23"/>
      <c r="Z1934" s="23"/>
      <c r="AA1934" s="3" t="str">
        <f t="shared" si="15"/>
        <v>___</v>
      </c>
      <c r="AB1934" s="3" t="str">
        <f t="shared" si="14"/>
        <v>____</v>
      </c>
    </row>
    <row r="1935" spans="1:30" ht="14">
      <c r="A1935" s="3">
        <v>1934</v>
      </c>
      <c r="B1935" s="23"/>
      <c r="C1935" s="23"/>
      <c r="D1935" s="23"/>
      <c r="E1935" s="23"/>
      <c r="F1935" s="23"/>
      <c r="G1935" s="23"/>
      <c r="H1935" s="23"/>
      <c r="I1935" s="22"/>
      <c r="J1935" s="23"/>
      <c r="K1935" s="23"/>
      <c r="L1935" s="23"/>
      <c r="M1935" s="32" t="s">
        <v>39</v>
      </c>
      <c r="N1935" s="33">
        <v>40</v>
      </c>
      <c r="O1935" s="33">
        <v>0</v>
      </c>
      <c r="P1935" s="33">
        <v>8</v>
      </c>
      <c r="Q1935" s="23"/>
      <c r="R1935" s="33">
        <v>1</v>
      </c>
      <c r="S1935" s="23"/>
      <c r="T1935" s="3">
        <v>0</v>
      </c>
      <c r="U1935" s="3">
        <v>2.3779999999999999E-2</v>
      </c>
      <c r="V1935" s="3">
        <v>1.9009999999999999E-2</v>
      </c>
      <c r="Y1935" s="23"/>
      <c r="Z1935" s="23"/>
      <c r="AA1935" s="3" t="str">
        <f t="shared" si="15"/>
        <v>___</v>
      </c>
      <c r="AB1935" s="3" t="str">
        <f t="shared" si="14"/>
        <v>____</v>
      </c>
    </row>
    <row r="1936" spans="1:30" ht="14">
      <c r="A1936" s="3">
        <v>1935</v>
      </c>
      <c r="B1936" s="23"/>
      <c r="C1936" s="32">
        <v>8</v>
      </c>
      <c r="D1936" s="32">
        <v>15</v>
      </c>
      <c r="E1936" s="23"/>
      <c r="F1936" s="23"/>
      <c r="G1936" s="23"/>
      <c r="H1936" s="32" t="s">
        <v>35</v>
      </c>
      <c r="I1936" s="33">
        <v>1</v>
      </c>
      <c r="J1936" s="32">
        <v>9.1</v>
      </c>
      <c r="K1936" s="32">
        <v>9.1</v>
      </c>
      <c r="L1936" s="32">
        <v>3</v>
      </c>
      <c r="M1936" s="32" t="s">
        <v>36</v>
      </c>
      <c r="N1936" s="33">
        <v>13</v>
      </c>
      <c r="O1936" s="33">
        <v>10</v>
      </c>
      <c r="P1936" s="33">
        <v>11</v>
      </c>
      <c r="Q1936" s="23"/>
      <c r="R1936" s="33">
        <v>0</v>
      </c>
      <c r="S1936" s="23"/>
      <c r="T1936" s="3">
        <v>2.7650000000000001E-2</v>
      </c>
      <c r="U1936" s="3">
        <v>2.9099999999999998E-3</v>
      </c>
      <c r="V1936" s="3">
        <v>0</v>
      </c>
      <c r="Y1936" s="23"/>
      <c r="Z1936" s="23"/>
      <c r="AA1936" s="3" t="str">
        <f t="shared" si="15"/>
        <v>8_15__vv</v>
      </c>
      <c r="AB1936" s="3" t="str">
        <f t="shared" si="14"/>
        <v>8_15__vv_1</v>
      </c>
      <c r="AD1936" s="3" t="s">
        <v>37</v>
      </c>
    </row>
    <row r="1937" spans="1:30" ht="14">
      <c r="A1937" s="3">
        <v>1936</v>
      </c>
      <c r="B1937" s="23"/>
      <c r="C1937" s="23"/>
      <c r="D1937" s="23"/>
      <c r="E1937" s="23"/>
      <c r="F1937" s="23"/>
      <c r="G1937" s="23"/>
      <c r="H1937" s="23"/>
      <c r="I1937" s="22"/>
      <c r="J1937" s="23"/>
      <c r="K1937" s="23"/>
      <c r="L1937" s="23"/>
      <c r="M1937" s="32" t="s">
        <v>38</v>
      </c>
      <c r="N1937" s="33">
        <v>24</v>
      </c>
      <c r="O1937" s="33">
        <v>9</v>
      </c>
      <c r="P1937" s="33">
        <v>9</v>
      </c>
      <c r="Q1937" s="23"/>
      <c r="R1937" s="33">
        <v>1</v>
      </c>
      <c r="S1937" s="23"/>
      <c r="T1937" s="3">
        <v>4.7239999999999997E-2</v>
      </c>
      <c r="U1937" s="3">
        <v>1.2319999999999999E-2</v>
      </c>
      <c r="V1937" s="3">
        <v>0</v>
      </c>
      <c r="Y1937" s="32" t="s">
        <v>252</v>
      </c>
      <c r="Z1937" s="23"/>
      <c r="AA1937" s="3" t="str">
        <f t="shared" si="15"/>
        <v>___</v>
      </c>
      <c r="AB1937" s="3" t="str">
        <f t="shared" si="14"/>
        <v>____</v>
      </c>
    </row>
    <row r="1938" spans="1:30" ht="14">
      <c r="A1938" s="3">
        <v>1937</v>
      </c>
      <c r="B1938" s="23"/>
      <c r="C1938" s="23"/>
      <c r="D1938" s="23"/>
      <c r="E1938" s="23"/>
      <c r="F1938" s="23"/>
      <c r="G1938" s="23"/>
      <c r="H1938" s="23"/>
      <c r="I1938" s="22"/>
      <c r="J1938" s="23"/>
      <c r="K1938" s="23"/>
      <c r="L1938" s="23"/>
      <c r="M1938" s="32" t="s">
        <v>39</v>
      </c>
      <c r="N1938" s="33">
        <v>54</v>
      </c>
      <c r="O1938" s="33">
        <v>4</v>
      </c>
      <c r="P1938" s="33">
        <v>18</v>
      </c>
      <c r="Q1938" s="23"/>
      <c r="R1938" s="33">
        <v>2</v>
      </c>
      <c r="S1938" s="23"/>
      <c r="T1938" s="3">
        <v>0</v>
      </c>
      <c r="U1938" s="3">
        <v>2.7730000000000001E-2</v>
      </c>
      <c r="V1938" s="3">
        <v>4.632E-2</v>
      </c>
      <c r="Y1938" s="23"/>
      <c r="Z1938" s="23"/>
      <c r="AA1938" s="3" t="str">
        <f t="shared" si="15"/>
        <v>___</v>
      </c>
      <c r="AB1938" s="3" t="str">
        <f t="shared" si="14"/>
        <v>____</v>
      </c>
    </row>
    <row r="1939" spans="1:30" ht="14">
      <c r="A1939" s="3">
        <v>1938</v>
      </c>
      <c r="B1939" s="23"/>
      <c r="C1939" s="32">
        <v>8</v>
      </c>
      <c r="D1939" s="32">
        <v>15</v>
      </c>
      <c r="E1939" s="23"/>
      <c r="F1939" s="23"/>
      <c r="G1939" s="23"/>
      <c r="H1939" s="32" t="s">
        <v>35</v>
      </c>
      <c r="I1939" s="33">
        <v>2</v>
      </c>
      <c r="J1939" s="32">
        <v>7.9</v>
      </c>
      <c r="K1939" s="32">
        <v>7.1</v>
      </c>
      <c r="L1939" s="32">
        <v>2</v>
      </c>
      <c r="M1939" s="32" t="s">
        <v>36</v>
      </c>
      <c r="N1939" s="33">
        <v>32</v>
      </c>
      <c r="O1939" s="33">
        <v>12</v>
      </c>
      <c r="P1939" s="33">
        <v>18</v>
      </c>
      <c r="Q1939" s="23"/>
      <c r="R1939" s="33">
        <v>0</v>
      </c>
      <c r="S1939" s="23"/>
      <c r="T1939" s="3">
        <v>1.1270000000000001E-2</v>
      </c>
      <c r="U1939" s="3">
        <v>1.1270000000000001E-2</v>
      </c>
      <c r="V1939" s="3">
        <v>0</v>
      </c>
      <c r="Y1939" s="23"/>
      <c r="Z1939" s="23"/>
      <c r="AA1939" s="3" t="str">
        <f t="shared" si="15"/>
        <v>8_15__vv</v>
      </c>
      <c r="AB1939" s="3" t="str">
        <f t="shared" si="14"/>
        <v>8_15__vv_2</v>
      </c>
      <c r="AD1939" s="3" t="s">
        <v>37</v>
      </c>
    </row>
    <row r="1940" spans="1:30" ht="14">
      <c r="A1940" s="3">
        <v>1939</v>
      </c>
      <c r="B1940" s="23"/>
      <c r="C1940" s="23"/>
      <c r="D1940" s="23"/>
      <c r="E1940" s="23"/>
      <c r="F1940" s="23"/>
      <c r="G1940" s="23"/>
      <c r="H1940" s="23"/>
      <c r="I1940" s="22"/>
      <c r="J1940" s="23"/>
      <c r="K1940" s="23"/>
      <c r="L1940" s="23"/>
      <c r="M1940" s="32" t="s">
        <v>38</v>
      </c>
      <c r="N1940" s="33">
        <v>40</v>
      </c>
      <c r="O1940" s="33">
        <v>0</v>
      </c>
      <c r="P1940" s="33">
        <v>12</v>
      </c>
      <c r="Q1940" s="23"/>
      <c r="R1940" s="33">
        <v>1</v>
      </c>
      <c r="S1940" s="23"/>
      <c r="T1940" s="3">
        <v>0</v>
      </c>
      <c r="U1940" s="3">
        <v>1.823E-2</v>
      </c>
      <c r="V1940" s="3">
        <v>8.8400000000000006E-3</v>
      </c>
      <c r="Y1940" s="23"/>
      <c r="Z1940" s="23"/>
      <c r="AA1940" s="3" t="str">
        <f t="shared" si="15"/>
        <v>___</v>
      </c>
      <c r="AB1940" s="3" t="str">
        <f t="shared" si="14"/>
        <v>____</v>
      </c>
    </row>
    <row r="1941" spans="1:30" ht="14">
      <c r="A1941" s="3">
        <v>1940</v>
      </c>
      <c r="B1941" s="23"/>
      <c r="C1941" s="32">
        <v>8</v>
      </c>
      <c r="D1941" s="32">
        <v>15</v>
      </c>
      <c r="E1941" s="23"/>
      <c r="F1941" s="23"/>
      <c r="G1941" s="23"/>
      <c r="H1941" s="32" t="s">
        <v>35</v>
      </c>
      <c r="I1941" s="33">
        <v>3</v>
      </c>
      <c r="J1941" s="32">
        <v>10</v>
      </c>
      <c r="K1941" s="32">
        <v>10.9</v>
      </c>
      <c r="L1941" s="32">
        <v>3</v>
      </c>
      <c r="M1941" s="32" t="s">
        <v>36</v>
      </c>
      <c r="N1941" s="33">
        <v>14</v>
      </c>
      <c r="O1941" s="33">
        <v>11</v>
      </c>
      <c r="P1941" s="33">
        <v>11</v>
      </c>
      <c r="Q1941" s="23"/>
      <c r="R1941" s="33">
        <v>0</v>
      </c>
      <c r="S1941" s="23"/>
      <c r="T1941" s="3">
        <v>3.4880000000000001E-2</v>
      </c>
      <c r="U1941" s="3">
        <v>3.2000000000000002E-3</v>
      </c>
      <c r="V1941" s="3">
        <v>0</v>
      </c>
      <c r="Y1941" s="23"/>
      <c r="Z1941" s="23"/>
      <c r="AA1941" s="3" t="str">
        <f t="shared" si="15"/>
        <v>8_15__vv</v>
      </c>
      <c r="AB1941" s="3" t="str">
        <f t="shared" si="14"/>
        <v>8_15__vv_3</v>
      </c>
      <c r="AD1941" s="3" t="s">
        <v>37</v>
      </c>
    </row>
    <row r="1942" spans="1:30" ht="14">
      <c r="A1942" s="3">
        <v>1941</v>
      </c>
      <c r="B1942" s="23"/>
      <c r="C1942" s="23"/>
      <c r="D1942" s="23"/>
      <c r="E1942" s="23"/>
      <c r="F1942" s="23"/>
      <c r="G1942" s="23"/>
      <c r="H1942" s="23"/>
      <c r="I1942" s="22"/>
      <c r="J1942" s="23"/>
      <c r="K1942" s="23"/>
      <c r="L1942" s="23"/>
      <c r="M1942" s="32" t="s">
        <v>38</v>
      </c>
      <c r="N1942" s="33">
        <v>67</v>
      </c>
      <c r="O1942" s="33">
        <v>9</v>
      </c>
      <c r="P1942" s="33">
        <v>17</v>
      </c>
      <c r="Q1942" s="23"/>
      <c r="R1942" s="33">
        <v>4</v>
      </c>
      <c r="S1942" s="23"/>
      <c r="T1942" s="3">
        <v>5.901E-2</v>
      </c>
      <c r="U1942" s="3">
        <v>4.0680000000000001E-2</v>
      </c>
      <c r="V1942" s="3">
        <v>4.1480000000000003E-2</v>
      </c>
      <c r="Y1942" s="23"/>
      <c r="Z1942" s="23"/>
      <c r="AA1942" s="3" t="str">
        <f t="shared" si="15"/>
        <v>___</v>
      </c>
      <c r="AB1942" s="3" t="str">
        <f t="shared" si="14"/>
        <v>____</v>
      </c>
    </row>
    <row r="1943" spans="1:30" ht="14">
      <c r="A1943" s="3">
        <v>1942</v>
      </c>
      <c r="B1943" s="23"/>
      <c r="C1943" s="23"/>
      <c r="D1943" s="23"/>
      <c r="E1943" s="23"/>
      <c r="F1943" s="23"/>
      <c r="G1943" s="23"/>
      <c r="H1943" s="23"/>
      <c r="I1943" s="22"/>
      <c r="J1943" s="23"/>
      <c r="K1943" s="23"/>
      <c r="L1943" s="23"/>
      <c r="M1943" s="32" t="s">
        <v>39</v>
      </c>
      <c r="N1943" s="33">
        <v>29</v>
      </c>
      <c r="O1943" s="33">
        <v>0</v>
      </c>
      <c r="P1943" s="33">
        <v>5</v>
      </c>
      <c r="Q1943" s="23"/>
      <c r="R1943" s="33">
        <v>0</v>
      </c>
      <c r="S1943" s="23"/>
      <c r="T1943" s="3">
        <v>0</v>
      </c>
      <c r="U1943" s="3">
        <v>1.103E-2</v>
      </c>
      <c r="V1943" s="3">
        <v>0</v>
      </c>
      <c r="Y1943" s="23"/>
      <c r="Z1943" s="23"/>
      <c r="AA1943" s="3" t="str">
        <f t="shared" si="15"/>
        <v>___</v>
      </c>
      <c r="AB1943" s="3" t="str">
        <f t="shared" si="14"/>
        <v>____</v>
      </c>
    </row>
    <row r="1944" spans="1:30" ht="14">
      <c r="A1944" s="3">
        <v>1943</v>
      </c>
      <c r="B1944" s="23"/>
      <c r="C1944" s="32">
        <v>970</v>
      </c>
      <c r="D1944" s="32">
        <v>24</v>
      </c>
      <c r="E1944" s="23"/>
      <c r="F1944" s="23"/>
      <c r="G1944" s="23"/>
      <c r="H1944" s="32" t="s">
        <v>40</v>
      </c>
      <c r="I1944" s="33">
        <v>1</v>
      </c>
      <c r="J1944" s="32">
        <v>14.6</v>
      </c>
      <c r="K1944" s="32">
        <v>36</v>
      </c>
      <c r="L1944" s="23"/>
      <c r="M1944" s="32" t="s">
        <v>36</v>
      </c>
      <c r="N1944" s="33">
        <v>24</v>
      </c>
      <c r="O1944" s="33">
        <v>8</v>
      </c>
      <c r="P1944" s="33">
        <v>8</v>
      </c>
      <c r="Q1944" s="23"/>
      <c r="R1944" s="33">
        <v>0</v>
      </c>
      <c r="S1944" s="23"/>
      <c r="T1944" s="3">
        <v>3.499E-2</v>
      </c>
      <c r="U1944" s="3">
        <v>1.9650000000000001E-2</v>
      </c>
      <c r="V1944" s="3">
        <v>0</v>
      </c>
      <c r="Y1944" s="32" t="s">
        <v>253</v>
      </c>
      <c r="Z1944" s="23"/>
      <c r="AA1944" s="3" t="str">
        <f t="shared" si="15"/>
        <v>970_24__vm</v>
      </c>
      <c r="AB1944" s="3" t="str">
        <f t="shared" si="14"/>
        <v>970_24__vm_1</v>
      </c>
      <c r="AD1944" s="3" t="s">
        <v>37</v>
      </c>
    </row>
    <row r="1945" spans="1:30" ht="14">
      <c r="A1945" s="3">
        <v>1944</v>
      </c>
      <c r="B1945" s="23"/>
      <c r="C1945" s="23"/>
      <c r="D1945" s="23"/>
      <c r="E1945" s="23"/>
      <c r="F1945" s="23"/>
      <c r="G1945" s="23"/>
      <c r="H1945" s="23"/>
      <c r="I1945" s="22"/>
      <c r="J1945" s="23"/>
      <c r="K1945" s="23"/>
      <c r="L1945" s="23"/>
      <c r="M1945" s="32" t="s">
        <v>38</v>
      </c>
      <c r="N1945" s="33">
        <v>81</v>
      </c>
      <c r="O1945" s="33">
        <v>0</v>
      </c>
      <c r="P1945" s="33">
        <v>3</v>
      </c>
      <c r="Q1945" s="23"/>
      <c r="R1945" s="33">
        <v>5</v>
      </c>
      <c r="S1945" s="23"/>
      <c r="T1945" s="3">
        <v>0</v>
      </c>
      <c r="U1945" s="3">
        <v>0.10521</v>
      </c>
      <c r="V1945" s="3">
        <v>0.10662000000000001</v>
      </c>
      <c r="Y1945" s="32" t="s">
        <v>60</v>
      </c>
      <c r="Z1945" s="23"/>
      <c r="AA1945" s="3" t="str">
        <f t="shared" si="15"/>
        <v>___</v>
      </c>
      <c r="AB1945" s="3" t="str">
        <f t="shared" si="14"/>
        <v>____</v>
      </c>
    </row>
    <row r="1946" spans="1:30" ht="14">
      <c r="A1946" s="3">
        <v>1945</v>
      </c>
      <c r="B1946" s="23"/>
      <c r="C1946" s="23"/>
      <c r="D1946" s="23"/>
      <c r="E1946" s="23"/>
      <c r="F1946" s="23"/>
      <c r="G1946" s="23"/>
      <c r="H1946" s="23"/>
      <c r="I1946" s="22"/>
      <c r="J1946" s="23"/>
      <c r="K1946" s="23"/>
      <c r="L1946" s="23"/>
      <c r="M1946" s="32" t="s">
        <v>39</v>
      </c>
      <c r="N1946" s="33">
        <v>25</v>
      </c>
      <c r="O1946" s="33">
        <v>0</v>
      </c>
      <c r="P1946" s="33">
        <v>1</v>
      </c>
      <c r="Q1946" s="23"/>
      <c r="R1946" s="33">
        <v>0</v>
      </c>
      <c r="S1946" s="23"/>
      <c r="T1946" s="3">
        <v>0</v>
      </c>
      <c r="U1946" s="3">
        <v>3.1640000000000001E-2</v>
      </c>
      <c r="V1946" s="3">
        <v>0</v>
      </c>
      <c r="Y1946" s="23"/>
      <c r="Z1946" s="23"/>
      <c r="AA1946" s="3" t="str">
        <f t="shared" si="15"/>
        <v>___</v>
      </c>
      <c r="AB1946" s="3" t="str">
        <f t="shared" si="14"/>
        <v>____</v>
      </c>
    </row>
    <row r="1947" spans="1:30" ht="14">
      <c r="A1947" s="3">
        <v>1946</v>
      </c>
      <c r="B1947" s="23"/>
      <c r="C1947" s="32">
        <v>970</v>
      </c>
      <c r="D1947" s="32">
        <v>24</v>
      </c>
      <c r="E1947" s="23"/>
      <c r="F1947" s="23"/>
      <c r="G1947" s="23"/>
      <c r="H1947" s="32" t="s">
        <v>40</v>
      </c>
      <c r="I1947" s="33">
        <v>2</v>
      </c>
      <c r="J1947" s="32">
        <v>20.100000000000001</v>
      </c>
      <c r="K1947" s="32">
        <v>14.3</v>
      </c>
      <c r="L1947" s="23"/>
      <c r="M1947" s="32" t="s">
        <v>36</v>
      </c>
      <c r="N1947" s="33">
        <v>31</v>
      </c>
      <c r="O1947" s="33">
        <v>8</v>
      </c>
      <c r="P1947" s="33">
        <v>8</v>
      </c>
      <c r="Q1947" s="23"/>
      <c r="R1947" s="33">
        <v>0</v>
      </c>
      <c r="S1947" s="23"/>
      <c r="T1947" s="3">
        <v>2.606E-2</v>
      </c>
      <c r="U1947" s="3">
        <v>1.157E-2</v>
      </c>
      <c r="V1947" s="3">
        <v>0</v>
      </c>
      <c r="Y1947" s="32" t="s">
        <v>253</v>
      </c>
      <c r="Z1947" s="23"/>
      <c r="AA1947" s="3" t="str">
        <f t="shared" si="15"/>
        <v>970_24__vm</v>
      </c>
      <c r="AB1947" s="3" t="str">
        <f t="shared" si="14"/>
        <v>970_24__vm_2</v>
      </c>
      <c r="AD1947" s="3" t="s">
        <v>37</v>
      </c>
    </row>
    <row r="1948" spans="1:30" ht="14">
      <c r="A1948" s="3">
        <v>1947</v>
      </c>
      <c r="B1948" s="23"/>
      <c r="C1948" s="23"/>
      <c r="D1948" s="23"/>
      <c r="E1948" s="23"/>
      <c r="F1948" s="23"/>
      <c r="G1948" s="23"/>
      <c r="H1948" s="23"/>
      <c r="I1948" s="22"/>
      <c r="J1948" s="23"/>
      <c r="K1948" s="23"/>
      <c r="L1948" s="23"/>
      <c r="M1948" s="32" t="s">
        <v>38</v>
      </c>
      <c r="N1948" s="33">
        <v>58</v>
      </c>
      <c r="O1948" s="33">
        <v>0</v>
      </c>
      <c r="P1948" s="33">
        <v>4</v>
      </c>
      <c r="Q1948" s="23"/>
      <c r="R1948" s="33">
        <v>5</v>
      </c>
      <c r="S1948" s="23"/>
      <c r="T1948" s="3">
        <v>0</v>
      </c>
      <c r="U1948" s="3">
        <v>5.867E-2</v>
      </c>
      <c r="V1948" s="3">
        <v>8.6929999999999993E-2</v>
      </c>
      <c r="Y1948" s="23"/>
      <c r="Z1948" s="23"/>
      <c r="AA1948" s="3" t="str">
        <f t="shared" si="15"/>
        <v>___</v>
      </c>
      <c r="AB1948" s="3" t="str">
        <f t="shared" si="14"/>
        <v>____</v>
      </c>
    </row>
    <row r="1949" spans="1:30" ht="14">
      <c r="A1949" s="3">
        <v>1948</v>
      </c>
      <c r="B1949" s="23"/>
      <c r="C1949" s="23"/>
      <c r="D1949" s="23"/>
      <c r="E1949" s="23"/>
      <c r="F1949" s="23"/>
      <c r="G1949" s="23"/>
      <c r="H1949" s="23"/>
      <c r="I1949" s="22"/>
      <c r="J1949" s="23"/>
      <c r="K1949" s="23"/>
      <c r="L1949" s="23"/>
      <c r="M1949" s="32" t="s">
        <v>39</v>
      </c>
      <c r="N1949" s="33">
        <v>41</v>
      </c>
      <c r="O1949" s="33">
        <v>0</v>
      </c>
      <c r="P1949" s="33">
        <v>4</v>
      </c>
      <c r="Q1949" s="23"/>
      <c r="R1949" s="33">
        <v>1</v>
      </c>
      <c r="S1949" s="23"/>
      <c r="T1949" s="3">
        <v>0</v>
      </c>
      <c r="U1949" s="3">
        <v>7.2739999999999999E-2</v>
      </c>
      <c r="V1949" s="3">
        <v>0.13658999999999999</v>
      </c>
      <c r="Y1949" s="23"/>
      <c r="Z1949" s="23"/>
      <c r="AA1949" s="3" t="str">
        <f t="shared" si="15"/>
        <v>___</v>
      </c>
      <c r="AB1949" s="3" t="str">
        <f t="shared" si="14"/>
        <v>____</v>
      </c>
    </row>
    <row r="1950" spans="1:30" ht="14">
      <c r="A1950" s="3">
        <v>1949</v>
      </c>
      <c r="B1950" s="23"/>
      <c r="C1950" s="32">
        <v>970</v>
      </c>
      <c r="D1950" s="32">
        <v>24</v>
      </c>
      <c r="E1950" s="23"/>
      <c r="F1950" s="23"/>
      <c r="G1950" s="23"/>
      <c r="H1950" s="32" t="s">
        <v>40</v>
      </c>
      <c r="I1950" s="33">
        <v>3</v>
      </c>
      <c r="J1950" s="32">
        <v>19.100000000000001</v>
      </c>
      <c r="K1950" s="32">
        <v>9.6999999999999993</v>
      </c>
      <c r="L1950" s="32">
        <v>4</v>
      </c>
      <c r="M1950" s="32" t="s">
        <v>36</v>
      </c>
      <c r="N1950" s="33">
        <v>47</v>
      </c>
      <c r="O1950" s="33">
        <v>7</v>
      </c>
      <c r="P1950" s="33">
        <v>7</v>
      </c>
      <c r="Q1950" s="23"/>
      <c r="R1950" s="33">
        <v>0</v>
      </c>
      <c r="S1950" s="23"/>
      <c r="T1950" s="3">
        <v>2.5090000000000001E-2</v>
      </c>
      <c r="U1950" s="3">
        <v>2.1749999999999999E-2</v>
      </c>
      <c r="V1950" s="3">
        <v>0</v>
      </c>
      <c r="Y1950" s="23"/>
      <c r="Z1950" s="23"/>
      <c r="AA1950" s="3" t="str">
        <f t="shared" si="15"/>
        <v>970_24__vm</v>
      </c>
      <c r="AB1950" s="3" t="str">
        <f t="shared" si="14"/>
        <v>970_24__vm_3</v>
      </c>
      <c r="AD1950" s="3" t="s">
        <v>37</v>
      </c>
    </row>
    <row r="1951" spans="1:30" ht="14">
      <c r="A1951" s="3">
        <v>1950</v>
      </c>
      <c r="B1951" s="23"/>
      <c r="C1951" s="23"/>
      <c r="D1951" s="23"/>
      <c r="E1951" s="23"/>
      <c r="F1951" s="23"/>
      <c r="G1951" s="23"/>
      <c r="H1951" s="23"/>
      <c r="I1951" s="22"/>
      <c r="J1951" s="23"/>
      <c r="K1951" s="23"/>
      <c r="L1951" s="23"/>
      <c r="M1951" s="32" t="s">
        <v>38</v>
      </c>
      <c r="N1951" s="33">
        <v>12</v>
      </c>
      <c r="O1951" s="33">
        <v>2</v>
      </c>
      <c r="P1951" s="33">
        <v>2</v>
      </c>
      <c r="Q1951" s="23"/>
      <c r="R1951" s="33">
        <v>1</v>
      </c>
      <c r="S1951" s="23"/>
      <c r="T1951" s="3">
        <v>0</v>
      </c>
      <c r="U1951" s="3">
        <v>1.0529999999999999E-2</v>
      </c>
      <c r="V1951" s="3">
        <v>5.0049999999999997E-2</v>
      </c>
      <c r="Y1951" s="23"/>
      <c r="Z1951" s="23"/>
      <c r="AA1951" s="3" t="str">
        <f t="shared" si="15"/>
        <v>___</v>
      </c>
      <c r="AB1951" s="3" t="str">
        <f t="shared" si="14"/>
        <v>____</v>
      </c>
    </row>
    <row r="1952" spans="1:30" ht="14">
      <c r="A1952" s="3">
        <v>1951</v>
      </c>
      <c r="B1952" s="23"/>
      <c r="C1952" s="23"/>
      <c r="D1952" s="23"/>
      <c r="E1952" s="23"/>
      <c r="F1952" s="23"/>
      <c r="G1952" s="23"/>
      <c r="H1952" s="23"/>
      <c r="I1952" s="22"/>
      <c r="J1952" s="23"/>
      <c r="K1952" s="23"/>
      <c r="L1952" s="23"/>
      <c r="M1952" s="32" t="s">
        <v>39</v>
      </c>
      <c r="N1952" s="33">
        <v>35</v>
      </c>
      <c r="O1952" s="33">
        <v>0</v>
      </c>
      <c r="P1952" s="33">
        <v>1</v>
      </c>
      <c r="Q1952" s="23"/>
      <c r="R1952" s="33">
        <v>3</v>
      </c>
      <c r="S1952" s="23"/>
      <c r="T1952" s="3">
        <v>0</v>
      </c>
      <c r="U1952" s="3">
        <v>3.3770000000000001E-2</v>
      </c>
      <c r="V1952" s="3">
        <v>7.8289999999999998E-2</v>
      </c>
      <c r="Y1952" s="23"/>
      <c r="Z1952" s="23"/>
      <c r="AA1952" s="3" t="str">
        <f t="shared" si="15"/>
        <v>___</v>
      </c>
      <c r="AB1952" s="3" t="str">
        <f t="shared" si="14"/>
        <v>____</v>
      </c>
    </row>
    <row r="1953" spans="1:30" ht="14">
      <c r="A1953" s="3">
        <v>1952</v>
      </c>
      <c r="B1953" s="23"/>
      <c r="C1953" s="32">
        <v>970</v>
      </c>
      <c r="D1953" s="32">
        <v>24</v>
      </c>
      <c r="E1953" s="23"/>
      <c r="F1953" s="23"/>
      <c r="G1953" s="23"/>
      <c r="H1953" s="32" t="s">
        <v>35</v>
      </c>
      <c r="I1953" s="33">
        <v>1</v>
      </c>
      <c r="J1953" s="32">
        <v>13</v>
      </c>
      <c r="K1953" s="32">
        <v>15.8</v>
      </c>
      <c r="L1953" s="23"/>
      <c r="M1953" s="32" t="s">
        <v>36</v>
      </c>
      <c r="N1953" s="33">
        <v>20</v>
      </c>
      <c r="O1953" s="33">
        <v>10</v>
      </c>
      <c r="P1953" s="33">
        <v>11</v>
      </c>
      <c r="Q1953" s="23"/>
      <c r="R1953" s="33">
        <v>0</v>
      </c>
      <c r="S1953" s="23"/>
      <c r="T1953" s="3">
        <v>4.0039999999999999E-2</v>
      </c>
      <c r="U1953" s="3">
        <v>4.3E-3</v>
      </c>
      <c r="V1953" s="3">
        <v>0</v>
      </c>
      <c r="Y1953" s="32" t="s">
        <v>253</v>
      </c>
      <c r="Z1953" s="23"/>
      <c r="AA1953" s="3" t="str">
        <f t="shared" si="15"/>
        <v>970_24__vv</v>
      </c>
      <c r="AB1953" s="3" t="str">
        <f t="shared" si="14"/>
        <v>970_24__vv_1</v>
      </c>
      <c r="AD1953" s="3" t="s">
        <v>37</v>
      </c>
    </row>
    <row r="1954" spans="1:30" ht="14">
      <c r="A1954" s="3">
        <v>1953</v>
      </c>
      <c r="B1954" s="23"/>
      <c r="C1954" s="23"/>
      <c r="D1954" s="23"/>
      <c r="E1954" s="23"/>
      <c r="F1954" s="23"/>
      <c r="G1954" s="23"/>
      <c r="H1954" s="23"/>
      <c r="I1954" s="22"/>
      <c r="J1954" s="23"/>
      <c r="K1954" s="23"/>
      <c r="L1954" s="23"/>
      <c r="M1954" s="32" t="s">
        <v>38</v>
      </c>
      <c r="N1954" s="33">
        <v>29</v>
      </c>
      <c r="O1954" s="33">
        <v>11</v>
      </c>
      <c r="P1954" s="33">
        <v>13</v>
      </c>
      <c r="Q1954" s="23"/>
      <c r="R1954" s="33">
        <v>0</v>
      </c>
      <c r="S1954" s="23"/>
      <c r="T1954" s="3">
        <v>0.10395</v>
      </c>
      <c r="U1954" s="3">
        <v>1.321E-2</v>
      </c>
      <c r="V1954" s="3">
        <v>0</v>
      </c>
      <c r="Y1954" s="23"/>
      <c r="Z1954" s="23"/>
      <c r="AA1954" s="3" t="str">
        <f t="shared" si="15"/>
        <v>___</v>
      </c>
      <c r="AB1954" s="3" t="str">
        <f t="shared" si="14"/>
        <v>____</v>
      </c>
    </row>
    <row r="1955" spans="1:30" ht="14">
      <c r="A1955" s="3">
        <v>1954</v>
      </c>
      <c r="B1955" s="23"/>
      <c r="C1955" s="23"/>
      <c r="D1955" s="23"/>
      <c r="E1955" s="23"/>
      <c r="F1955" s="23"/>
      <c r="G1955" s="23"/>
      <c r="H1955" s="23"/>
      <c r="I1955" s="22"/>
      <c r="J1955" s="23"/>
      <c r="K1955" s="23"/>
      <c r="L1955" s="23"/>
      <c r="M1955" s="32" t="s">
        <v>39</v>
      </c>
      <c r="N1955" s="33">
        <v>20</v>
      </c>
      <c r="O1955" s="33">
        <v>8</v>
      </c>
      <c r="P1955" s="33">
        <v>9</v>
      </c>
      <c r="Q1955" s="23"/>
      <c r="R1955" s="33">
        <v>0</v>
      </c>
      <c r="S1955" s="23"/>
      <c r="T1955" s="3">
        <v>3.5099999999999999E-2</v>
      </c>
      <c r="U1955" s="3">
        <v>1.103E-2</v>
      </c>
      <c r="V1955" s="3">
        <v>0</v>
      </c>
      <c r="Y1955" s="23"/>
      <c r="Z1955" s="23"/>
      <c r="AA1955" s="3" t="str">
        <f t="shared" si="15"/>
        <v>___</v>
      </c>
      <c r="AB1955" s="3" t="str">
        <f t="shared" si="14"/>
        <v>____</v>
      </c>
    </row>
    <row r="1956" spans="1:30" ht="14">
      <c r="A1956" s="3">
        <v>1955</v>
      </c>
      <c r="B1956" s="23"/>
      <c r="C1956" s="32">
        <v>970</v>
      </c>
      <c r="D1956" s="32">
        <v>24</v>
      </c>
      <c r="E1956" s="23"/>
      <c r="F1956" s="23"/>
      <c r="G1956" s="23"/>
      <c r="H1956" s="32" t="s">
        <v>35</v>
      </c>
      <c r="I1956" s="33">
        <v>2</v>
      </c>
      <c r="J1956" s="32">
        <v>13.9</v>
      </c>
      <c r="K1956" s="32">
        <v>14</v>
      </c>
      <c r="L1956" s="32">
        <v>6</v>
      </c>
      <c r="M1956" s="32" t="s">
        <v>36</v>
      </c>
      <c r="N1956" s="33">
        <v>25</v>
      </c>
      <c r="O1956" s="33">
        <v>12</v>
      </c>
      <c r="P1956" s="33">
        <v>12</v>
      </c>
      <c r="Q1956" s="23"/>
      <c r="R1956" s="33">
        <v>0</v>
      </c>
      <c r="S1956" s="23"/>
      <c r="T1956" s="3">
        <v>2.5229999999999999E-2</v>
      </c>
      <c r="U1956" s="3">
        <v>4.8999999999999998E-3</v>
      </c>
      <c r="V1956" s="3">
        <v>0</v>
      </c>
      <c r="Y1956" s="23"/>
      <c r="Z1956" s="23"/>
      <c r="AA1956" s="3" t="str">
        <f t="shared" si="15"/>
        <v>970_24__vv</v>
      </c>
      <c r="AB1956" s="3" t="str">
        <f t="shared" si="14"/>
        <v>970_24__vv_2</v>
      </c>
      <c r="AD1956" s="3" t="s">
        <v>37</v>
      </c>
    </row>
    <row r="1957" spans="1:30" ht="14">
      <c r="A1957" s="3">
        <v>1956</v>
      </c>
      <c r="B1957" s="23"/>
      <c r="C1957" s="23"/>
      <c r="D1957" s="23"/>
      <c r="E1957" s="23"/>
      <c r="F1957" s="23"/>
      <c r="G1957" s="23"/>
      <c r="H1957" s="23"/>
      <c r="I1957" s="22"/>
      <c r="J1957" s="23"/>
      <c r="K1957" s="23"/>
      <c r="L1957" s="23"/>
      <c r="M1957" s="32" t="s">
        <v>38</v>
      </c>
      <c r="N1957" s="33">
        <v>31</v>
      </c>
      <c r="O1957" s="33">
        <v>11</v>
      </c>
      <c r="P1957" s="33">
        <v>13</v>
      </c>
      <c r="Q1957" s="23"/>
      <c r="R1957" s="33">
        <v>0</v>
      </c>
      <c r="S1957" s="23"/>
      <c r="T1957" s="3">
        <v>5.926E-2</v>
      </c>
      <c r="U1957" s="3">
        <v>1.18E-2</v>
      </c>
      <c r="V1957" s="3">
        <v>0</v>
      </c>
      <c r="Y1957" s="23"/>
      <c r="Z1957" s="23"/>
      <c r="AA1957" s="3" t="str">
        <f t="shared" si="15"/>
        <v>___</v>
      </c>
      <c r="AB1957" s="3" t="str">
        <f t="shared" si="14"/>
        <v>____</v>
      </c>
    </row>
    <row r="1958" spans="1:30" ht="14">
      <c r="A1958" s="3">
        <v>1957</v>
      </c>
      <c r="B1958" s="23"/>
      <c r="C1958" s="23"/>
      <c r="D1958" s="23"/>
      <c r="E1958" s="23"/>
      <c r="F1958" s="23"/>
      <c r="G1958" s="23"/>
      <c r="H1958" s="23"/>
      <c r="I1958" s="22"/>
      <c r="J1958" s="23"/>
      <c r="K1958" s="23"/>
      <c r="L1958" s="23"/>
      <c r="M1958" s="32" t="s">
        <v>39</v>
      </c>
      <c r="N1958" s="33">
        <v>20</v>
      </c>
      <c r="O1958" s="33">
        <v>7</v>
      </c>
      <c r="P1958" s="33">
        <v>13</v>
      </c>
      <c r="Q1958" s="23"/>
      <c r="R1958" s="33">
        <v>0</v>
      </c>
      <c r="S1958" s="23"/>
      <c r="T1958" s="3">
        <v>2.0619999999999999E-2</v>
      </c>
      <c r="U1958" s="3">
        <v>9.9500000000000005E-3</v>
      </c>
      <c r="V1958" s="3">
        <v>0</v>
      </c>
      <c r="Y1958" s="23"/>
      <c r="Z1958" s="23"/>
      <c r="AA1958" s="3" t="str">
        <f t="shared" si="15"/>
        <v>___</v>
      </c>
      <c r="AB1958" s="3" t="str">
        <f t="shared" si="14"/>
        <v>____</v>
      </c>
    </row>
    <row r="1959" spans="1:30" ht="14">
      <c r="A1959" s="3">
        <v>1958</v>
      </c>
      <c r="B1959" s="23"/>
      <c r="C1959" s="32">
        <v>970</v>
      </c>
      <c r="D1959" s="32">
        <v>24</v>
      </c>
      <c r="E1959" s="23"/>
      <c r="F1959" s="23"/>
      <c r="G1959" s="23"/>
      <c r="H1959" s="32" t="s">
        <v>35</v>
      </c>
      <c r="I1959" s="33">
        <v>3</v>
      </c>
      <c r="J1959" s="32">
        <v>9</v>
      </c>
      <c r="K1959" s="32">
        <v>7.8</v>
      </c>
      <c r="L1959" s="32">
        <v>3</v>
      </c>
      <c r="M1959" s="32" t="s">
        <v>36</v>
      </c>
      <c r="N1959" s="33">
        <v>21</v>
      </c>
      <c r="O1959" s="33">
        <v>6</v>
      </c>
      <c r="P1959" s="33">
        <v>10</v>
      </c>
      <c r="Q1959" s="23"/>
      <c r="R1959" s="33">
        <v>0</v>
      </c>
      <c r="S1959" s="23"/>
      <c r="T1959" s="3">
        <v>5.1150000000000001E-2</v>
      </c>
      <c r="U1959" s="3">
        <v>7.0299999999999998E-3</v>
      </c>
      <c r="V1959" s="3">
        <v>0</v>
      </c>
      <c r="Y1959" s="23"/>
      <c r="Z1959" s="23"/>
      <c r="AA1959" s="3" t="str">
        <f t="shared" si="15"/>
        <v>970_24__vv</v>
      </c>
      <c r="AB1959" s="3" t="str">
        <f t="shared" si="14"/>
        <v>970_24__vv_3</v>
      </c>
      <c r="AD1959" s="3" t="s">
        <v>37</v>
      </c>
    </row>
    <row r="1960" spans="1:30" ht="14">
      <c r="A1960" s="3">
        <v>1959</v>
      </c>
      <c r="B1960" s="23"/>
      <c r="C1960" s="23"/>
      <c r="D1960" s="23"/>
      <c r="E1960" s="23"/>
      <c r="F1960" s="23"/>
      <c r="G1960" s="23"/>
      <c r="H1960" s="23"/>
      <c r="I1960" s="22"/>
      <c r="J1960" s="23"/>
      <c r="K1960" s="23"/>
      <c r="L1960" s="23"/>
      <c r="M1960" s="32" t="s">
        <v>38</v>
      </c>
      <c r="N1960" s="33">
        <v>25</v>
      </c>
      <c r="O1960" s="33">
        <v>3</v>
      </c>
      <c r="P1960" s="33">
        <v>9</v>
      </c>
      <c r="Q1960" s="23"/>
      <c r="R1960" s="33">
        <v>2</v>
      </c>
      <c r="S1960" s="23"/>
      <c r="T1960" s="3">
        <v>3.4410000000000003E-2</v>
      </c>
      <c r="U1960" s="3">
        <v>2.3109999999999999E-2</v>
      </c>
      <c r="V1960" s="3">
        <v>5.6149999999999999E-2</v>
      </c>
      <c r="Y1960" s="23"/>
      <c r="Z1960" s="23"/>
      <c r="AA1960" s="3" t="str">
        <f t="shared" si="15"/>
        <v>___</v>
      </c>
      <c r="AB1960" s="3" t="str">
        <f t="shared" si="14"/>
        <v>____</v>
      </c>
    </row>
    <row r="1961" spans="1:30" ht="14">
      <c r="A1961" s="3">
        <v>1960</v>
      </c>
      <c r="B1961" s="23"/>
      <c r="C1961" s="23"/>
      <c r="D1961" s="23"/>
      <c r="E1961" s="23"/>
      <c r="F1961" s="23"/>
      <c r="G1961" s="23"/>
      <c r="H1961" s="23"/>
      <c r="I1961" s="22"/>
      <c r="J1961" s="23"/>
      <c r="K1961" s="23"/>
      <c r="L1961" s="23"/>
      <c r="M1961" s="32" t="s">
        <v>39</v>
      </c>
      <c r="N1961" s="33">
        <v>25</v>
      </c>
      <c r="O1961" s="33">
        <v>0</v>
      </c>
      <c r="P1961" s="33">
        <v>2</v>
      </c>
      <c r="Q1961" s="23"/>
      <c r="R1961" s="33">
        <v>1</v>
      </c>
      <c r="S1961" s="23"/>
      <c r="T1961" s="3">
        <v>0</v>
      </c>
      <c r="U1961" s="3">
        <v>1.481E-2</v>
      </c>
      <c r="V1961" s="3">
        <v>1.5259999999999999E-2</v>
      </c>
      <c r="Y1961" s="23"/>
      <c r="Z1961" s="23"/>
      <c r="AA1961" s="3" t="str">
        <f t="shared" si="15"/>
        <v>___</v>
      </c>
      <c r="AB1961" s="3" t="str">
        <f t="shared" si="14"/>
        <v>____</v>
      </c>
    </row>
    <row r="1962" spans="1:30" ht="14">
      <c r="A1962" s="3">
        <v>1961</v>
      </c>
      <c r="B1962" s="23"/>
      <c r="C1962" s="32">
        <v>970</v>
      </c>
      <c r="D1962" s="32">
        <v>26</v>
      </c>
      <c r="E1962" s="23"/>
      <c r="F1962" s="23"/>
      <c r="G1962" s="23"/>
      <c r="H1962" s="32" t="s">
        <v>40</v>
      </c>
      <c r="I1962" s="33">
        <v>1</v>
      </c>
      <c r="J1962" s="32">
        <v>21.3</v>
      </c>
      <c r="K1962" s="32">
        <v>20.8</v>
      </c>
      <c r="L1962" s="23"/>
      <c r="M1962" s="32" t="s">
        <v>36</v>
      </c>
      <c r="N1962" s="33">
        <v>24</v>
      </c>
      <c r="O1962" s="33">
        <v>5</v>
      </c>
      <c r="P1962" s="33">
        <v>5</v>
      </c>
      <c r="Q1962" s="23"/>
      <c r="R1962" s="33">
        <v>0</v>
      </c>
      <c r="S1962" s="23"/>
      <c r="T1962" s="3">
        <v>1.26E-2</v>
      </c>
      <c r="U1962" s="3">
        <v>6.5500000000000003E-3</v>
      </c>
      <c r="V1962" s="3">
        <v>0</v>
      </c>
      <c r="Y1962" s="32" t="s">
        <v>254</v>
      </c>
      <c r="Z1962" s="23"/>
      <c r="AA1962" s="3" t="str">
        <f t="shared" si="15"/>
        <v>970_26__vm</v>
      </c>
      <c r="AB1962" s="3" t="str">
        <f t="shared" si="14"/>
        <v>970_26__vm_1</v>
      </c>
      <c r="AD1962" s="3" t="s">
        <v>37</v>
      </c>
    </row>
    <row r="1963" spans="1:30" ht="14">
      <c r="A1963" s="3">
        <v>1962</v>
      </c>
      <c r="B1963" s="23"/>
      <c r="C1963" s="23"/>
      <c r="D1963" s="23"/>
      <c r="E1963" s="23"/>
      <c r="F1963" s="23"/>
      <c r="G1963" s="23"/>
      <c r="H1963" s="23"/>
      <c r="I1963" s="22"/>
      <c r="J1963" s="23"/>
      <c r="K1963" s="23"/>
      <c r="L1963" s="23"/>
      <c r="M1963" s="32" t="s">
        <v>38</v>
      </c>
      <c r="N1963" s="33">
        <v>51</v>
      </c>
      <c r="O1963" s="33">
        <v>0</v>
      </c>
      <c r="P1963" s="33">
        <v>4</v>
      </c>
      <c r="Q1963" s="23"/>
      <c r="R1963" s="33">
        <v>1</v>
      </c>
      <c r="S1963" s="23"/>
      <c r="U1963" s="3">
        <v>2.4209999999999999E-2</v>
      </c>
      <c r="V1963" s="3">
        <v>1.695E-2</v>
      </c>
      <c r="Y1963" s="23"/>
      <c r="Z1963" s="23"/>
      <c r="AA1963" s="3" t="str">
        <f t="shared" si="15"/>
        <v>___</v>
      </c>
      <c r="AB1963" s="3" t="str">
        <f t="shared" si="14"/>
        <v>____</v>
      </c>
    </row>
    <row r="1964" spans="1:30" ht="14">
      <c r="A1964" s="3">
        <v>1963</v>
      </c>
      <c r="B1964" s="23"/>
      <c r="C1964" s="23"/>
      <c r="D1964" s="23"/>
      <c r="E1964" s="23"/>
      <c r="F1964" s="23"/>
      <c r="G1964" s="23"/>
      <c r="H1964" s="23"/>
      <c r="I1964" s="22"/>
      <c r="J1964" s="23"/>
      <c r="K1964" s="23"/>
      <c r="L1964" s="23"/>
      <c r="M1964" s="32" t="s">
        <v>39</v>
      </c>
      <c r="N1964" s="33">
        <v>58</v>
      </c>
      <c r="O1964" s="33">
        <v>0</v>
      </c>
      <c r="P1964" s="33">
        <v>2</v>
      </c>
      <c r="Q1964" s="23"/>
      <c r="R1964" s="33">
        <v>4</v>
      </c>
      <c r="S1964" s="23"/>
      <c r="U1964" s="3">
        <v>5.2359999999999997E-2</v>
      </c>
      <c r="V1964" s="3">
        <v>0.17385</v>
      </c>
      <c r="Y1964" s="23"/>
      <c r="Z1964" s="23"/>
      <c r="AA1964" s="3" t="str">
        <f t="shared" si="15"/>
        <v>___</v>
      </c>
      <c r="AB1964" s="3" t="str">
        <f t="shared" si="14"/>
        <v>____</v>
      </c>
    </row>
    <row r="1965" spans="1:30" ht="14">
      <c r="A1965" s="3">
        <v>1964</v>
      </c>
      <c r="B1965" s="23"/>
      <c r="C1965" s="32">
        <v>970</v>
      </c>
      <c r="D1965" s="32">
        <v>26</v>
      </c>
      <c r="E1965" s="23"/>
      <c r="F1965" s="23"/>
      <c r="G1965" s="23"/>
      <c r="H1965" s="32" t="s">
        <v>40</v>
      </c>
      <c r="I1965" s="33">
        <v>2</v>
      </c>
      <c r="J1965" s="32">
        <v>23.8</v>
      </c>
      <c r="K1965" s="32">
        <v>26.7</v>
      </c>
      <c r="L1965" s="32">
        <v>6</v>
      </c>
      <c r="M1965" s="32" t="s">
        <v>36</v>
      </c>
      <c r="N1965" s="33">
        <v>57</v>
      </c>
      <c r="O1965" s="33">
        <v>8</v>
      </c>
      <c r="P1965" s="33">
        <v>8</v>
      </c>
      <c r="Q1965" s="23"/>
      <c r="R1965" s="33">
        <v>0</v>
      </c>
      <c r="S1965" s="23"/>
      <c r="T1965" s="3">
        <v>4.6960000000000002E-2</v>
      </c>
      <c r="U1965" s="3">
        <v>2.896E-2</v>
      </c>
      <c r="V1965" s="3">
        <v>0</v>
      </c>
      <c r="W1965" s="3">
        <v>3.2390000000000002E-2</v>
      </c>
      <c r="Y1965" s="23"/>
      <c r="Z1965" s="23"/>
      <c r="AA1965" s="3" t="str">
        <f t="shared" si="15"/>
        <v>970_26__vm</v>
      </c>
      <c r="AB1965" s="3" t="str">
        <f t="shared" si="14"/>
        <v>970_26__vm_2</v>
      </c>
      <c r="AD1965" s="3" t="s">
        <v>37</v>
      </c>
    </row>
    <row r="1966" spans="1:30" ht="14">
      <c r="A1966" s="3">
        <v>1965</v>
      </c>
      <c r="B1966" s="23"/>
      <c r="C1966" s="23"/>
      <c r="D1966" s="23"/>
      <c r="E1966" s="23"/>
      <c r="F1966" s="23"/>
      <c r="G1966" s="23"/>
      <c r="H1966" s="23"/>
      <c r="I1966" s="22"/>
      <c r="J1966" s="23"/>
      <c r="K1966" s="23"/>
      <c r="L1966" s="23"/>
      <c r="M1966" s="32" t="s">
        <v>38</v>
      </c>
      <c r="N1966" s="33">
        <v>83</v>
      </c>
      <c r="O1966" s="33">
        <v>0</v>
      </c>
      <c r="P1966" s="33">
        <v>5</v>
      </c>
      <c r="Q1966" s="32">
        <v>4</v>
      </c>
      <c r="R1966" s="33">
        <v>3</v>
      </c>
      <c r="S1966" s="23"/>
      <c r="T1966" s="3"/>
      <c r="U1966" s="3">
        <v>8.7620000000000003E-2</v>
      </c>
      <c r="V1966" s="3">
        <v>0.14216000000000001</v>
      </c>
      <c r="W1966" s="3"/>
      <c r="Y1966" s="23"/>
      <c r="Z1966" s="23"/>
      <c r="AA1966" s="3" t="str">
        <f t="shared" si="15"/>
        <v>___</v>
      </c>
      <c r="AB1966" s="3" t="str">
        <f t="shared" si="14"/>
        <v>____</v>
      </c>
    </row>
    <row r="1967" spans="1:30" ht="14">
      <c r="A1967" s="3">
        <v>1966</v>
      </c>
      <c r="B1967" s="23"/>
      <c r="C1967" s="23"/>
      <c r="D1967" s="23"/>
      <c r="E1967" s="23"/>
      <c r="F1967" s="23"/>
      <c r="G1967" s="23"/>
      <c r="H1967" s="23"/>
      <c r="I1967" s="22"/>
      <c r="J1967" s="23"/>
      <c r="K1967" s="23"/>
      <c r="L1967" s="23"/>
      <c r="M1967" s="32" t="s">
        <v>39</v>
      </c>
      <c r="N1967" s="33">
        <v>94</v>
      </c>
      <c r="O1967" s="33">
        <v>0</v>
      </c>
      <c r="P1967" s="33">
        <v>6</v>
      </c>
      <c r="Q1967" s="32">
        <v>3</v>
      </c>
      <c r="R1967" s="33">
        <v>1</v>
      </c>
      <c r="S1967" s="23"/>
      <c r="T1967" s="3"/>
      <c r="U1967" s="3">
        <v>0.15440000000000001</v>
      </c>
      <c r="V1967" s="3">
        <v>0.28161000000000003</v>
      </c>
      <c r="W1967" s="3"/>
      <c r="Y1967" s="23"/>
      <c r="Z1967" s="23"/>
      <c r="AA1967" s="3" t="str">
        <f t="shared" si="15"/>
        <v>___</v>
      </c>
      <c r="AB1967" s="3" t="str">
        <f t="shared" si="14"/>
        <v>____</v>
      </c>
    </row>
    <row r="1968" spans="1:30" ht="14">
      <c r="A1968" s="3">
        <v>1967</v>
      </c>
      <c r="B1968" s="23"/>
      <c r="C1968" s="32">
        <v>970</v>
      </c>
      <c r="D1968" s="32">
        <v>26</v>
      </c>
      <c r="E1968" s="23"/>
      <c r="F1968" s="23"/>
      <c r="G1968" s="23"/>
      <c r="H1968" s="32" t="s">
        <v>40</v>
      </c>
      <c r="I1968" s="33">
        <v>3</v>
      </c>
      <c r="J1968" s="32">
        <v>26</v>
      </c>
      <c r="K1968" s="32">
        <v>32.4</v>
      </c>
      <c r="L1968" s="32">
        <v>6</v>
      </c>
      <c r="M1968" s="32" t="s">
        <v>36</v>
      </c>
      <c r="N1968" s="33">
        <v>73</v>
      </c>
      <c r="O1968" s="33">
        <v>8</v>
      </c>
      <c r="P1968" s="33">
        <v>8</v>
      </c>
      <c r="Q1968" s="23"/>
      <c r="R1968" s="33">
        <v>1</v>
      </c>
      <c r="S1968" s="23"/>
      <c r="T1968" s="3">
        <v>8.5589999999999999E-2</v>
      </c>
      <c r="U1968" s="3">
        <v>5.5289999999999999E-2</v>
      </c>
      <c r="V1968" s="3">
        <v>0</v>
      </c>
      <c r="W1968" s="3">
        <v>4.2560000000000001E-2</v>
      </c>
      <c r="Y1968" s="32" t="s">
        <v>255</v>
      </c>
      <c r="Z1968" s="23"/>
      <c r="AA1968" s="3" t="str">
        <f t="shared" si="15"/>
        <v>970_26__vm</v>
      </c>
      <c r="AB1968" s="3" t="str">
        <f t="shared" si="14"/>
        <v>970_26__vm_3</v>
      </c>
      <c r="AD1968" s="3" t="s">
        <v>37</v>
      </c>
    </row>
    <row r="1969" spans="1:30" ht="14">
      <c r="A1969" s="3">
        <v>1968</v>
      </c>
      <c r="B1969" s="23"/>
      <c r="C1969" s="23"/>
      <c r="D1969" s="23"/>
      <c r="E1969" s="23"/>
      <c r="F1969" s="23"/>
      <c r="G1969" s="23"/>
      <c r="H1969" s="23"/>
      <c r="I1969" s="22"/>
      <c r="J1969" s="23"/>
      <c r="K1969" s="23"/>
      <c r="L1969" s="23"/>
      <c r="M1969" s="32" t="s">
        <v>38</v>
      </c>
      <c r="N1969" s="33">
        <v>78</v>
      </c>
      <c r="O1969" s="33">
        <v>0</v>
      </c>
      <c r="P1969" s="22"/>
      <c r="Q1969" s="32">
        <v>5</v>
      </c>
      <c r="R1969" s="33">
        <v>3</v>
      </c>
      <c r="S1969" s="23"/>
      <c r="T1969" s="3">
        <v>0</v>
      </c>
      <c r="U1969" s="3">
        <v>0.12028999999999999</v>
      </c>
      <c r="V1969" s="3">
        <v>0.22856000000000001</v>
      </c>
      <c r="Y1969" s="23"/>
      <c r="Z1969" s="23"/>
      <c r="AA1969" s="3" t="str">
        <f t="shared" si="15"/>
        <v>___</v>
      </c>
      <c r="AB1969" s="3" t="str">
        <f t="shared" si="14"/>
        <v>____</v>
      </c>
    </row>
    <row r="1970" spans="1:30" ht="14">
      <c r="A1970" s="3">
        <v>1969</v>
      </c>
      <c r="B1970" s="23"/>
      <c r="C1970" s="23"/>
      <c r="D1970" s="23"/>
      <c r="E1970" s="23"/>
      <c r="F1970" s="23"/>
      <c r="G1970" s="23"/>
      <c r="H1970" s="23"/>
      <c r="I1970" s="22"/>
      <c r="J1970" s="23"/>
      <c r="K1970" s="23"/>
      <c r="L1970" s="23"/>
      <c r="M1970" s="32" t="s">
        <v>39</v>
      </c>
      <c r="N1970" s="33">
        <v>66</v>
      </c>
      <c r="O1970" s="33">
        <v>0</v>
      </c>
      <c r="P1970" s="33">
        <v>3</v>
      </c>
      <c r="Q1970" s="32">
        <v>3</v>
      </c>
      <c r="R1970" s="33">
        <v>1</v>
      </c>
      <c r="S1970" s="23"/>
      <c r="T1970" s="3">
        <v>0</v>
      </c>
      <c r="U1970" s="3">
        <v>0.13396</v>
      </c>
      <c r="V1970" s="3">
        <v>0.1782</v>
      </c>
      <c r="Y1970" s="32" t="s">
        <v>256</v>
      </c>
      <c r="Z1970" s="23"/>
      <c r="AA1970" s="3" t="str">
        <f t="shared" si="15"/>
        <v>___</v>
      </c>
      <c r="AB1970" s="3" t="str">
        <f t="shared" si="14"/>
        <v>____</v>
      </c>
    </row>
    <row r="1971" spans="1:30" ht="14">
      <c r="A1971" s="3">
        <v>1970</v>
      </c>
      <c r="B1971" s="23"/>
      <c r="C1971" s="32">
        <v>970</v>
      </c>
      <c r="D1971" s="32">
        <v>42</v>
      </c>
      <c r="E1971" s="23"/>
      <c r="F1971" s="23"/>
      <c r="G1971" s="23"/>
      <c r="H1971" s="32" t="s">
        <v>35</v>
      </c>
      <c r="I1971" s="33">
        <v>1</v>
      </c>
      <c r="J1971" s="32">
        <v>12</v>
      </c>
      <c r="K1971" s="32">
        <v>9.3000000000000007</v>
      </c>
      <c r="L1971" s="32">
        <v>4</v>
      </c>
      <c r="M1971" s="32" t="s">
        <v>36</v>
      </c>
      <c r="N1971" s="33">
        <v>29</v>
      </c>
      <c r="O1971" s="33">
        <v>12</v>
      </c>
      <c r="P1971" s="33">
        <v>12</v>
      </c>
      <c r="Q1971" s="23"/>
      <c r="R1971" s="33">
        <v>0</v>
      </c>
      <c r="S1971" s="23"/>
      <c r="T1971" s="3">
        <v>6.9589999999999999E-2</v>
      </c>
      <c r="U1971" s="3">
        <v>9.1599999999999997E-3</v>
      </c>
      <c r="V1971" s="3">
        <v>0</v>
      </c>
      <c r="Y1971" s="23"/>
      <c r="Z1971" s="23"/>
      <c r="AA1971" s="3" t="str">
        <f t="shared" si="15"/>
        <v>970_42__vv</v>
      </c>
      <c r="AB1971" s="3" t="str">
        <f t="shared" si="14"/>
        <v>970_42__vv_1</v>
      </c>
      <c r="AD1971" s="3" t="s">
        <v>37</v>
      </c>
    </row>
    <row r="1972" spans="1:30" ht="14">
      <c r="A1972" s="3">
        <v>1971</v>
      </c>
      <c r="B1972" s="23"/>
      <c r="C1972" s="23"/>
      <c r="D1972" s="23"/>
      <c r="E1972" s="23"/>
      <c r="F1972" s="23"/>
      <c r="G1972" s="23"/>
      <c r="H1972" s="23"/>
      <c r="I1972" s="22"/>
      <c r="J1972" s="23"/>
      <c r="K1972" s="23"/>
      <c r="L1972" s="23"/>
      <c r="M1972" s="32" t="s">
        <v>38</v>
      </c>
      <c r="N1972" s="33">
        <v>36</v>
      </c>
      <c r="O1972" s="33">
        <v>9</v>
      </c>
      <c r="P1972" s="33">
        <v>13</v>
      </c>
      <c r="Q1972" s="23"/>
      <c r="R1972" s="33">
        <v>0</v>
      </c>
      <c r="S1972" s="23"/>
      <c r="T1972" s="3">
        <v>8.473E-2</v>
      </c>
      <c r="U1972" s="3">
        <v>1.924E-2</v>
      </c>
      <c r="V1972" s="3">
        <v>0</v>
      </c>
      <c r="Y1972" s="23"/>
      <c r="Z1972" s="23"/>
      <c r="AA1972" s="3" t="str">
        <f t="shared" si="15"/>
        <v>___</v>
      </c>
      <c r="AB1972" s="3" t="str">
        <f t="shared" si="14"/>
        <v>____</v>
      </c>
    </row>
    <row r="1973" spans="1:30" ht="14">
      <c r="A1973" s="3">
        <v>1972</v>
      </c>
      <c r="B1973" s="23"/>
      <c r="C1973" s="23"/>
      <c r="D1973" s="23"/>
      <c r="E1973" s="23"/>
      <c r="F1973" s="23"/>
      <c r="G1973" s="23"/>
      <c r="H1973" s="23"/>
      <c r="I1973" s="22"/>
      <c r="J1973" s="23"/>
      <c r="K1973" s="23"/>
      <c r="L1973" s="23"/>
      <c r="M1973" s="32" t="s">
        <v>39</v>
      </c>
      <c r="N1973" s="33">
        <v>22</v>
      </c>
      <c r="O1973" s="33">
        <v>5</v>
      </c>
      <c r="P1973" s="33">
        <v>7</v>
      </c>
      <c r="Q1973" s="23"/>
      <c r="R1973" s="22"/>
      <c r="S1973" s="23"/>
      <c r="T1973" s="3">
        <v>2.0619999999999999E-2</v>
      </c>
      <c r="U1973" s="3">
        <v>1.2149999999999999E-2</v>
      </c>
      <c r="V1973" s="3">
        <v>0</v>
      </c>
      <c r="Y1973" s="23"/>
      <c r="Z1973" s="23"/>
      <c r="AA1973" s="3" t="str">
        <f t="shared" si="15"/>
        <v>___</v>
      </c>
      <c r="AB1973" s="3" t="str">
        <f t="shared" si="14"/>
        <v>____</v>
      </c>
    </row>
    <row r="1974" spans="1:30" ht="14">
      <c r="A1974" s="3">
        <v>1973</v>
      </c>
      <c r="B1974" s="23"/>
      <c r="C1974" s="32">
        <v>970</v>
      </c>
      <c r="D1974" s="32">
        <v>42</v>
      </c>
      <c r="E1974" s="23"/>
      <c r="F1974" s="23"/>
      <c r="G1974" s="23"/>
      <c r="H1974" s="32" t="s">
        <v>35</v>
      </c>
      <c r="I1974" s="33">
        <v>2</v>
      </c>
      <c r="J1974" s="32">
        <v>21</v>
      </c>
      <c r="K1974" s="32">
        <v>24</v>
      </c>
      <c r="L1974" s="32">
        <v>4</v>
      </c>
      <c r="M1974" s="32" t="s">
        <v>36</v>
      </c>
      <c r="N1974" s="33">
        <v>40</v>
      </c>
      <c r="O1974" s="33">
        <v>14</v>
      </c>
      <c r="P1974" s="33">
        <v>15</v>
      </c>
      <c r="Q1974" s="23"/>
      <c r="R1974" s="33">
        <v>0</v>
      </c>
      <c r="S1974" s="23"/>
      <c r="T1974" s="3">
        <v>0.15565999999999999</v>
      </c>
      <c r="U1974" s="3">
        <v>2.0029999999999999E-2</v>
      </c>
      <c r="V1974" s="3">
        <v>0</v>
      </c>
      <c r="Y1974" s="23"/>
      <c r="Z1974" s="23"/>
      <c r="AA1974" s="3" t="str">
        <f t="shared" si="15"/>
        <v>970_42__vv</v>
      </c>
      <c r="AB1974" s="3" t="str">
        <f t="shared" si="14"/>
        <v>970_42__vv_2</v>
      </c>
      <c r="AD1974" s="3" t="s">
        <v>37</v>
      </c>
    </row>
    <row r="1975" spans="1:30" ht="14">
      <c r="A1975" s="3">
        <v>1974</v>
      </c>
      <c r="B1975" s="23"/>
      <c r="C1975" s="23"/>
      <c r="D1975" s="23"/>
      <c r="E1975" s="23"/>
      <c r="F1975" s="23"/>
      <c r="G1975" s="23"/>
      <c r="H1975" s="23"/>
      <c r="I1975" s="22"/>
      <c r="J1975" s="23"/>
      <c r="K1975" s="23"/>
      <c r="L1975" s="23"/>
      <c r="M1975" s="32" t="s">
        <v>38</v>
      </c>
      <c r="N1975" s="33">
        <v>73</v>
      </c>
      <c r="O1975" s="33">
        <v>12</v>
      </c>
      <c r="P1975" s="33">
        <v>15</v>
      </c>
      <c r="Q1975" s="23"/>
      <c r="R1975" s="33">
        <v>0</v>
      </c>
      <c r="S1975" s="23"/>
      <c r="T1975" s="3">
        <v>0.27906999999999998</v>
      </c>
      <c r="U1975" s="3">
        <v>6.8190000000000001E-2</v>
      </c>
      <c r="V1975" s="3">
        <v>0</v>
      </c>
      <c r="Y1975" s="23"/>
      <c r="Z1975" s="23"/>
      <c r="AA1975" s="3" t="str">
        <f t="shared" si="15"/>
        <v>___</v>
      </c>
      <c r="AB1975" s="3" t="str">
        <f t="shared" si="14"/>
        <v>____</v>
      </c>
    </row>
    <row r="1976" spans="1:30" ht="14">
      <c r="A1976" s="3">
        <v>1975</v>
      </c>
      <c r="B1976" s="23"/>
      <c r="C1976" s="23"/>
      <c r="D1976" s="23"/>
      <c r="E1976" s="23"/>
      <c r="F1976" s="23"/>
      <c r="G1976" s="23"/>
      <c r="H1976" s="23"/>
      <c r="I1976" s="22"/>
      <c r="J1976" s="23"/>
      <c r="K1976" s="23"/>
      <c r="L1976" s="23"/>
      <c r="M1976" s="32" t="s">
        <v>39</v>
      </c>
      <c r="N1976" s="33">
        <v>65</v>
      </c>
      <c r="O1976" s="33">
        <v>11</v>
      </c>
      <c r="P1976" s="33">
        <v>15</v>
      </c>
      <c r="Q1976" s="23"/>
      <c r="R1976" s="33">
        <v>0</v>
      </c>
      <c r="S1976" s="23"/>
      <c r="T1976" s="3">
        <v>0.17355000000000001</v>
      </c>
      <c r="U1976" s="3">
        <v>7.9689999999999997E-2</v>
      </c>
      <c r="V1976" s="3">
        <v>0</v>
      </c>
      <c r="Y1976" s="23"/>
      <c r="Z1976" s="23"/>
      <c r="AA1976" s="3" t="str">
        <f t="shared" si="15"/>
        <v>___</v>
      </c>
      <c r="AB1976" s="3" t="str">
        <f t="shared" si="14"/>
        <v>____</v>
      </c>
    </row>
    <row r="1977" spans="1:30" ht="14">
      <c r="A1977" s="3">
        <v>1976</v>
      </c>
      <c r="B1977" s="23"/>
      <c r="C1977" s="32">
        <v>970</v>
      </c>
      <c r="D1977" s="32">
        <v>42</v>
      </c>
      <c r="E1977" s="23"/>
      <c r="F1977" s="23"/>
      <c r="G1977" s="23"/>
      <c r="H1977" s="32" t="s">
        <v>35</v>
      </c>
      <c r="I1977" s="33">
        <v>3</v>
      </c>
      <c r="J1977" s="32">
        <v>17.8</v>
      </c>
      <c r="K1977" s="32">
        <v>17.3</v>
      </c>
      <c r="L1977" s="32">
        <v>3</v>
      </c>
      <c r="M1977" s="32" t="s">
        <v>36</v>
      </c>
      <c r="N1977" s="33">
        <v>73</v>
      </c>
      <c r="O1977" s="33">
        <v>15</v>
      </c>
      <c r="P1977" s="33">
        <v>18</v>
      </c>
      <c r="Q1977" s="23"/>
      <c r="R1977" s="33">
        <v>0</v>
      </c>
      <c r="S1977" s="23"/>
      <c r="T1977" s="3">
        <v>0.15570000000000001</v>
      </c>
      <c r="U1977" s="3">
        <v>3.4419999999999999E-2</v>
      </c>
      <c r="V1977" s="3">
        <v>0</v>
      </c>
      <c r="Y1977" s="23"/>
      <c r="Z1977" s="23"/>
      <c r="AA1977" s="3" t="str">
        <f t="shared" si="15"/>
        <v>970_42__vv</v>
      </c>
      <c r="AB1977" s="3" t="str">
        <f t="shared" si="14"/>
        <v>970_42__vv_3</v>
      </c>
      <c r="AD1977" s="3" t="s">
        <v>37</v>
      </c>
    </row>
    <row r="1978" spans="1:30" ht="14">
      <c r="A1978" s="3">
        <v>1977</v>
      </c>
      <c r="B1978" s="23"/>
      <c r="C1978" s="23"/>
      <c r="D1978" s="23"/>
      <c r="E1978" s="23"/>
      <c r="F1978" s="23"/>
      <c r="G1978" s="23"/>
      <c r="H1978" s="23"/>
      <c r="I1978" s="22"/>
      <c r="J1978" s="23"/>
      <c r="K1978" s="23"/>
      <c r="L1978" s="23"/>
      <c r="M1978" s="32" t="s">
        <v>38</v>
      </c>
      <c r="N1978" s="33">
        <v>56</v>
      </c>
      <c r="O1978" s="33">
        <v>8</v>
      </c>
      <c r="P1978" s="33">
        <v>9</v>
      </c>
      <c r="Q1978" s="23"/>
      <c r="R1978" s="33">
        <v>0</v>
      </c>
      <c r="S1978" s="23"/>
      <c r="T1978" s="3">
        <v>6.0249999999999998E-2</v>
      </c>
      <c r="U1978" s="3">
        <v>4.2279999999999998E-2</v>
      </c>
      <c r="V1978" s="3">
        <v>0</v>
      </c>
      <c r="Y1978" s="23"/>
      <c r="Z1978" s="23"/>
      <c r="AA1978" s="3" t="str">
        <f t="shared" si="15"/>
        <v>___</v>
      </c>
      <c r="AB1978" s="3" t="str">
        <f t="shared" si="14"/>
        <v>____</v>
      </c>
    </row>
    <row r="1979" spans="1:30" ht="14">
      <c r="A1979" s="3">
        <v>1978</v>
      </c>
      <c r="B1979" s="23"/>
      <c r="C1979" s="23"/>
      <c r="D1979" s="23"/>
      <c r="E1979" s="23"/>
      <c r="F1979" s="23"/>
      <c r="G1979" s="23"/>
      <c r="H1979" s="23"/>
      <c r="I1979" s="22"/>
      <c r="J1979" s="23"/>
      <c r="K1979" s="23"/>
      <c r="L1979" s="23"/>
      <c r="M1979" s="32" t="s">
        <v>39</v>
      </c>
      <c r="N1979" s="33">
        <v>45</v>
      </c>
      <c r="O1979" s="33">
        <v>0</v>
      </c>
      <c r="P1979" s="33">
        <v>5</v>
      </c>
      <c r="Q1979" s="23"/>
      <c r="R1979" s="33">
        <v>0</v>
      </c>
      <c r="S1979" s="23"/>
      <c r="T1979" s="3">
        <v>0</v>
      </c>
      <c r="U1979" s="3">
        <v>3.338E-2</v>
      </c>
      <c r="V1979" s="3">
        <v>0</v>
      </c>
      <c r="Y1979" s="23"/>
      <c r="Z1979" s="23"/>
      <c r="AA1979" s="3" t="str">
        <f t="shared" si="15"/>
        <v>___</v>
      </c>
      <c r="AB1979" s="3" t="str">
        <f t="shared" si="14"/>
        <v>____</v>
      </c>
    </row>
    <row r="1980" spans="1:30" ht="14">
      <c r="A1980" s="3">
        <v>1979</v>
      </c>
      <c r="B1980" s="23"/>
      <c r="C1980" s="23"/>
      <c r="D1980" s="23"/>
      <c r="E1980" s="23"/>
      <c r="F1980" s="23"/>
      <c r="G1980" s="23"/>
      <c r="H1980" s="23"/>
      <c r="I1980" s="22"/>
      <c r="J1980" s="23"/>
      <c r="K1980" s="23"/>
      <c r="L1980" s="23"/>
      <c r="M1980" s="23"/>
      <c r="N1980" s="22"/>
      <c r="O1980" s="22"/>
      <c r="P1980" s="22"/>
      <c r="Q1980" s="23"/>
      <c r="R1980" s="22"/>
      <c r="S1980" s="23"/>
      <c r="Y1980" s="23"/>
      <c r="Z1980" s="23"/>
      <c r="AA1980" s="3" t="str">
        <f t="shared" si="15"/>
        <v>___</v>
      </c>
      <c r="AB1980" s="3" t="str">
        <f t="shared" si="14"/>
        <v>____</v>
      </c>
    </row>
    <row r="1981" spans="1:30" ht="14">
      <c r="A1981" s="3">
        <v>1980</v>
      </c>
      <c r="B1981" s="23"/>
      <c r="C1981" s="23"/>
      <c r="D1981" s="23"/>
      <c r="E1981" s="23"/>
      <c r="F1981" s="23"/>
      <c r="G1981" s="23"/>
      <c r="H1981" s="23"/>
      <c r="I1981" s="22"/>
      <c r="J1981" s="23"/>
      <c r="K1981" s="23"/>
      <c r="L1981" s="23"/>
      <c r="M1981" s="23"/>
      <c r="N1981" s="22"/>
      <c r="O1981" s="22"/>
      <c r="P1981" s="22"/>
      <c r="Q1981" s="23"/>
      <c r="R1981" s="22"/>
      <c r="S1981" s="23"/>
      <c r="Y1981" s="23"/>
      <c r="Z1981" s="23"/>
      <c r="AA1981" s="3" t="str">
        <f t="shared" si="15"/>
        <v>___</v>
      </c>
      <c r="AB1981" s="3" t="str">
        <f t="shared" si="14"/>
        <v>____</v>
      </c>
    </row>
    <row r="1982" spans="1:30" ht="14">
      <c r="A1982" s="3">
        <v>1981</v>
      </c>
      <c r="B1982" s="23"/>
      <c r="C1982" s="23"/>
      <c r="D1982" s="23"/>
      <c r="E1982" s="23"/>
      <c r="F1982" s="23"/>
      <c r="G1982" s="23"/>
      <c r="H1982" s="23"/>
      <c r="I1982" s="22"/>
      <c r="J1982" s="23"/>
      <c r="K1982" s="23"/>
      <c r="L1982" s="23"/>
      <c r="M1982" s="23"/>
      <c r="N1982" s="22"/>
      <c r="O1982" s="22"/>
      <c r="P1982" s="22"/>
      <c r="Q1982" s="23"/>
      <c r="R1982" s="22"/>
      <c r="S1982" s="23"/>
      <c r="Y1982" s="23"/>
      <c r="Z1982" s="23"/>
      <c r="AA1982" s="3" t="str">
        <f t="shared" si="15"/>
        <v>___</v>
      </c>
      <c r="AB1982" s="3" t="str">
        <f t="shared" si="14"/>
        <v>____</v>
      </c>
    </row>
    <row r="1983" spans="1:30" ht="14">
      <c r="A1983" s="3">
        <v>1982</v>
      </c>
      <c r="B1983" s="23"/>
      <c r="C1983" s="23"/>
      <c r="D1983" s="23"/>
      <c r="E1983" s="23"/>
      <c r="F1983" s="23"/>
      <c r="G1983" s="23"/>
      <c r="H1983" s="23"/>
      <c r="I1983" s="22"/>
      <c r="J1983" s="23"/>
      <c r="K1983" s="23"/>
      <c r="L1983" s="23"/>
      <c r="M1983" s="23"/>
      <c r="N1983" s="22"/>
      <c r="O1983" s="22"/>
      <c r="P1983" s="22"/>
      <c r="Q1983" s="23"/>
      <c r="R1983" s="22"/>
      <c r="S1983" s="23"/>
      <c r="Y1983" s="23"/>
      <c r="Z1983" s="23"/>
      <c r="AA1983" s="3" t="str">
        <f t="shared" si="15"/>
        <v>___</v>
      </c>
      <c r="AB1983" s="3" t="str">
        <f t="shared" si="14"/>
        <v>____</v>
      </c>
    </row>
    <row r="1984" spans="1:30" ht="14">
      <c r="A1984" s="3">
        <v>1983</v>
      </c>
      <c r="B1984" s="23"/>
      <c r="C1984" s="23"/>
      <c r="D1984" s="23"/>
      <c r="E1984" s="23"/>
      <c r="F1984" s="23"/>
      <c r="G1984" s="23"/>
      <c r="H1984" s="23"/>
      <c r="I1984" s="22"/>
      <c r="J1984" s="23"/>
      <c r="K1984" s="23"/>
      <c r="L1984" s="23"/>
      <c r="M1984" s="23"/>
      <c r="N1984" s="22"/>
      <c r="O1984" s="22"/>
      <c r="P1984" s="22"/>
      <c r="Q1984" s="23"/>
      <c r="R1984" s="22"/>
      <c r="S1984" s="23"/>
      <c r="Y1984" s="23"/>
      <c r="Z1984" s="23"/>
      <c r="AA1984" s="3" t="str">
        <f t="shared" si="15"/>
        <v>___</v>
      </c>
      <c r="AB1984" s="3" t="str">
        <f t="shared" si="14"/>
        <v>____</v>
      </c>
    </row>
    <row r="1985" spans="1:28" ht="14">
      <c r="A1985" s="3">
        <v>1984</v>
      </c>
      <c r="B1985" s="23"/>
      <c r="C1985" s="23"/>
      <c r="D1985" s="23"/>
      <c r="E1985" s="23"/>
      <c r="F1985" s="23"/>
      <c r="G1985" s="23"/>
      <c r="H1985" s="23"/>
      <c r="I1985" s="22"/>
      <c r="J1985" s="23"/>
      <c r="K1985" s="23"/>
      <c r="L1985" s="23"/>
      <c r="M1985" s="23"/>
      <c r="N1985" s="22"/>
      <c r="O1985" s="22"/>
      <c r="P1985" s="22"/>
      <c r="Q1985" s="23"/>
      <c r="R1985" s="22"/>
      <c r="S1985" s="23"/>
      <c r="Y1985" s="23"/>
      <c r="Z1985" s="23"/>
      <c r="AA1985" s="3" t="str">
        <f t="shared" si="15"/>
        <v>___</v>
      </c>
      <c r="AB1985" s="3" t="str">
        <f t="shared" si="14"/>
        <v>____</v>
      </c>
    </row>
    <row r="1986" spans="1:28" ht="14">
      <c r="A1986" s="3">
        <v>1985</v>
      </c>
      <c r="B1986" s="23"/>
      <c r="C1986" s="23"/>
      <c r="D1986" s="23"/>
      <c r="E1986" s="23"/>
      <c r="F1986" s="23"/>
      <c r="G1986" s="23"/>
      <c r="H1986" s="23"/>
      <c r="I1986" s="22"/>
      <c r="J1986" s="23"/>
      <c r="K1986" s="23"/>
      <c r="L1986" s="23"/>
      <c r="M1986" s="23"/>
      <c r="N1986" s="22"/>
      <c r="O1986" s="22"/>
      <c r="P1986" s="22"/>
      <c r="Q1986" s="23"/>
      <c r="R1986" s="22"/>
      <c r="S1986" s="23"/>
      <c r="Y1986" s="23"/>
      <c r="Z1986" s="23"/>
      <c r="AA1986" s="3" t="str">
        <f t="shared" si="15"/>
        <v>___</v>
      </c>
      <c r="AB1986" s="3" t="str">
        <f t="shared" si="14"/>
        <v>____</v>
      </c>
    </row>
    <row r="1987" spans="1:28" ht="14">
      <c r="A1987" s="3">
        <v>1986</v>
      </c>
      <c r="B1987" s="23"/>
      <c r="C1987" s="23"/>
      <c r="D1987" s="23"/>
      <c r="E1987" s="23"/>
      <c r="F1987" s="23"/>
      <c r="G1987" s="23"/>
      <c r="H1987" s="23"/>
      <c r="I1987" s="22"/>
      <c r="J1987" s="23"/>
      <c r="K1987" s="23"/>
      <c r="L1987" s="23"/>
      <c r="M1987" s="23"/>
      <c r="N1987" s="22"/>
      <c r="O1987" s="22"/>
      <c r="P1987" s="22"/>
      <c r="Q1987" s="23"/>
      <c r="R1987" s="22"/>
      <c r="S1987" s="23"/>
      <c r="Y1987" s="23"/>
      <c r="Z1987" s="23"/>
      <c r="AA1987" s="3" t="str">
        <f t="shared" si="15"/>
        <v>___</v>
      </c>
      <c r="AB1987" s="3" t="str">
        <f t="shared" si="14"/>
        <v>____</v>
      </c>
    </row>
    <row r="1988" spans="1:28" ht="14">
      <c r="A1988" s="3">
        <v>1987</v>
      </c>
      <c r="B1988" s="23"/>
      <c r="C1988" s="23"/>
      <c r="D1988" s="23"/>
      <c r="E1988" s="23"/>
      <c r="F1988" s="23"/>
      <c r="G1988" s="23"/>
      <c r="H1988" s="23"/>
      <c r="I1988" s="22"/>
      <c r="J1988" s="23"/>
      <c r="K1988" s="23"/>
      <c r="L1988" s="23"/>
      <c r="M1988" s="23"/>
      <c r="N1988" s="22"/>
      <c r="O1988" s="22"/>
      <c r="P1988" s="22"/>
      <c r="Q1988" s="23"/>
      <c r="R1988" s="22"/>
      <c r="S1988" s="23"/>
      <c r="Y1988" s="23"/>
      <c r="Z1988" s="23"/>
      <c r="AA1988" s="3" t="str">
        <f t="shared" si="15"/>
        <v>___</v>
      </c>
      <c r="AB1988" s="3" t="str">
        <f t="shared" si="14"/>
        <v>____</v>
      </c>
    </row>
    <row r="1989" spans="1:28" ht="14">
      <c r="A1989" s="3">
        <v>1988</v>
      </c>
      <c r="B1989" s="23"/>
      <c r="C1989" s="23"/>
      <c r="D1989" s="23"/>
      <c r="E1989" s="23"/>
      <c r="F1989" s="23"/>
      <c r="G1989" s="23"/>
      <c r="H1989" s="23"/>
      <c r="I1989" s="22"/>
      <c r="J1989" s="23"/>
      <c r="K1989" s="23"/>
      <c r="L1989" s="23"/>
      <c r="M1989" s="23"/>
      <c r="N1989" s="22"/>
      <c r="O1989" s="22"/>
      <c r="P1989" s="22"/>
      <c r="Q1989" s="23"/>
      <c r="R1989" s="22"/>
      <c r="S1989" s="23"/>
      <c r="Y1989" s="23"/>
      <c r="Z1989" s="23"/>
      <c r="AA1989" s="3" t="str">
        <f t="shared" si="15"/>
        <v>___</v>
      </c>
      <c r="AB1989" s="3" t="str">
        <f t="shared" si="14"/>
        <v>____</v>
      </c>
    </row>
    <row r="1990" spans="1:28" ht="14">
      <c r="A1990" s="3">
        <v>1989</v>
      </c>
      <c r="B1990" s="23"/>
      <c r="C1990" s="23"/>
      <c r="D1990" s="23"/>
      <c r="E1990" s="23"/>
      <c r="F1990" s="23"/>
      <c r="G1990" s="23"/>
      <c r="H1990" s="23"/>
      <c r="I1990" s="22"/>
      <c r="J1990" s="23"/>
      <c r="K1990" s="23"/>
      <c r="L1990" s="23"/>
      <c r="M1990" s="23"/>
      <c r="N1990" s="22"/>
      <c r="O1990" s="22"/>
      <c r="P1990" s="22"/>
      <c r="Q1990" s="23"/>
      <c r="R1990" s="22"/>
      <c r="S1990" s="23"/>
      <c r="Y1990" s="23"/>
      <c r="Z1990" s="23"/>
      <c r="AA1990" s="3" t="str">
        <f t="shared" si="15"/>
        <v>___</v>
      </c>
      <c r="AB1990" s="3" t="str">
        <f t="shared" si="14"/>
        <v>____</v>
      </c>
    </row>
    <row r="1991" spans="1:28" ht="14">
      <c r="A1991" s="3">
        <v>1990</v>
      </c>
      <c r="B1991" s="23"/>
      <c r="C1991" s="23"/>
      <c r="D1991" s="23"/>
      <c r="E1991" s="23"/>
      <c r="F1991" s="23"/>
      <c r="G1991" s="23"/>
      <c r="H1991" s="23"/>
      <c r="I1991" s="22"/>
      <c r="J1991" s="23"/>
      <c r="K1991" s="23"/>
      <c r="L1991" s="23"/>
      <c r="M1991" s="23"/>
      <c r="N1991" s="22"/>
      <c r="O1991" s="22"/>
      <c r="P1991" s="22"/>
      <c r="Q1991" s="23"/>
      <c r="R1991" s="22"/>
      <c r="S1991" s="23"/>
      <c r="Y1991" s="23"/>
      <c r="Z1991" s="23"/>
      <c r="AA1991" s="3" t="str">
        <f t="shared" si="15"/>
        <v>___</v>
      </c>
      <c r="AB1991" s="3" t="str">
        <f t="shared" si="14"/>
        <v>____</v>
      </c>
    </row>
    <row r="1992" spans="1:28" ht="14">
      <c r="A1992" s="3">
        <v>1991</v>
      </c>
      <c r="B1992" s="23"/>
      <c r="C1992" s="23"/>
      <c r="D1992" s="23"/>
      <c r="E1992" s="23"/>
      <c r="F1992" s="23"/>
      <c r="G1992" s="23"/>
      <c r="H1992" s="23"/>
      <c r="I1992" s="22"/>
      <c r="J1992" s="23"/>
      <c r="K1992" s="23"/>
      <c r="L1992" s="23"/>
      <c r="M1992" s="23"/>
      <c r="N1992" s="22"/>
      <c r="O1992" s="22"/>
      <c r="P1992" s="22"/>
      <c r="Q1992" s="23"/>
      <c r="R1992" s="22"/>
      <c r="S1992" s="23"/>
      <c r="Y1992" s="23"/>
      <c r="Z1992" s="23"/>
      <c r="AA1992" s="3" t="str">
        <f t="shared" si="15"/>
        <v>___</v>
      </c>
      <c r="AB1992" s="3" t="str">
        <f t="shared" si="14"/>
        <v>____</v>
      </c>
    </row>
    <row r="1993" spans="1:28" ht="14">
      <c r="A1993" s="3">
        <v>1992</v>
      </c>
      <c r="B1993" s="23"/>
      <c r="C1993" s="23"/>
      <c r="D1993" s="23"/>
      <c r="E1993" s="23"/>
      <c r="F1993" s="23"/>
      <c r="G1993" s="23"/>
      <c r="H1993" s="23"/>
      <c r="I1993" s="22"/>
      <c r="J1993" s="23"/>
      <c r="K1993" s="23"/>
      <c r="L1993" s="23"/>
      <c r="M1993" s="23"/>
      <c r="N1993" s="22"/>
      <c r="O1993" s="22"/>
      <c r="P1993" s="22"/>
      <c r="Q1993" s="23"/>
      <c r="R1993" s="22"/>
      <c r="S1993" s="23"/>
      <c r="Y1993" s="23"/>
      <c r="Z1993" s="23"/>
      <c r="AA1993" s="3" t="str">
        <f t="shared" si="15"/>
        <v>___</v>
      </c>
      <c r="AB1993" s="3" t="str">
        <f t="shared" si="14"/>
        <v>____</v>
      </c>
    </row>
    <row r="1994" spans="1:28" ht="14">
      <c r="A1994" s="3">
        <v>1993</v>
      </c>
      <c r="B1994" s="23"/>
      <c r="C1994" s="23"/>
      <c r="D1994" s="23"/>
      <c r="E1994" s="23"/>
      <c r="F1994" s="23"/>
      <c r="G1994" s="23"/>
      <c r="H1994" s="23"/>
      <c r="I1994" s="22"/>
      <c r="J1994" s="23"/>
      <c r="K1994" s="23"/>
      <c r="L1994" s="23"/>
      <c r="M1994" s="23"/>
      <c r="N1994" s="22"/>
      <c r="O1994" s="22"/>
      <c r="P1994" s="22"/>
      <c r="Q1994" s="23"/>
      <c r="R1994" s="22"/>
      <c r="S1994" s="23"/>
      <c r="Y1994" s="23"/>
      <c r="Z1994" s="23"/>
      <c r="AA1994" s="3" t="str">
        <f t="shared" si="15"/>
        <v>___</v>
      </c>
      <c r="AB1994" s="3" t="str">
        <f t="shared" si="14"/>
        <v>____</v>
      </c>
    </row>
    <row r="1995" spans="1:28" ht="14">
      <c r="A1995" s="3">
        <v>1994</v>
      </c>
      <c r="B1995" s="23"/>
      <c r="C1995" s="23"/>
      <c r="D1995" s="23"/>
      <c r="E1995" s="23"/>
      <c r="F1995" s="23"/>
      <c r="G1995" s="23"/>
      <c r="H1995" s="23"/>
      <c r="I1995" s="22"/>
      <c r="J1995" s="23"/>
      <c r="K1995" s="23"/>
      <c r="L1995" s="23"/>
      <c r="M1995" s="23"/>
      <c r="N1995" s="22"/>
      <c r="O1995" s="22"/>
      <c r="P1995" s="22"/>
      <c r="Q1995" s="23"/>
      <c r="R1995" s="22"/>
      <c r="S1995" s="23"/>
      <c r="Y1995" s="23"/>
      <c r="Z1995" s="23"/>
      <c r="AA1995" s="3" t="str">
        <f t="shared" si="15"/>
        <v>___</v>
      </c>
      <c r="AB1995" s="3" t="str">
        <f t="shared" si="14"/>
        <v>____</v>
      </c>
    </row>
    <row r="1996" spans="1:28" ht="14">
      <c r="A1996" s="3">
        <v>1995</v>
      </c>
      <c r="B1996" s="23"/>
      <c r="C1996" s="23"/>
      <c r="D1996" s="23"/>
      <c r="E1996" s="23"/>
      <c r="F1996" s="23"/>
      <c r="G1996" s="23"/>
      <c r="H1996" s="23"/>
      <c r="I1996" s="22"/>
      <c r="J1996" s="23"/>
      <c r="K1996" s="23"/>
      <c r="L1996" s="23"/>
      <c r="M1996" s="23"/>
      <c r="N1996" s="22"/>
      <c r="O1996" s="22"/>
      <c r="P1996" s="22"/>
      <c r="Q1996" s="23"/>
      <c r="R1996" s="22"/>
      <c r="S1996" s="23"/>
      <c r="Y1996" s="23"/>
      <c r="Z1996" s="23"/>
      <c r="AA1996" s="3" t="str">
        <f t="shared" si="15"/>
        <v>___</v>
      </c>
      <c r="AB1996" s="3" t="str">
        <f t="shared" si="14"/>
        <v>____</v>
      </c>
    </row>
    <row r="1997" spans="1:28" ht="14">
      <c r="A1997" s="3">
        <v>1996</v>
      </c>
      <c r="B1997" s="23"/>
      <c r="C1997" s="23"/>
      <c r="D1997" s="23"/>
      <c r="E1997" s="23"/>
      <c r="F1997" s="23"/>
      <c r="G1997" s="23"/>
      <c r="H1997" s="23"/>
      <c r="I1997" s="22"/>
      <c r="J1997" s="23"/>
      <c r="K1997" s="23"/>
      <c r="L1997" s="23"/>
      <c r="M1997" s="23"/>
      <c r="N1997" s="22"/>
      <c r="O1997" s="22"/>
      <c r="P1997" s="22"/>
      <c r="Q1997" s="23"/>
      <c r="R1997" s="22"/>
      <c r="S1997" s="23"/>
      <c r="Y1997" s="23"/>
      <c r="Z1997" s="23"/>
      <c r="AA1997" s="3" t="str">
        <f t="shared" si="15"/>
        <v>___</v>
      </c>
      <c r="AB1997" s="3" t="str">
        <f t="shared" si="14"/>
        <v>____</v>
      </c>
    </row>
    <row r="1998" spans="1:28" ht="14">
      <c r="A1998" s="3">
        <v>1997</v>
      </c>
      <c r="B1998" s="23"/>
      <c r="C1998" s="23"/>
      <c r="D1998" s="23"/>
      <c r="E1998" s="23"/>
      <c r="F1998" s="23"/>
      <c r="G1998" s="23"/>
      <c r="H1998" s="23"/>
      <c r="I1998" s="22"/>
      <c r="J1998" s="23"/>
      <c r="K1998" s="23"/>
      <c r="L1998" s="23"/>
      <c r="M1998" s="23"/>
      <c r="N1998" s="22"/>
      <c r="O1998" s="22"/>
      <c r="P1998" s="22"/>
      <c r="Q1998" s="23"/>
      <c r="R1998" s="22"/>
      <c r="S1998" s="23"/>
      <c r="Y1998" s="23"/>
      <c r="Z1998" s="23"/>
      <c r="AA1998" s="3" t="str">
        <f t="shared" si="15"/>
        <v>___</v>
      </c>
      <c r="AB1998" s="3" t="str">
        <f t="shared" si="14"/>
        <v>____</v>
      </c>
    </row>
    <row r="1999" spans="1:28" ht="14">
      <c r="A1999" s="3">
        <v>1998</v>
      </c>
      <c r="B1999" s="23"/>
      <c r="C1999" s="23"/>
      <c r="D1999" s="23"/>
      <c r="E1999" s="23"/>
      <c r="F1999" s="23"/>
      <c r="G1999" s="23"/>
      <c r="H1999" s="23"/>
      <c r="I1999" s="22"/>
      <c r="J1999" s="23"/>
      <c r="K1999" s="23"/>
      <c r="L1999" s="23"/>
      <c r="M1999" s="23"/>
      <c r="N1999" s="22"/>
      <c r="O1999" s="22"/>
      <c r="P1999" s="22"/>
      <c r="Q1999" s="23"/>
      <c r="R1999" s="22"/>
      <c r="S1999" s="23"/>
      <c r="Y1999" s="23"/>
      <c r="Z1999" s="23"/>
      <c r="AA1999" s="3" t="str">
        <f t="shared" si="15"/>
        <v>___</v>
      </c>
      <c r="AB1999" s="3" t="str">
        <f t="shared" si="14"/>
        <v>____</v>
      </c>
    </row>
    <row r="2000" spans="1:28" ht="14">
      <c r="A2000" s="3">
        <v>1999</v>
      </c>
      <c r="B2000" s="23"/>
      <c r="C2000" s="23"/>
      <c r="D2000" s="23"/>
      <c r="E2000" s="23"/>
      <c r="F2000" s="23"/>
      <c r="G2000" s="23"/>
      <c r="H2000" s="23"/>
      <c r="I2000" s="22"/>
      <c r="J2000" s="23"/>
      <c r="K2000" s="23"/>
      <c r="L2000" s="23"/>
      <c r="M2000" s="23"/>
      <c r="N2000" s="22"/>
      <c r="O2000" s="22"/>
      <c r="P2000" s="22"/>
      <c r="Q2000" s="23"/>
      <c r="R2000" s="22"/>
      <c r="S2000" s="23"/>
      <c r="Y2000" s="23"/>
      <c r="Z2000" s="23"/>
      <c r="AA2000" s="3" t="str">
        <f t="shared" si="15"/>
        <v>___</v>
      </c>
      <c r="AB2000" s="3" t="str">
        <f t="shared" si="14"/>
        <v>____</v>
      </c>
    </row>
    <row r="2001" spans="1:28" ht="14">
      <c r="A2001" s="3">
        <v>2000</v>
      </c>
      <c r="B2001" s="23"/>
      <c r="C2001" s="23"/>
      <c r="D2001" s="23"/>
      <c r="E2001" s="23"/>
      <c r="F2001" s="23"/>
      <c r="G2001" s="23"/>
      <c r="H2001" s="23"/>
      <c r="I2001" s="22"/>
      <c r="J2001" s="23"/>
      <c r="K2001" s="23"/>
      <c r="L2001" s="23"/>
      <c r="M2001" s="23"/>
      <c r="N2001" s="22"/>
      <c r="O2001" s="22"/>
      <c r="P2001" s="22"/>
      <c r="Q2001" s="23"/>
      <c r="R2001" s="22"/>
      <c r="S2001" s="23"/>
      <c r="Y2001" s="23"/>
      <c r="Z2001" s="23"/>
      <c r="AA2001" s="3" t="str">
        <f t="shared" si="15"/>
        <v>___</v>
      </c>
      <c r="AB2001" s="3" t="str">
        <f t="shared" si="14"/>
        <v>____</v>
      </c>
    </row>
    <row r="2002" spans="1:28" ht="14">
      <c r="A2002" s="3">
        <v>2001</v>
      </c>
      <c r="B2002" s="23"/>
      <c r="C2002" s="23"/>
      <c r="D2002" s="23"/>
      <c r="E2002" s="23"/>
      <c r="F2002" s="23"/>
      <c r="G2002" s="23"/>
      <c r="H2002" s="23"/>
      <c r="I2002" s="22"/>
      <c r="J2002" s="23"/>
      <c r="K2002" s="23"/>
      <c r="L2002" s="23"/>
      <c r="M2002" s="23"/>
      <c r="N2002" s="22"/>
      <c r="O2002" s="22"/>
      <c r="P2002" s="22"/>
      <c r="Q2002" s="23"/>
      <c r="R2002" s="22"/>
      <c r="S2002" s="23"/>
      <c r="Y2002" s="23"/>
      <c r="Z2002" s="23"/>
      <c r="AA2002" s="3" t="str">
        <f t="shared" si="15"/>
        <v>___</v>
      </c>
      <c r="AB2002" s="3" t="str">
        <f t="shared" si="14"/>
        <v>____</v>
      </c>
    </row>
    <row r="2003" spans="1:28" ht="14">
      <c r="A2003" s="3">
        <v>2002</v>
      </c>
      <c r="B2003" s="23"/>
      <c r="C2003" s="23"/>
      <c r="D2003" s="23"/>
      <c r="E2003" s="23"/>
      <c r="F2003" s="23"/>
      <c r="G2003" s="23"/>
      <c r="H2003" s="23"/>
      <c r="I2003" s="22"/>
      <c r="J2003" s="23"/>
      <c r="K2003" s="23"/>
      <c r="L2003" s="23"/>
      <c r="M2003" s="23"/>
      <c r="N2003" s="22"/>
      <c r="O2003" s="22"/>
      <c r="P2003" s="22"/>
      <c r="Q2003" s="23"/>
      <c r="R2003" s="22"/>
      <c r="S2003" s="23"/>
      <c r="Y2003" s="23"/>
      <c r="Z2003" s="23"/>
      <c r="AA2003" s="3" t="str">
        <f t="shared" si="15"/>
        <v>___</v>
      </c>
      <c r="AB2003" s="3" t="str">
        <f t="shared" si="14"/>
        <v>____</v>
      </c>
    </row>
    <row r="2004" spans="1:28" ht="14">
      <c r="A2004" s="3">
        <v>2003</v>
      </c>
      <c r="B2004" s="23"/>
      <c r="C2004" s="23"/>
      <c r="D2004" s="23"/>
      <c r="E2004" s="23"/>
      <c r="F2004" s="23"/>
      <c r="G2004" s="23"/>
      <c r="H2004" s="23"/>
      <c r="I2004" s="22"/>
      <c r="J2004" s="23"/>
      <c r="K2004" s="23"/>
      <c r="L2004" s="23"/>
      <c r="M2004" s="23"/>
      <c r="N2004" s="22"/>
      <c r="O2004" s="22"/>
      <c r="P2004" s="22"/>
      <c r="Q2004" s="23"/>
      <c r="R2004" s="22"/>
      <c r="S2004" s="23"/>
      <c r="Y2004" s="23"/>
      <c r="Z2004" s="23"/>
      <c r="AA2004" s="3" t="str">
        <f t="shared" si="15"/>
        <v>___</v>
      </c>
      <c r="AB2004" s="3" t="str">
        <f t="shared" si="14"/>
        <v>____</v>
      </c>
    </row>
    <row r="2005" spans="1:28" ht="14">
      <c r="A2005" s="3">
        <v>2004</v>
      </c>
      <c r="B2005" s="23"/>
      <c r="C2005" s="23"/>
      <c r="D2005" s="23"/>
      <c r="E2005" s="23"/>
      <c r="F2005" s="23"/>
      <c r="G2005" s="23"/>
      <c r="H2005" s="23"/>
      <c r="I2005" s="22"/>
      <c r="J2005" s="23"/>
      <c r="K2005" s="23"/>
      <c r="L2005" s="23"/>
      <c r="M2005" s="23"/>
      <c r="N2005" s="22"/>
      <c r="O2005" s="22"/>
      <c r="P2005" s="22"/>
      <c r="Q2005" s="23"/>
      <c r="R2005" s="22"/>
      <c r="S2005" s="23"/>
      <c r="Y2005" s="23"/>
      <c r="Z2005" s="23"/>
      <c r="AA2005" s="3" t="str">
        <f t="shared" si="15"/>
        <v>___</v>
      </c>
      <c r="AB2005" s="3" t="str">
        <f t="shared" si="14"/>
        <v>____</v>
      </c>
    </row>
    <row r="2006" spans="1:28" ht="14">
      <c r="A2006" s="3">
        <v>2005</v>
      </c>
      <c r="B2006" s="23"/>
      <c r="C2006" s="23"/>
      <c r="D2006" s="23"/>
      <c r="E2006" s="23"/>
      <c r="F2006" s="23"/>
      <c r="G2006" s="23"/>
      <c r="H2006" s="23"/>
      <c r="I2006" s="22"/>
      <c r="J2006" s="23"/>
      <c r="K2006" s="23"/>
      <c r="L2006" s="23"/>
      <c r="M2006" s="23"/>
      <c r="N2006" s="22"/>
      <c r="O2006" s="22"/>
      <c r="P2006" s="22"/>
      <c r="Q2006" s="23"/>
      <c r="R2006" s="22"/>
      <c r="S2006" s="23"/>
      <c r="Y2006" s="23"/>
      <c r="Z2006" s="23"/>
      <c r="AA2006" s="3" t="str">
        <f t="shared" si="15"/>
        <v>___</v>
      </c>
      <c r="AB2006" s="3" t="str">
        <f t="shared" si="14"/>
        <v>____</v>
      </c>
    </row>
    <row r="2007" spans="1:28" ht="14">
      <c r="A2007" s="3">
        <v>2006</v>
      </c>
      <c r="B2007" s="23"/>
      <c r="C2007" s="23"/>
      <c r="D2007" s="23"/>
      <c r="E2007" s="23"/>
      <c r="F2007" s="23"/>
      <c r="G2007" s="23"/>
      <c r="H2007" s="23"/>
      <c r="I2007" s="22"/>
      <c r="J2007" s="23"/>
      <c r="K2007" s="23"/>
      <c r="L2007" s="23"/>
      <c r="M2007" s="23"/>
      <c r="N2007" s="22"/>
      <c r="O2007" s="22"/>
      <c r="P2007" s="22"/>
      <c r="Q2007" s="23"/>
      <c r="R2007" s="22"/>
      <c r="S2007" s="23"/>
      <c r="Y2007" s="23"/>
      <c r="Z2007" s="23"/>
      <c r="AA2007" s="3" t="str">
        <f t="shared" si="15"/>
        <v>___</v>
      </c>
      <c r="AB2007" s="3" t="str">
        <f t="shared" si="14"/>
        <v>____</v>
      </c>
    </row>
    <row r="2008" spans="1:28" ht="14">
      <c r="A2008" s="3">
        <v>2007</v>
      </c>
      <c r="B2008" s="23"/>
      <c r="C2008" s="23"/>
      <c r="D2008" s="23"/>
      <c r="E2008" s="23"/>
      <c r="F2008" s="23"/>
      <c r="G2008" s="23"/>
      <c r="H2008" s="23"/>
      <c r="I2008" s="22"/>
      <c r="J2008" s="23"/>
      <c r="K2008" s="23"/>
      <c r="L2008" s="23"/>
      <c r="M2008" s="23"/>
      <c r="N2008" s="22"/>
      <c r="O2008" s="22"/>
      <c r="P2008" s="22"/>
      <c r="Q2008" s="23"/>
      <c r="R2008" s="22"/>
      <c r="S2008" s="23"/>
      <c r="Y2008" s="23"/>
      <c r="Z2008" s="23"/>
      <c r="AA2008" s="3" t="str">
        <f t="shared" si="15"/>
        <v>___</v>
      </c>
      <c r="AB2008" s="3" t="str">
        <f t="shared" si="14"/>
        <v>____</v>
      </c>
    </row>
    <row r="2009" spans="1:28" ht="14">
      <c r="A2009" s="3">
        <v>2008</v>
      </c>
      <c r="B2009" s="23"/>
      <c r="C2009" s="23"/>
      <c r="D2009" s="23"/>
      <c r="E2009" s="23"/>
      <c r="F2009" s="23"/>
      <c r="G2009" s="23"/>
      <c r="H2009" s="23"/>
      <c r="I2009" s="22"/>
      <c r="J2009" s="23"/>
      <c r="K2009" s="23"/>
      <c r="L2009" s="23"/>
      <c r="M2009" s="23"/>
      <c r="N2009" s="22"/>
      <c r="O2009" s="22"/>
      <c r="P2009" s="22"/>
      <c r="Q2009" s="23"/>
      <c r="R2009" s="22"/>
      <c r="S2009" s="23"/>
      <c r="Y2009" s="23"/>
      <c r="Z2009" s="23"/>
      <c r="AA2009" s="3" t="str">
        <f t="shared" si="15"/>
        <v>___</v>
      </c>
      <c r="AB2009" s="3" t="str">
        <f t="shared" si="14"/>
        <v>____</v>
      </c>
    </row>
    <row r="2010" spans="1:28" ht="14">
      <c r="A2010" s="3">
        <v>2009</v>
      </c>
      <c r="B2010" s="23"/>
      <c r="C2010" s="23"/>
      <c r="D2010" s="23"/>
      <c r="E2010" s="23"/>
      <c r="F2010" s="23"/>
      <c r="G2010" s="23"/>
      <c r="H2010" s="23"/>
      <c r="I2010" s="22"/>
      <c r="J2010" s="23"/>
      <c r="K2010" s="23"/>
      <c r="L2010" s="23"/>
      <c r="M2010" s="23"/>
      <c r="N2010" s="22"/>
      <c r="O2010" s="22"/>
      <c r="P2010" s="22"/>
      <c r="Q2010" s="23"/>
      <c r="R2010" s="22"/>
      <c r="S2010" s="23"/>
      <c r="Y2010" s="23"/>
      <c r="Z2010" s="23"/>
      <c r="AA2010" s="3" t="str">
        <f t="shared" si="15"/>
        <v>___</v>
      </c>
      <c r="AB2010" s="3" t="str">
        <f t="shared" si="14"/>
        <v>____</v>
      </c>
    </row>
    <row r="2011" spans="1:28" ht="14">
      <c r="A2011" s="3">
        <v>2010</v>
      </c>
      <c r="B2011" s="23"/>
      <c r="C2011" s="23"/>
      <c r="D2011" s="23"/>
      <c r="E2011" s="23"/>
      <c r="F2011" s="23"/>
      <c r="G2011" s="23"/>
      <c r="H2011" s="23"/>
      <c r="I2011" s="22"/>
      <c r="J2011" s="23"/>
      <c r="K2011" s="23"/>
      <c r="L2011" s="23"/>
      <c r="M2011" s="23"/>
      <c r="N2011" s="22"/>
      <c r="O2011" s="22"/>
      <c r="P2011" s="22"/>
      <c r="Q2011" s="23"/>
      <c r="R2011" s="22"/>
      <c r="S2011" s="23"/>
      <c r="Y2011" s="23"/>
      <c r="Z2011" s="23"/>
      <c r="AA2011" s="3" t="str">
        <f t="shared" si="15"/>
        <v>___</v>
      </c>
      <c r="AB2011" s="3" t="str">
        <f t="shared" si="14"/>
        <v>____</v>
      </c>
    </row>
    <row r="2012" spans="1:28" ht="14">
      <c r="A2012" s="3">
        <v>2011</v>
      </c>
      <c r="B2012" s="23"/>
      <c r="C2012" s="23"/>
      <c r="D2012" s="23"/>
      <c r="E2012" s="23"/>
      <c r="F2012" s="23"/>
      <c r="G2012" s="23"/>
      <c r="H2012" s="23"/>
      <c r="I2012" s="22"/>
      <c r="J2012" s="23"/>
      <c r="K2012" s="23"/>
      <c r="L2012" s="23"/>
      <c r="M2012" s="23"/>
      <c r="N2012" s="22"/>
      <c r="O2012" s="22"/>
      <c r="P2012" s="22"/>
      <c r="Q2012" s="23"/>
      <c r="R2012" s="22"/>
      <c r="S2012" s="23"/>
      <c r="Y2012" s="23"/>
      <c r="Z2012" s="23"/>
      <c r="AA2012" s="3" t="str">
        <f t="shared" si="15"/>
        <v>___</v>
      </c>
      <c r="AB2012" s="3" t="str">
        <f t="shared" si="14"/>
        <v>____</v>
      </c>
    </row>
    <row r="2013" spans="1:28" ht="14">
      <c r="A2013" s="3">
        <v>2012</v>
      </c>
      <c r="B2013" s="23"/>
      <c r="C2013" s="23"/>
      <c r="D2013" s="23"/>
      <c r="E2013" s="23"/>
      <c r="F2013" s="23"/>
      <c r="G2013" s="23"/>
      <c r="H2013" s="23"/>
      <c r="I2013" s="22"/>
      <c r="J2013" s="23"/>
      <c r="K2013" s="23"/>
      <c r="L2013" s="23"/>
      <c r="M2013" s="23"/>
      <c r="N2013" s="22"/>
      <c r="O2013" s="22"/>
      <c r="P2013" s="22"/>
      <c r="Q2013" s="23"/>
      <c r="R2013" s="22"/>
      <c r="S2013" s="23"/>
      <c r="Y2013" s="23"/>
      <c r="Z2013" s="23"/>
      <c r="AA2013" s="3" t="str">
        <f t="shared" si="15"/>
        <v>___</v>
      </c>
      <c r="AB2013" s="3" t="str">
        <f t="shared" si="14"/>
        <v>____</v>
      </c>
    </row>
    <row r="2014" spans="1:28" ht="14">
      <c r="A2014" s="3">
        <v>2013</v>
      </c>
      <c r="B2014" s="23"/>
      <c r="C2014" s="23"/>
      <c r="D2014" s="23"/>
      <c r="E2014" s="23"/>
      <c r="F2014" s="23"/>
      <c r="G2014" s="23"/>
      <c r="H2014" s="23"/>
      <c r="I2014" s="22"/>
      <c r="J2014" s="23"/>
      <c r="K2014" s="23"/>
      <c r="L2014" s="23"/>
      <c r="M2014" s="23"/>
      <c r="N2014" s="22"/>
      <c r="O2014" s="22"/>
      <c r="P2014" s="22"/>
      <c r="Q2014" s="23"/>
      <c r="R2014" s="22"/>
      <c r="S2014" s="23"/>
      <c r="Y2014" s="23"/>
      <c r="Z2014" s="23"/>
      <c r="AA2014" s="3" t="str">
        <f t="shared" si="15"/>
        <v>___</v>
      </c>
      <c r="AB2014" s="3" t="str">
        <f t="shared" si="14"/>
        <v>____</v>
      </c>
    </row>
    <row r="2015" spans="1:28" ht="14">
      <c r="A2015" s="3">
        <v>2014</v>
      </c>
      <c r="B2015" s="23"/>
      <c r="C2015" s="23"/>
      <c r="D2015" s="23"/>
      <c r="E2015" s="23"/>
      <c r="F2015" s="23"/>
      <c r="G2015" s="23"/>
      <c r="H2015" s="23"/>
      <c r="I2015" s="22"/>
      <c r="J2015" s="23"/>
      <c r="K2015" s="23"/>
      <c r="L2015" s="23"/>
      <c r="M2015" s="23"/>
      <c r="N2015" s="22"/>
      <c r="O2015" s="22"/>
      <c r="P2015" s="22"/>
      <c r="Q2015" s="23"/>
      <c r="R2015" s="22"/>
      <c r="S2015" s="23"/>
      <c r="Y2015" s="23"/>
      <c r="Z2015" s="23"/>
      <c r="AA2015" s="3" t="str">
        <f t="shared" si="15"/>
        <v>___</v>
      </c>
      <c r="AB2015" s="3" t="str">
        <f t="shared" si="14"/>
        <v>____</v>
      </c>
    </row>
    <row r="2016" spans="1:28" ht="14">
      <c r="A2016" s="3">
        <v>2015</v>
      </c>
      <c r="B2016" s="23"/>
      <c r="C2016" s="23"/>
      <c r="D2016" s="23"/>
      <c r="E2016" s="23"/>
      <c r="F2016" s="23"/>
      <c r="G2016" s="23"/>
      <c r="H2016" s="23"/>
      <c r="I2016" s="22"/>
      <c r="J2016" s="23"/>
      <c r="K2016" s="23"/>
      <c r="L2016" s="23"/>
      <c r="M2016" s="23"/>
      <c r="N2016" s="22"/>
      <c r="O2016" s="22"/>
      <c r="P2016" s="22"/>
      <c r="Q2016" s="23"/>
      <c r="R2016" s="22"/>
      <c r="S2016" s="23"/>
      <c r="Y2016" s="23"/>
      <c r="Z2016" s="23"/>
      <c r="AA2016" s="3" t="str">
        <f t="shared" si="15"/>
        <v>___</v>
      </c>
      <c r="AB2016" s="3" t="str">
        <f t="shared" si="14"/>
        <v>____</v>
      </c>
    </row>
    <row r="2017" spans="1:28" ht="14">
      <c r="A2017" s="3">
        <v>2016</v>
      </c>
      <c r="B2017" s="23"/>
      <c r="C2017" s="23"/>
      <c r="D2017" s="23"/>
      <c r="E2017" s="23"/>
      <c r="F2017" s="23"/>
      <c r="G2017" s="23"/>
      <c r="H2017" s="23"/>
      <c r="I2017" s="22"/>
      <c r="J2017" s="23"/>
      <c r="K2017" s="23"/>
      <c r="L2017" s="23"/>
      <c r="M2017" s="23"/>
      <c r="N2017" s="22"/>
      <c r="O2017" s="22"/>
      <c r="P2017" s="22"/>
      <c r="Q2017" s="23"/>
      <c r="R2017" s="22"/>
      <c r="S2017" s="23"/>
      <c r="Y2017" s="23"/>
      <c r="Z2017" s="23"/>
      <c r="AA2017" s="3" t="str">
        <f t="shared" si="15"/>
        <v>___</v>
      </c>
      <c r="AB2017" s="3" t="str">
        <f t="shared" si="14"/>
        <v>____</v>
      </c>
    </row>
    <row r="2018" spans="1:28" ht="14">
      <c r="A2018" s="3">
        <v>2017</v>
      </c>
      <c r="B2018" s="23"/>
      <c r="C2018" s="23"/>
      <c r="D2018" s="23"/>
      <c r="E2018" s="23"/>
      <c r="F2018" s="23"/>
      <c r="G2018" s="23"/>
      <c r="H2018" s="23"/>
      <c r="I2018" s="22"/>
      <c r="J2018" s="23"/>
      <c r="K2018" s="23"/>
      <c r="L2018" s="23"/>
      <c r="M2018" s="23"/>
      <c r="N2018" s="22"/>
      <c r="O2018" s="22"/>
      <c r="P2018" s="22"/>
      <c r="Q2018" s="23"/>
      <c r="R2018" s="22"/>
      <c r="S2018" s="23"/>
      <c r="Y2018" s="23"/>
      <c r="Z2018" s="23"/>
      <c r="AA2018" s="3" t="str">
        <f t="shared" si="15"/>
        <v>___</v>
      </c>
      <c r="AB2018" s="3" t="str">
        <f t="shared" si="14"/>
        <v>____</v>
      </c>
    </row>
    <row r="2019" spans="1:28" ht="14">
      <c r="A2019" s="3">
        <v>2018</v>
      </c>
      <c r="B2019" s="23"/>
      <c r="C2019" s="23"/>
      <c r="D2019" s="23"/>
      <c r="E2019" s="23"/>
      <c r="F2019" s="23"/>
      <c r="G2019" s="23"/>
      <c r="H2019" s="23"/>
      <c r="I2019" s="22"/>
      <c r="J2019" s="23"/>
      <c r="K2019" s="23"/>
      <c r="L2019" s="23"/>
      <c r="M2019" s="23"/>
      <c r="N2019" s="22"/>
      <c r="O2019" s="22"/>
      <c r="P2019" s="22"/>
      <c r="Q2019" s="23"/>
      <c r="R2019" s="22"/>
      <c r="S2019" s="23"/>
      <c r="Y2019" s="23"/>
      <c r="Z2019" s="23"/>
      <c r="AA2019" s="3" t="str">
        <f t="shared" si="15"/>
        <v>___</v>
      </c>
      <c r="AB2019" s="3" t="str">
        <f t="shared" si="14"/>
        <v>____</v>
      </c>
    </row>
    <row r="2020" spans="1:28" ht="14">
      <c r="A2020" s="3">
        <v>2019</v>
      </c>
      <c r="B2020" s="23"/>
      <c r="C2020" s="23"/>
      <c r="D2020" s="23"/>
      <c r="E2020" s="23"/>
      <c r="F2020" s="23"/>
      <c r="G2020" s="23"/>
      <c r="H2020" s="23"/>
      <c r="I2020" s="22"/>
      <c r="J2020" s="23"/>
      <c r="K2020" s="23"/>
      <c r="L2020" s="23"/>
      <c r="M2020" s="23"/>
      <c r="N2020" s="22"/>
      <c r="O2020" s="22"/>
      <c r="P2020" s="22"/>
      <c r="Q2020" s="23"/>
      <c r="R2020" s="22"/>
      <c r="S2020" s="23"/>
      <c r="Y2020" s="23"/>
      <c r="Z2020" s="23"/>
      <c r="AA2020" s="3" t="str">
        <f t="shared" si="15"/>
        <v>___</v>
      </c>
      <c r="AB2020" s="3" t="str">
        <f t="shared" si="14"/>
        <v>____</v>
      </c>
    </row>
    <row r="2021" spans="1:28" ht="14">
      <c r="A2021" s="23"/>
      <c r="B2021" s="23"/>
      <c r="C2021" s="23"/>
      <c r="D2021" s="23"/>
      <c r="E2021" s="23"/>
      <c r="F2021" s="23"/>
      <c r="G2021" s="23"/>
      <c r="H2021" s="23"/>
      <c r="I2021" s="22"/>
      <c r="J2021" s="23"/>
      <c r="K2021" s="23"/>
      <c r="L2021" s="23"/>
      <c r="M2021" s="23"/>
      <c r="N2021" s="22"/>
      <c r="O2021" s="22"/>
      <c r="P2021" s="22"/>
      <c r="Q2021" s="23"/>
      <c r="R2021" s="22"/>
      <c r="S2021" s="23"/>
      <c r="Y2021" s="23"/>
      <c r="Z2021" s="23"/>
      <c r="AA2021" s="3" t="str">
        <f t="shared" si="15"/>
        <v>___</v>
      </c>
      <c r="AB2021" s="3" t="str">
        <f t="shared" si="14"/>
        <v>____</v>
      </c>
    </row>
    <row r="2022" spans="1:28" ht="14">
      <c r="A2022" s="23"/>
      <c r="B2022" s="23"/>
      <c r="C2022" s="23"/>
      <c r="D2022" s="23"/>
      <c r="E2022" s="23"/>
      <c r="F2022" s="23"/>
      <c r="G2022" s="23"/>
      <c r="H2022" s="23"/>
      <c r="I2022" s="22"/>
      <c r="J2022" s="23"/>
      <c r="K2022" s="23"/>
      <c r="L2022" s="23"/>
      <c r="M2022" s="23"/>
      <c r="N2022" s="22"/>
      <c r="O2022" s="22"/>
      <c r="P2022" s="22"/>
      <c r="Q2022" s="23"/>
      <c r="R2022" s="22"/>
      <c r="S2022" s="23"/>
      <c r="Y2022" s="23"/>
      <c r="Z2022" s="23"/>
      <c r="AA2022" s="3" t="str">
        <f t="shared" si="15"/>
        <v>___</v>
      </c>
      <c r="AB2022" s="3" t="str">
        <f t="shared" si="14"/>
        <v>____</v>
      </c>
    </row>
    <row r="2023" spans="1:28" ht="14">
      <c r="A2023" s="23"/>
      <c r="B2023" s="23"/>
      <c r="C2023" s="23"/>
      <c r="D2023" s="23"/>
      <c r="E2023" s="23"/>
      <c r="F2023" s="23"/>
      <c r="G2023" s="23"/>
      <c r="H2023" s="23"/>
      <c r="I2023" s="22"/>
      <c r="J2023" s="23"/>
      <c r="K2023" s="23"/>
      <c r="L2023" s="23"/>
      <c r="M2023" s="23"/>
      <c r="N2023" s="22"/>
      <c r="O2023" s="22"/>
      <c r="P2023" s="22"/>
      <c r="Q2023" s="23"/>
      <c r="R2023" s="22"/>
      <c r="S2023" s="23"/>
      <c r="Y2023" s="23"/>
      <c r="Z2023" s="23"/>
      <c r="AA2023" s="3" t="str">
        <f t="shared" si="15"/>
        <v>___</v>
      </c>
      <c r="AB2023" s="3" t="str">
        <f t="shared" si="14"/>
        <v>____</v>
      </c>
    </row>
    <row r="2024" spans="1:28" ht="14">
      <c r="A2024" s="23"/>
      <c r="B2024" s="23"/>
      <c r="C2024" s="23"/>
      <c r="D2024" s="23"/>
      <c r="E2024" s="23"/>
      <c r="F2024" s="23"/>
      <c r="G2024" s="23"/>
      <c r="H2024" s="23"/>
      <c r="I2024" s="22"/>
      <c r="J2024" s="23"/>
      <c r="K2024" s="23"/>
      <c r="L2024" s="23"/>
      <c r="M2024" s="23"/>
      <c r="N2024" s="22"/>
      <c r="O2024" s="22"/>
      <c r="P2024" s="22"/>
      <c r="Q2024" s="23"/>
      <c r="R2024" s="22"/>
      <c r="S2024" s="23"/>
      <c r="Y2024" s="23"/>
      <c r="Z2024" s="23"/>
      <c r="AA2024" s="3" t="str">
        <f t="shared" si="15"/>
        <v>___</v>
      </c>
      <c r="AB2024" s="3" t="str">
        <f t="shared" si="14"/>
        <v>____</v>
      </c>
    </row>
    <row r="2025" spans="1:28" ht="14">
      <c r="A2025" s="23"/>
      <c r="B2025" s="23"/>
      <c r="C2025" s="23"/>
      <c r="D2025" s="23"/>
      <c r="E2025" s="23"/>
      <c r="F2025" s="23"/>
      <c r="G2025" s="23"/>
      <c r="H2025" s="23"/>
      <c r="I2025" s="22"/>
      <c r="J2025" s="23"/>
      <c r="K2025" s="23"/>
      <c r="L2025" s="23"/>
      <c r="M2025" s="23"/>
      <c r="N2025" s="22"/>
      <c r="O2025" s="22"/>
      <c r="P2025" s="22"/>
      <c r="Q2025" s="23"/>
      <c r="R2025" s="22"/>
      <c r="S2025" s="23"/>
      <c r="Y2025" s="23"/>
      <c r="Z2025" s="23"/>
      <c r="AA2025" s="3" t="str">
        <f t="shared" si="15"/>
        <v>___</v>
      </c>
      <c r="AB2025" s="3" t="str">
        <f t="shared" si="14"/>
        <v>____</v>
      </c>
    </row>
    <row r="2026" spans="1:28" ht="14">
      <c r="A2026" s="23"/>
      <c r="B2026" s="23"/>
      <c r="C2026" s="23"/>
      <c r="D2026" s="23"/>
      <c r="E2026" s="23"/>
      <c r="F2026" s="23"/>
      <c r="G2026" s="23"/>
      <c r="H2026" s="23"/>
      <c r="I2026" s="22"/>
      <c r="J2026" s="23"/>
      <c r="K2026" s="23"/>
      <c r="L2026" s="23"/>
      <c r="M2026" s="23"/>
      <c r="N2026" s="22"/>
      <c r="O2026" s="22"/>
      <c r="P2026" s="22"/>
      <c r="Q2026" s="23"/>
      <c r="R2026" s="22"/>
      <c r="S2026" s="23"/>
      <c r="Y2026" s="23"/>
      <c r="Z2026" s="23"/>
      <c r="AA2026" s="3" t="str">
        <f t="shared" si="15"/>
        <v>___</v>
      </c>
      <c r="AB2026" s="3" t="str">
        <f t="shared" si="14"/>
        <v>____</v>
      </c>
    </row>
    <row r="2027" spans="1:28" ht="14">
      <c r="A2027" s="23"/>
      <c r="B2027" s="23"/>
      <c r="C2027" s="23"/>
      <c r="D2027" s="23"/>
      <c r="E2027" s="23"/>
      <c r="F2027" s="23"/>
      <c r="G2027" s="23"/>
      <c r="H2027" s="23"/>
      <c r="I2027" s="22"/>
      <c r="J2027" s="23"/>
      <c r="K2027" s="23"/>
      <c r="L2027" s="23"/>
      <c r="M2027" s="23"/>
      <c r="N2027" s="22"/>
      <c r="O2027" s="22"/>
      <c r="P2027" s="22"/>
      <c r="Q2027" s="23"/>
      <c r="R2027" s="22"/>
      <c r="S2027" s="23"/>
      <c r="Y2027" s="23"/>
      <c r="Z2027" s="23"/>
      <c r="AA2027" s="3" t="str">
        <f t="shared" si="15"/>
        <v>___</v>
      </c>
      <c r="AB2027" s="3" t="str">
        <f t="shared" si="14"/>
        <v>____</v>
      </c>
    </row>
    <row r="2028" spans="1:28" ht="14">
      <c r="A2028" s="23"/>
      <c r="B2028" s="23"/>
      <c r="C2028" s="23"/>
      <c r="D2028" s="23"/>
      <c r="E2028" s="23"/>
      <c r="F2028" s="23"/>
      <c r="G2028" s="23"/>
      <c r="H2028" s="23"/>
      <c r="I2028" s="22"/>
      <c r="J2028" s="23"/>
      <c r="K2028" s="23"/>
      <c r="L2028" s="23"/>
      <c r="M2028" s="23"/>
      <c r="N2028" s="22"/>
      <c r="O2028" s="22"/>
      <c r="P2028" s="22"/>
      <c r="Q2028" s="23"/>
      <c r="R2028" s="22"/>
      <c r="S2028" s="23"/>
      <c r="Y2028" s="23"/>
      <c r="Z2028" s="23"/>
      <c r="AA2028" s="3" t="str">
        <f t="shared" si="15"/>
        <v>___</v>
      </c>
      <c r="AB2028" s="3" t="str">
        <f t="shared" si="14"/>
        <v>____</v>
      </c>
    </row>
    <row r="2029" spans="1:28" ht="14">
      <c r="A2029" s="23"/>
      <c r="B2029" s="23"/>
      <c r="C2029" s="23"/>
      <c r="D2029" s="23"/>
      <c r="E2029" s="23"/>
      <c r="F2029" s="23"/>
      <c r="G2029" s="23"/>
      <c r="H2029" s="23"/>
      <c r="I2029" s="22"/>
      <c r="J2029" s="23"/>
      <c r="K2029" s="23"/>
      <c r="L2029" s="23"/>
      <c r="M2029" s="23"/>
      <c r="N2029" s="22"/>
      <c r="O2029" s="22"/>
      <c r="P2029" s="22"/>
      <c r="Q2029" s="23"/>
      <c r="R2029" s="22"/>
      <c r="S2029" s="23"/>
      <c r="Y2029" s="23"/>
      <c r="Z2029" s="23"/>
      <c r="AA2029" s="3" t="str">
        <f t="shared" si="15"/>
        <v>___</v>
      </c>
      <c r="AB2029" s="3" t="str">
        <f t="shared" si="14"/>
        <v>____</v>
      </c>
    </row>
    <row r="2030" spans="1:28" ht="14">
      <c r="A2030" s="23"/>
      <c r="B2030" s="23"/>
      <c r="C2030" s="23"/>
      <c r="D2030" s="23"/>
      <c r="E2030" s="23"/>
      <c r="F2030" s="23"/>
      <c r="G2030" s="23"/>
      <c r="H2030" s="23"/>
      <c r="I2030" s="22"/>
      <c r="J2030" s="23"/>
      <c r="K2030" s="23"/>
      <c r="L2030" s="23"/>
      <c r="M2030" s="23"/>
      <c r="N2030" s="22"/>
      <c r="O2030" s="22"/>
      <c r="P2030" s="22"/>
      <c r="Q2030" s="23"/>
      <c r="R2030" s="22"/>
      <c r="S2030" s="23"/>
      <c r="Y2030" s="23"/>
      <c r="Z2030" s="23"/>
      <c r="AA2030" s="3" t="str">
        <f t="shared" si="15"/>
        <v>___</v>
      </c>
      <c r="AB2030" s="3" t="str">
        <f t="shared" si="14"/>
        <v>____</v>
      </c>
    </row>
    <row r="2031" spans="1:28" ht="14">
      <c r="A2031" s="23"/>
      <c r="B2031" s="23"/>
      <c r="C2031" s="23"/>
      <c r="D2031" s="23"/>
      <c r="E2031" s="23"/>
      <c r="F2031" s="23"/>
      <c r="G2031" s="23"/>
      <c r="H2031" s="23"/>
      <c r="I2031" s="22"/>
      <c r="J2031" s="23"/>
      <c r="K2031" s="23"/>
      <c r="L2031" s="23"/>
      <c r="M2031" s="23"/>
      <c r="N2031" s="22"/>
      <c r="O2031" s="22"/>
      <c r="P2031" s="22"/>
      <c r="Q2031" s="23"/>
      <c r="R2031" s="22"/>
      <c r="S2031" s="23"/>
      <c r="Y2031" s="23"/>
      <c r="Z2031" s="23"/>
      <c r="AA2031" s="3" t="str">
        <f t="shared" si="15"/>
        <v>___</v>
      </c>
      <c r="AB2031" s="3" t="str">
        <f t="shared" si="14"/>
        <v>____</v>
      </c>
    </row>
    <row r="2032" spans="1:28" ht="14">
      <c r="A2032" s="23"/>
      <c r="B2032" s="23"/>
      <c r="C2032" s="23"/>
      <c r="D2032" s="23"/>
      <c r="E2032" s="23"/>
      <c r="F2032" s="23"/>
      <c r="G2032" s="23"/>
      <c r="H2032" s="23"/>
      <c r="I2032" s="22"/>
      <c r="J2032" s="23"/>
      <c r="K2032" s="23"/>
      <c r="L2032" s="23"/>
      <c r="M2032" s="23"/>
      <c r="N2032" s="22"/>
      <c r="O2032" s="22"/>
      <c r="P2032" s="22"/>
      <c r="Q2032" s="23"/>
      <c r="R2032" s="22"/>
      <c r="S2032" s="23"/>
      <c r="Y2032" s="23"/>
      <c r="Z2032" s="23"/>
      <c r="AA2032" s="3" t="str">
        <f t="shared" si="15"/>
        <v>___</v>
      </c>
      <c r="AB2032" s="3" t="str">
        <f t="shared" si="14"/>
        <v>____</v>
      </c>
    </row>
    <row r="2033" spans="1:28" ht="14">
      <c r="A2033" s="23"/>
      <c r="B2033" s="23"/>
      <c r="C2033" s="23"/>
      <c r="D2033" s="23"/>
      <c r="E2033" s="23"/>
      <c r="F2033" s="23"/>
      <c r="G2033" s="23"/>
      <c r="H2033" s="23"/>
      <c r="I2033" s="22"/>
      <c r="J2033" s="23"/>
      <c r="K2033" s="23"/>
      <c r="L2033" s="23"/>
      <c r="M2033" s="23"/>
      <c r="N2033" s="22"/>
      <c r="O2033" s="22"/>
      <c r="P2033" s="22"/>
      <c r="Q2033" s="23"/>
      <c r="R2033" s="22"/>
      <c r="S2033" s="23"/>
      <c r="Y2033" s="23"/>
      <c r="Z2033" s="23"/>
      <c r="AA2033" s="3" t="str">
        <f t="shared" si="15"/>
        <v>___</v>
      </c>
      <c r="AB2033" s="3" t="str">
        <f t="shared" si="14"/>
        <v>____</v>
      </c>
    </row>
    <row r="2034" spans="1:28" ht="14">
      <c r="A2034" s="23"/>
      <c r="B2034" s="23"/>
      <c r="C2034" s="23"/>
      <c r="D2034" s="23"/>
      <c r="E2034" s="23"/>
      <c r="F2034" s="23"/>
      <c r="G2034" s="23"/>
      <c r="H2034" s="23"/>
      <c r="I2034" s="22"/>
      <c r="J2034" s="23"/>
      <c r="K2034" s="23"/>
      <c r="L2034" s="23"/>
      <c r="M2034" s="23"/>
      <c r="N2034" s="22"/>
      <c r="O2034" s="22"/>
      <c r="P2034" s="22"/>
      <c r="Q2034" s="23"/>
      <c r="R2034" s="22"/>
      <c r="S2034" s="23"/>
      <c r="Y2034" s="23"/>
      <c r="Z2034" s="23"/>
      <c r="AA2034" s="3" t="str">
        <f t="shared" si="15"/>
        <v>___</v>
      </c>
      <c r="AB2034" s="3" t="str">
        <f t="shared" si="14"/>
        <v>____</v>
      </c>
    </row>
    <row r="2035" spans="1:28" ht="14">
      <c r="A2035" s="23"/>
      <c r="B2035" s="23"/>
      <c r="C2035" s="23"/>
      <c r="D2035" s="23"/>
      <c r="E2035" s="23"/>
      <c r="F2035" s="23"/>
      <c r="G2035" s="23"/>
      <c r="H2035" s="23"/>
      <c r="I2035" s="22"/>
      <c r="J2035" s="23"/>
      <c r="K2035" s="23"/>
      <c r="L2035" s="23"/>
      <c r="M2035" s="23"/>
      <c r="N2035" s="22"/>
      <c r="O2035" s="22"/>
      <c r="P2035" s="22"/>
      <c r="Q2035" s="23"/>
      <c r="R2035" s="22"/>
      <c r="S2035" s="23"/>
      <c r="Y2035" s="23"/>
      <c r="Z2035" s="23"/>
      <c r="AA2035" s="3" t="str">
        <f t="shared" si="15"/>
        <v>___</v>
      </c>
      <c r="AB2035" s="3" t="str">
        <f t="shared" si="14"/>
        <v>____</v>
      </c>
    </row>
    <row r="2036" spans="1:28" ht="14">
      <c r="A2036" s="23"/>
      <c r="B2036" s="23"/>
      <c r="C2036" s="23"/>
      <c r="D2036" s="23"/>
      <c r="E2036" s="23"/>
      <c r="F2036" s="23"/>
      <c r="G2036" s="23"/>
      <c r="H2036" s="23"/>
      <c r="I2036" s="22"/>
      <c r="J2036" s="23"/>
      <c r="K2036" s="23"/>
      <c r="L2036" s="23"/>
      <c r="M2036" s="23"/>
      <c r="N2036" s="22"/>
      <c r="O2036" s="22"/>
      <c r="P2036" s="22"/>
      <c r="Q2036" s="23"/>
      <c r="R2036" s="22"/>
      <c r="S2036" s="23"/>
      <c r="Y2036" s="23"/>
      <c r="Z2036" s="23"/>
      <c r="AA2036" s="3" t="str">
        <f t="shared" si="15"/>
        <v>___</v>
      </c>
      <c r="AB2036" s="3" t="str">
        <f t="shared" si="14"/>
        <v>____</v>
      </c>
    </row>
    <row r="2037" spans="1:28" ht="14">
      <c r="A2037" s="23"/>
      <c r="B2037" s="23"/>
      <c r="C2037" s="23"/>
      <c r="D2037" s="23"/>
      <c r="E2037" s="23"/>
      <c r="F2037" s="23"/>
      <c r="G2037" s="23"/>
      <c r="H2037" s="23"/>
      <c r="I2037" s="22"/>
      <c r="J2037" s="23"/>
      <c r="K2037" s="23"/>
      <c r="L2037" s="23"/>
      <c r="M2037" s="23"/>
      <c r="N2037" s="22"/>
      <c r="O2037" s="22"/>
      <c r="P2037" s="22"/>
      <c r="Q2037" s="23"/>
      <c r="R2037" s="22"/>
      <c r="S2037" s="23"/>
      <c r="Y2037" s="23"/>
      <c r="Z2037" s="23"/>
      <c r="AA2037" s="3" t="str">
        <f t="shared" si="15"/>
        <v>___</v>
      </c>
      <c r="AB2037" s="3" t="str">
        <f t="shared" si="14"/>
        <v>____</v>
      </c>
    </row>
    <row r="2038" spans="1:28" ht="14">
      <c r="A2038" s="23"/>
      <c r="B2038" s="23"/>
      <c r="C2038" s="23"/>
      <c r="D2038" s="23"/>
      <c r="E2038" s="23"/>
      <c r="F2038" s="23"/>
      <c r="G2038" s="23"/>
      <c r="H2038" s="23"/>
      <c r="I2038" s="22"/>
      <c r="J2038" s="23"/>
      <c r="K2038" s="23"/>
      <c r="L2038" s="23"/>
      <c r="M2038" s="23"/>
      <c r="N2038" s="22"/>
      <c r="O2038" s="22"/>
      <c r="P2038" s="22"/>
      <c r="Q2038" s="23"/>
      <c r="R2038" s="22"/>
      <c r="S2038" s="23"/>
      <c r="Y2038" s="23"/>
      <c r="Z2038" s="23"/>
      <c r="AA2038" s="3" t="str">
        <f t="shared" si="15"/>
        <v>___</v>
      </c>
      <c r="AB2038" s="3" t="str">
        <f t="shared" si="14"/>
        <v>____</v>
      </c>
    </row>
    <row r="2039" spans="1:28" ht="14">
      <c r="A2039" s="23"/>
      <c r="B2039" s="23"/>
      <c r="C2039" s="23"/>
      <c r="D2039" s="23"/>
      <c r="E2039" s="23"/>
      <c r="F2039" s="23"/>
      <c r="G2039" s="23"/>
      <c r="H2039" s="23"/>
      <c r="I2039" s="22"/>
      <c r="J2039" s="23"/>
      <c r="K2039" s="23"/>
      <c r="L2039" s="23"/>
      <c r="M2039" s="23"/>
      <c r="N2039" s="22"/>
      <c r="O2039" s="22"/>
      <c r="P2039" s="22"/>
      <c r="Q2039" s="23"/>
      <c r="R2039" s="22"/>
      <c r="S2039" s="23"/>
      <c r="Y2039" s="23"/>
      <c r="Z2039" s="23"/>
      <c r="AA2039" s="3" t="str">
        <f t="shared" si="15"/>
        <v>___</v>
      </c>
      <c r="AB2039" s="3" t="str">
        <f t="shared" si="14"/>
        <v>____</v>
      </c>
    </row>
    <row r="2040" spans="1:28" ht="14">
      <c r="A2040" s="23"/>
      <c r="B2040" s="23"/>
      <c r="C2040" s="23"/>
      <c r="D2040" s="23"/>
      <c r="E2040" s="23"/>
      <c r="F2040" s="23"/>
      <c r="G2040" s="23"/>
      <c r="H2040" s="23"/>
      <c r="I2040" s="22"/>
      <c r="J2040" s="23"/>
      <c r="K2040" s="23"/>
      <c r="L2040" s="23"/>
      <c r="M2040" s="23"/>
      <c r="N2040" s="22"/>
      <c r="O2040" s="22"/>
      <c r="P2040" s="22"/>
      <c r="Q2040" s="23"/>
      <c r="R2040" s="22"/>
      <c r="S2040" s="23"/>
      <c r="Y2040" s="23"/>
      <c r="Z2040" s="23"/>
      <c r="AA2040" s="3" t="str">
        <f t="shared" si="15"/>
        <v>___</v>
      </c>
      <c r="AB2040" s="3" t="str">
        <f t="shared" si="14"/>
        <v>____</v>
      </c>
    </row>
    <row r="2041" spans="1:28" ht="14">
      <c r="A2041" s="23"/>
      <c r="B2041" s="23"/>
      <c r="C2041" s="23"/>
      <c r="D2041" s="23"/>
      <c r="E2041" s="23"/>
      <c r="F2041" s="23"/>
      <c r="G2041" s="23"/>
      <c r="H2041" s="23"/>
      <c r="I2041" s="22"/>
      <c r="J2041" s="23"/>
      <c r="K2041" s="23"/>
      <c r="L2041" s="23"/>
      <c r="M2041" s="23"/>
      <c r="N2041" s="22"/>
      <c r="O2041" s="22"/>
      <c r="P2041" s="22"/>
      <c r="Q2041" s="23"/>
      <c r="R2041" s="22"/>
      <c r="S2041" s="23"/>
      <c r="Y2041" s="23"/>
      <c r="Z2041" s="23"/>
      <c r="AA2041" s="3" t="str">
        <f t="shared" si="15"/>
        <v>___</v>
      </c>
      <c r="AB2041" s="3" t="str">
        <f t="shared" si="14"/>
        <v>____</v>
      </c>
    </row>
    <row r="2042" spans="1:28" ht="14">
      <c r="A2042" s="23"/>
      <c r="B2042" s="23"/>
      <c r="C2042" s="23"/>
      <c r="D2042" s="23"/>
      <c r="E2042" s="23"/>
      <c r="F2042" s="23"/>
      <c r="G2042" s="23"/>
      <c r="H2042" s="23"/>
      <c r="I2042" s="22"/>
      <c r="J2042" s="23"/>
      <c r="K2042" s="23"/>
      <c r="L2042" s="23"/>
      <c r="M2042" s="23"/>
      <c r="N2042" s="22"/>
      <c r="O2042" s="22"/>
      <c r="P2042" s="22"/>
      <c r="Q2042" s="23"/>
      <c r="R2042" s="22"/>
      <c r="S2042" s="23"/>
      <c r="Y2042" s="23"/>
      <c r="Z2042" s="23"/>
      <c r="AA2042" s="3" t="str">
        <f t="shared" si="15"/>
        <v>___</v>
      </c>
      <c r="AB2042" s="3" t="str">
        <f t="shared" ref="AB2042:AB2189" si="16">CONCATENATE(C2042,"_",D2042,"_",G2042,"_",H2042,"_",I2042)</f>
        <v>____</v>
      </c>
    </row>
    <row r="2043" spans="1:28" ht="14">
      <c r="A2043" s="23"/>
      <c r="B2043" s="23"/>
      <c r="C2043" s="23"/>
      <c r="D2043" s="23"/>
      <c r="E2043" s="23"/>
      <c r="F2043" s="23"/>
      <c r="G2043" s="23"/>
      <c r="H2043" s="23"/>
      <c r="I2043" s="22"/>
      <c r="J2043" s="23"/>
      <c r="K2043" s="23"/>
      <c r="L2043" s="23"/>
      <c r="M2043" s="23"/>
      <c r="N2043" s="22"/>
      <c r="O2043" s="22"/>
      <c r="P2043" s="22"/>
      <c r="Q2043" s="23"/>
      <c r="R2043" s="22"/>
      <c r="S2043" s="23"/>
      <c r="Y2043" s="23"/>
      <c r="Z2043" s="23"/>
      <c r="AA2043" s="3" t="str">
        <f t="shared" ref="AA2043:AA2189" si="17">CONCATENATE(C2043, "_",D2043,"_",G2043,"_",H2043)</f>
        <v>___</v>
      </c>
      <c r="AB2043" s="3" t="str">
        <f t="shared" si="16"/>
        <v>____</v>
      </c>
    </row>
    <row r="2044" spans="1:28" ht="14">
      <c r="A2044" s="23"/>
      <c r="B2044" s="23"/>
      <c r="C2044" s="23"/>
      <c r="D2044" s="23"/>
      <c r="E2044" s="23"/>
      <c r="F2044" s="23"/>
      <c r="G2044" s="23"/>
      <c r="H2044" s="23"/>
      <c r="I2044" s="22"/>
      <c r="J2044" s="23"/>
      <c r="K2044" s="23"/>
      <c r="L2044" s="23"/>
      <c r="M2044" s="23"/>
      <c r="N2044" s="22"/>
      <c r="O2044" s="22"/>
      <c r="P2044" s="22"/>
      <c r="Q2044" s="23"/>
      <c r="R2044" s="22"/>
      <c r="S2044" s="23"/>
      <c r="Y2044" s="23"/>
      <c r="Z2044" s="23"/>
      <c r="AA2044" s="3" t="str">
        <f t="shared" si="17"/>
        <v>___</v>
      </c>
      <c r="AB2044" s="3" t="str">
        <f t="shared" si="16"/>
        <v>____</v>
      </c>
    </row>
    <row r="2045" spans="1:28" ht="14">
      <c r="A2045" s="23"/>
      <c r="B2045" s="23"/>
      <c r="C2045" s="23"/>
      <c r="D2045" s="23"/>
      <c r="E2045" s="23"/>
      <c r="F2045" s="23"/>
      <c r="G2045" s="23"/>
      <c r="H2045" s="23"/>
      <c r="I2045" s="22"/>
      <c r="J2045" s="23"/>
      <c r="K2045" s="23"/>
      <c r="L2045" s="23"/>
      <c r="M2045" s="23"/>
      <c r="N2045" s="22"/>
      <c r="O2045" s="22"/>
      <c r="P2045" s="22"/>
      <c r="Q2045" s="23"/>
      <c r="R2045" s="22"/>
      <c r="S2045" s="23"/>
      <c r="Y2045" s="23"/>
      <c r="Z2045" s="23"/>
      <c r="AA2045" s="3" t="str">
        <f t="shared" si="17"/>
        <v>___</v>
      </c>
      <c r="AB2045" s="3" t="str">
        <f t="shared" si="16"/>
        <v>____</v>
      </c>
    </row>
    <row r="2046" spans="1:28" ht="14">
      <c r="A2046" s="23"/>
      <c r="B2046" s="23"/>
      <c r="C2046" s="23"/>
      <c r="D2046" s="23"/>
      <c r="E2046" s="23"/>
      <c r="F2046" s="23"/>
      <c r="G2046" s="23"/>
      <c r="H2046" s="23"/>
      <c r="I2046" s="22"/>
      <c r="J2046" s="23"/>
      <c r="K2046" s="23"/>
      <c r="L2046" s="23"/>
      <c r="M2046" s="23"/>
      <c r="N2046" s="22"/>
      <c r="O2046" s="22"/>
      <c r="P2046" s="22"/>
      <c r="Q2046" s="23"/>
      <c r="R2046" s="22"/>
      <c r="S2046" s="23"/>
      <c r="Y2046" s="23"/>
      <c r="Z2046" s="23"/>
      <c r="AA2046" s="3" t="str">
        <f t="shared" si="17"/>
        <v>___</v>
      </c>
      <c r="AB2046" s="3" t="str">
        <f t="shared" si="16"/>
        <v>____</v>
      </c>
    </row>
    <row r="2047" spans="1:28" ht="14">
      <c r="A2047" s="23"/>
      <c r="B2047" s="23"/>
      <c r="C2047" s="23"/>
      <c r="D2047" s="23"/>
      <c r="E2047" s="23"/>
      <c r="F2047" s="23"/>
      <c r="G2047" s="23"/>
      <c r="H2047" s="23"/>
      <c r="I2047" s="22"/>
      <c r="J2047" s="23"/>
      <c r="K2047" s="23"/>
      <c r="L2047" s="23"/>
      <c r="M2047" s="23"/>
      <c r="N2047" s="22"/>
      <c r="O2047" s="22"/>
      <c r="P2047" s="22"/>
      <c r="Q2047" s="23"/>
      <c r="R2047" s="22"/>
      <c r="S2047" s="23"/>
      <c r="Y2047" s="23"/>
      <c r="Z2047" s="23"/>
      <c r="AA2047" s="3" t="str">
        <f t="shared" si="17"/>
        <v>___</v>
      </c>
      <c r="AB2047" s="3" t="str">
        <f t="shared" si="16"/>
        <v>____</v>
      </c>
    </row>
    <row r="2048" spans="1:28" ht="14">
      <c r="A2048" s="23"/>
      <c r="B2048" s="23"/>
      <c r="C2048" s="23"/>
      <c r="D2048" s="23"/>
      <c r="E2048" s="23"/>
      <c r="F2048" s="23"/>
      <c r="G2048" s="23"/>
      <c r="H2048" s="23"/>
      <c r="I2048" s="22"/>
      <c r="J2048" s="23"/>
      <c r="K2048" s="23"/>
      <c r="L2048" s="23"/>
      <c r="M2048" s="23"/>
      <c r="N2048" s="22"/>
      <c r="O2048" s="22"/>
      <c r="P2048" s="22"/>
      <c r="Q2048" s="23"/>
      <c r="R2048" s="22"/>
      <c r="S2048" s="23"/>
      <c r="Y2048" s="23"/>
      <c r="Z2048" s="23"/>
      <c r="AA2048" s="3" t="str">
        <f t="shared" si="17"/>
        <v>___</v>
      </c>
      <c r="AB2048" s="3" t="str">
        <f t="shared" si="16"/>
        <v>____</v>
      </c>
    </row>
    <row r="2049" spans="1:28" ht="14">
      <c r="A2049" s="23"/>
      <c r="B2049" s="23"/>
      <c r="C2049" s="23"/>
      <c r="D2049" s="23"/>
      <c r="E2049" s="23"/>
      <c r="F2049" s="23"/>
      <c r="G2049" s="23"/>
      <c r="H2049" s="23"/>
      <c r="I2049" s="22"/>
      <c r="J2049" s="23"/>
      <c r="K2049" s="23"/>
      <c r="L2049" s="23"/>
      <c r="M2049" s="23"/>
      <c r="N2049" s="22"/>
      <c r="O2049" s="22"/>
      <c r="P2049" s="22"/>
      <c r="Q2049" s="23"/>
      <c r="R2049" s="22"/>
      <c r="S2049" s="23"/>
      <c r="Y2049" s="23"/>
      <c r="Z2049" s="23"/>
      <c r="AA2049" s="3" t="str">
        <f t="shared" si="17"/>
        <v>___</v>
      </c>
      <c r="AB2049" s="3" t="str">
        <f t="shared" si="16"/>
        <v>____</v>
      </c>
    </row>
    <row r="2050" spans="1:28" ht="14">
      <c r="A2050" s="23"/>
      <c r="B2050" s="23"/>
      <c r="C2050" s="23"/>
      <c r="D2050" s="23"/>
      <c r="E2050" s="23"/>
      <c r="F2050" s="23"/>
      <c r="G2050" s="23"/>
      <c r="H2050" s="23"/>
      <c r="I2050" s="22"/>
      <c r="J2050" s="23"/>
      <c r="K2050" s="23"/>
      <c r="L2050" s="23"/>
      <c r="M2050" s="23"/>
      <c r="N2050" s="22"/>
      <c r="O2050" s="22"/>
      <c r="P2050" s="22"/>
      <c r="Q2050" s="23"/>
      <c r="R2050" s="22"/>
      <c r="S2050" s="23"/>
      <c r="Y2050" s="23"/>
      <c r="Z2050" s="23"/>
      <c r="AA2050" s="3" t="str">
        <f t="shared" si="17"/>
        <v>___</v>
      </c>
      <c r="AB2050" s="3" t="str">
        <f t="shared" si="16"/>
        <v>____</v>
      </c>
    </row>
    <row r="2051" spans="1:28" ht="14">
      <c r="A2051" s="23"/>
      <c r="B2051" s="23"/>
      <c r="C2051" s="23"/>
      <c r="D2051" s="23"/>
      <c r="E2051" s="23"/>
      <c r="F2051" s="23"/>
      <c r="G2051" s="23"/>
      <c r="H2051" s="23"/>
      <c r="I2051" s="22"/>
      <c r="J2051" s="23"/>
      <c r="K2051" s="23"/>
      <c r="L2051" s="23"/>
      <c r="M2051" s="23"/>
      <c r="N2051" s="22"/>
      <c r="O2051" s="22"/>
      <c r="P2051" s="22"/>
      <c r="Q2051" s="23"/>
      <c r="R2051" s="22"/>
      <c r="S2051" s="23"/>
      <c r="Y2051" s="23"/>
      <c r="Z2051" s="23"/>
      <c r="AA2051" s="3" t="str">
        <f t="shared" si="17"/>
        <v>___</v>
      </c>
      <c r="AB2051" s="3" t="str">
        <f t="shared" si="16"/>
        <v>____</v>
      </c>
    </row>
    <row r="2052" spans="1:28" ht="14">
      <c r="A2052" s="23"/>
      <c r="B2052" s="23"/>
      <c r="C2052" s="23"/>
      <c r="D2052" s="23"/>
      <c r="E2052" s="23"/>
      <c r="F2052" s="23"/>
      <c r="G2052" s="23"/>
      <c r="H2052" s="23"/>
      <c r="I2052" s="22"/>
      <c r="J2052" s="23"/>
      <c r="K2052" s="23"/>
      <c r="L2052" s="23"/>
      <c r="M2052" s="23"/>
      <c r="N2052" s="22"/>
      <c r="O2052" s="22"/>
      <c r="P2052" s="22"/>
      <c r="Q2052" s="23"/>
      <c r="R2052" s="22"/>
      <c r="S2052" s="23"/>
      <c r="Y2052" s="23"/>
      <c r="Z2052" s="23"/>
      <c r="AA2052" s="3" t="str">
        <f t="shared" si="17"/>
        <v>___</v>
      </c>
      <c r="AB2052" s="3" t="str">
        <f t="shared" si="16"/>
        <v>____</v>
      </c>
    </row>
    <row r="2053" spans="1:28" ht="14">
      <c r="A2053" s="23"/>
      <c r="B2053" s="23"/>
      <c r="C2053" s="23"/>
      <c r="D2053" s="23"/>
      <c r="E2053" s="23"/>
      <c r="F2053" s="23"/>
      <c r="G2053" s="23"/>
      <c r="H2053" s="23"/>
      <c r="I2053" s="22"/>
      <c r="J2053" s="23"/>
      <c r="K2053" s="23"/>
      <c r="L2053" s="23"/>
      <c r="M2053" s="23"/>
      <c r="N2053" s="22"/>
      <c r="O2053" s="22"/>
      <c r="P2053" s="22"/>
      <c r="Q2053" s="23"/>
      <c r="R2053" s="22"/>
      <c r="S2053" s="23"/>
      <c r="Y2053" s="23"/>
      <c r="Z2053" s="23"/>
      <c r="AA2053" s="3" t="str">
        <f t="shared" si="17"/>
        <v>___</v>
      </c>
      <c r="AB2053" s="3" t="str">
        <f t="shared" si="16"/>
        <v>____</v>
      </c>
    </row>
    <row r="2054" spans="1:28" ht="14">
      <c r="A2054" s="23"/>
      <c r="B2054" s="23"/>
      <c r="C2054" s="23"/>
      <c r="D2054" s="23"/>
      <c r="E2054" s="23"/>
      <c r="F2054" s="23"/>
      <c r="G2054" s="23"/>
      <c r="H2054" s="23"/>
      <c r="I2054" s="22"/>
      <c r="J2054" s="23"/>
      <c r="K2054" s="23"/>
      <c r="L2054" s="23"/>
      <c r="M2054" s="23"/>
      <c r="N2054" s="22"/>
      <c r="O2054" s="22"/>
      <c r="P2054" s="22"/>
      <c r="Q2054" s="23"/>
      <c r="R2054" s="22"/>
      <c r="S2054" s="23"/>
      <c r="Y2054" s="23"/>
      <c r="Z2054" s="23"/>
      <c r="AA2054" s="3" t="str">
        <f t="shared" si="17"/>
        <v>___</v>
      </c>
      <c r="AB2054" s="3" t="str">
        <f t="shared" si="16"/>
        <v>____</v>
      </c>
    </row>
    <row r="2055" spans="1:28" ht="14">
      <c r="A2055" s="23"/>
      <c r="B2055" s="23"/>
      <c r="C2055" s="23"/>
      <c r="D2055" s="23"/>
      <c r="E2055" s="23"/>
      <c r="F2055" s="23"/>
      <c r="G2055" s="23"/>
      <c r="H2055" s="23"/>
      <c r="I2055" s="22"/>
      <c r="J2055" s="23"/>
      <c r="K2055" s="23"/>
      <c r="L2055" s="23"/>
      <c r="M2055" s="23"/>
      <c r="N2055" s="22"/>
      <c r="O2055" s="22"/>
      <c r="P2055" s="22"/>
      <c r="Q2055" s="23"/>
      <c r="R2055" s="22"/>
      <c r="S2055" s="23"/>
      <c r="Y2055" s="23"/>
      <c r="Z2055" s="23"/>
      <c r="AA2055" s="3" t="str">
        <f t="shared" si="17"/>
        <v>___</v>
      </c>
      <c r="AB2055" s="3" t="str">
        <f t="shared" si="16"/>
        <v>____</v>
      </c>
    </row>
    <row r="2056" spans="1:28" ht="14">
      <c r="A2056" s="23"/>
      <c r="B2056" s="23"/>
      <c r="C2056" s="23"/>
      <c r="D2056" s="23"/>
      <c r="E2056" s="23"/>
      <c r="F2056" s="23"/>
      <c r="G2056" s="23"/>
      <c r="H2056" s="23"/>
      <c r="I2056" s="22"/>
      <c r="J2056" s="23"/>
      <c r="K2056" s="23"/>
      <c r="L2056" s="23"/>
      <c r="M2056" s="23"/>
      <c r="N2056" s="22"/>
      <c r="O2056" s="22"/>
      <c r="P2056" s="22"/>
      <c r="Q2056" s="23"/>
      <c r="R2056" s="22"/>
      <c r="S2056" s="23"/>
      <c r="Y2056" s="23"/>
      <c r="Z2056" s="23"/>
      <c r="AA2056" s="3" t="str">
        <f t="shared" si="17"/>
        <v>___</v>
      </c>
      <c r="AB2056" s="3" t="str">
        <f t="shared" si="16"/>
        <v>____</v>
      </c>
    </row>
    <row r="2057" spans="1:28" ht="14">
      <c r="A2057" s="23"/>
      <c r="B2057" s="23"/>
      <c r="C2057" s="23"/>
      <c r="D2057" s="23"/>
      <c r="E2057" s="23"/>
      <c r="F2057" s="23"/>
      <c r="G2057" s="23"/>
      <c r="H2057" s="23"/>
      <c r="I2057" s="22"/>
      <c r="J2057" s="23"/>
      <c r="K2057" s="23"/>
      <c r="L2057" s="23"/>
      <c r="M2057" s="23"/>
      <c r="N2057" s="22"/>
      <c r="O2057" s="22"/>
      <c r="P2057" s="22"/>
      <c r="Q2057" s="23"/>
      <c r="R2057" s="22"/>
      <c r="S2057" s="23"/>
      <c r="Y2057" s="23"/>
      <c r="Z2057" s="23"/>
      <c r="AA2057" s="3" t="str">
        <f t="shared" si="17"/>
        <v>___</v>
      </c>
      <c r="AB2057" s="3" t="str">
        <f t="shared" si="16"/>
        <v>____</v>
      </c>
    </row>
    <row r="2058" spans="1:28" ht="14">
      <c r="A2058" s="23"/>
      <c r="B2058" s="23"/>
      <c r="C2058" s="23"/>
      <c r="D2058" s="23"/>
      <c r="E2058" s="23"/>
      <c r="F2058" s="23"/>
      <c r="G2058" s="23"/>
      <c r="H2058" s="23"/>
      <c r="I2058" s="22"/>
      <c r="J2058" s="23"/>
      <c r="K2058" s="23"/>
      <c r="L2058" s="23"/>
      <c r="M2058" s="23"/>
      <c r="N2058" s="22"/>
      <c r="O2058" s="22"/>
      <c r="P2058" s="22"/>
      <c r="Q2058" s="23"/>
      <c r="R2058" s="22"/>
      <c r="S2058" s="23"/>
      <c r="Y2058" s="23"/>
      <c r="Z2058" s="23"/>
      <c r="AA2058" s="3" t="str">
        <f t="shared" si="17"/>
        <v>___</v>
      </c>
      <c r="AB2058" s="3" t="str">
        <f t="shared" si="16"/>
        <v>____</v>
      </c>
    </row>
    <row r="2059" spans="1:28" ht="14">
      <c r="A2059" s="23"/>
      <c r="B2059" s="23"/>
      <c r="C2059" s="23"/>
      <c r="D2059" s="23"/>
      <c r="E2059" s="23"/>
      <c r="F2059" s="23"/>
      <c r="G2059" s="23"/>
      <c r="H2059" s="23"/>
      <c r="I2059" s="22"/>
      <c r="J2059" s="23"/>
      <c r="K2059" s="23"/>
      <c r="L2059" s="23"/>
      <c r="M2059" s="23"/>
      <c r="N2059" s="22"/>
      <c r="O2059" s="22"/>
      <c r="P2059" s="22"/>
      <c r="Q2059" s="23"/>
      <c r="R2059" s="22"/>
      <c r="S2059" s="23"/>
      <c r="Y2059" s="23"/>
      <c r="Z2059" s="23"/>
      <c r="AA2059" s="3" t="str">
        <f t="shared" si="17"/>
        <v>___</v>
      </c>
      <c r="AB2059" s="3" t="str">
        <f t="shared" si="16"/>
        <v>____</v>
      </c>
    </row>
    <row r="2060" spans="1:28" ht="14">
      <c r="A2060" s="23"/>
      <c r="B2060" s="23"/>
      <c r="C2060" s="23"/>
      <c r="D2060" s="23"/>
      <c r="E2060" s="23"/>
      <c r="F2060" s="23"/>
      <c r="G2060" s="23"/>
      <c r="H2060" s="23"/>
      <c r="I2060" s="22"/>
      <c r="J2060" s="23"/>
      <c r="K2060" s="23"/>
      <c r="L2060" s="23"/>
      <c r="M2060" s="23"/>
      <c r="N2060" s="22"/>
      <c r="O2060" s="22"/>
      <c r="P2060" s="22"/>
      <c r="Q2060" s="23"/>
      <c r="R2060" s="22"/>
      <c r="S2060" s="23"/>
      <c r="Y2060" s="23"/>
      <c r="Z2060" s="23"/>
      <c r="AA2060" s="3" t="str">
        <f t="shared" si="17"/>
        <v>___</v>
      </c>
      <c r="AB2060" s="3" t="str">
        <f t="shared" si="16"/>
        <v>____</v>
      </c>
    </row>
    <row r="2061" spans="1:28" ht="14">
      <c r="A2061" s="23"/>
      <c r="B2061" s="23"/>
      <c r="C2061" s="23"/>
      <c r="D2061" s="23"/>
      <c r="E2061" s="23"/>
      <c r="F2061" s="23"/>
      <c r="G2061" s="23"/>
      <c r="H2061" s="23"/>
      <c r="I2061" s="22"/>
      <c r="J2061" s="23"/>
      <c r="K2061" s="23"/>
      <c r="L2061" s="23"/>
      <c r="M2061" s="23"/>
      <c r="N2061" s="22"/>
      <c r="O2061" s="22"/>
      <c r="P2061" s="22"/>
      <c r="Q2061" s="23"/>
      <c r="R2061" s="22"/>
      <c r="S2061" s="23"/>
      <c r="Y2061" s="23"/>
      <c r="Z2061" s="23"/>
      <c r="AA2061" s="3" t="str">
        <f t="shared" si="17"/>
        <v>___</v>
      </c>
      <c r="AB2061" s="3" t="str">
        <f t="shared" si="16"/>
        <v>____</v>
      </c>
    </row>
    <row r="2062" spans="1:28" ht="14">
      <c r="A2062" s="23"/>
      <c r="B2062" s="23"/>
      <c r="C2062" s="23"/>
      <c r="D2062" s="23"/>
      <c r="E2062" s="23"/>
      <c r="F2062" s="23"/>
      <c r="G2062" s="23"/>
      <c r="H2062" s="23"/>
      <c r="I2062" s="22"/>
      <c r="J2062" s="23"/>
      <c r="K2062" s="23"/>
      <c r="L2062" s="23"/>
      <c r="M2062" s="23"/>
      <c r="N2062" s="22"/>
      <c r="O2062" s="22"/>
      <c r="P2062" s="22"/>
      <c r="Q2062" s="23"/>
      <c r="R2062" s="22"/>
      <c r="S2062" s="23"/>
      <c r="Y2062" s="23"/>
      <c r="Z2062" s="23"/>
      <c r="AA2062" s="3" t="str">
        <f t="shared" si="17"/>
        <v>___</v>
      </c>
      <c r="AB2062" s="3" t="str">
        <f t="shared" si="16"/>
        <v>____</v>
      </c>
    </row>
    <row r="2063" spans="1:28" ht="14">
      <c r="A2063" s="23"/>
      <c r="B2063" s="23"/>
      <c r="C2063" s="23"/>
      <c r="D2063" s="23"/>
      <c r="E2063" s="23"/>
      <c r="F2063" s="23"/>
      <c r="G2063" s="23"/>
      <c r="H2063" s="23"/>
      <c r="I2063" s="22"/>
      <c r="J2063" s="23"/>
      <c r="K2063" s="23"/>
      <c r="L2063" s="23"/>
      <c r="M2063" s="23"/>
      <c r="N2063" s="22"/>
      <c r="O2063" s="22"/>
      <c r="P2063" s="22"/>
      <c r="Q2063" s="23"/>
      <c r="R2063" s="22"/>
      <c r="S2063" s="23"/>
      <c r="Y2063" s="23"/>
      <c r="Z2063" s="23"/>
      <c r="AA2063" s="3" t="str">
        <f t="shared" si="17"/>
        <v>___</v>
      </c>
      <c r="AB2063" s="3" t="str">
        <f t="shared" si="16"/>
        <v>____</v>
      </c>
    </row>
    <row r="2064" spans="1:28" ht="14">
      <c r="A2064" s="23"/>
      <c r="B2064" s="23"/>
      <c r="C2064" s="23"/>
      <c r="D2064" s="23"/>
      <c r="E2064" s="23"/>
      <c r="F2064" s="23"/>
      <c r="G2064" s="23"/>
      <c r="H2064" s="23"/>
      <c r="I2064" s="22"/>
      <c r="J2064" s="23"/>
      <c r="K2064" s="23"/>
      <c r="L2064" s="23"/>
      <c r="M2064" s="23"/>
      <c r="N2064" s="22"/>
      <c r="O2064" s="22"/>
      <c r="P2064" s="22"/>
      <c r="Q2064" s="23"/>
      <c r="R2064" s="22"/>
      <c r="S2064" s="23"/>
      <c r="Y2064" s="23"/>
      <c r="Z2064" s="23"/>
      <c r="AA2064" s="3" t="str">
        <f t="shared" si="17"/>
        <v>___</v>
      </c>
      <c r="AB2064" s="3" t="str">
        <f t="shared" si="16"/>
        <v>____</v>
      </c>
    </row>
    <row r="2065" spans="1:28" ht="14">
      <c r="A2065" s="23"/>
      <c r="B2065" s="23"/>
      <c r="C2065" s="23"/>
      <c r="D2065" s="23"/>
      <c r="E2065" s="23"/>
      <c r="F2065" s="23"/>
      <c r="G2065" s="23"/>
      <c r="H2065" s="23"/>
      <c r="I2065" s="22"/>
      <c r="J2065" s="23"/>
      <c r="K2065" s="23"/>
      <c r="L2065" s="23"/>
      <c r="M2065" s="23"/>
      <c r="N2065" s="22"/>
      <c r="O2065" s="22"/>
      <c r="P2065" s="22"/>
      <c r="Q2065" s="23"/>
      <c r="R2065" s="22"/>
      <c r="S2065" s="23"/>
      <c r="Y2065" s="23"/>
      <c r="Z2065" s="23"/>
      <c r="AA2065" s="3" t="str">
        <f t="shared" si="17"/>
        <v>___</v>
      </c>
      <c r="AB2065" s="3" t="str">
        <f t="shared" si="16"/>
        <v>____</v>
      </c>
    </row>
    <row r="2066" spans="1:28" ht="14">
      <c r="A2066" s="23"/>
      <c r="B2066" s="23"/>
      <c r="C2066" s="23"/>
      <c r="D2066" s="23"/>
      <c r="E2066" s="23"/>
      <c r="F2066" s="23"/>
      <c r="G2066" s="23"/>
      <c r="H2066" s="23"/>
      <c r="I2066" s="22"/>
      <c r="J2066" s="23"/>
      <c r="K2066" s="23"/>
      <c r="L2066" s="23"/>
      <c r="M2066" s="23"/>
      <c r="N2066" s="22"/>
      <c r="O2066" s="22"/>
      <c r="P2066" s="22"/>
      <c r="Q2066" s="23"/>
      <c r="R2066" s="22"/>
      <c r="S2066" s="23"/>
      <c r="Y2066" s="23"/>
      <c r="Z2066" s="23"/>
      <c r="AA2066" s="3" t="str">
        <f t="shared" si="17"/>
        <v>___</v>
      </c>
      <c r="AB2066" s="3" t="str">
        <f t="shared" si="16"/>
        <v>____</v>
      </c>
    </row>
    <row r="2067" spans="1:28" ht="14">
      <c r="A2067" s="23"/>
      <c r="B2067" s="23"/>
      <c r="C2067" s="23"/>
      <c r="D2067" s="23"/>
      <c r="E2067" s="23"/>
      <c r="F2067" s="23"/>
      <c r="G2067" s="23"/>
      <c r="H2067" s="23"/>
      <c r="I2067" s="22"/>
      <c r="J2067" s="23"/>
      <c r="K2067" s="23"/>
      <c r="L2067" s="23"/>
      <c r="M2067" s="23"/>
      <c r="N2067" s="22"/>
      <c r="O2067" s="22"/>
      <c r="P2067" s="22"/>
      <c r="Q2067" s="23"/>
      <c r="R2067" s="22"/>
      <c r="S2067" s="23"/>
      <c r="Y2067" s="23"/>
      <c r="Z2067" s="23"/>
      <c r="AA2067" s="3" t="str">
        <f t="shared" si="17"/>
        <v>___</v>
      </c>
      <c r="AB2067" s="3" t="str">
        <f t="shared" si="16"/>
        <v>____</v>
      </c>
    </row>
    <row r="2068" spans="1:28" ht="14">
      <c r="A2068" s="23"/>
      <c r="B2068" s="23"/>
      <c r="C2068" s="23"/>
      <c r="D2068" s="23"/>
      <c r="E2068" s="23"/>
      <c r="F2068" s="23"/>
      <c r="G2068" s="23"/>
      <c r="H2068" s="23"/>
      <c r="I2068" s="22"/>
      <c r="J2068" s="23"/>
      <c r="K2068" s="23"/>
      <c r="L2068" s="23"/>
      <c r="M2068" s="23"/>
      <c r="N2068" s="22"/>
      <c r="O2068" s="22"/>
      <c r="P2068" s="22"/>
      <c r="Q2068" s="23"/>
      <c r="R2068" s="22"/>
      <c r="S2068" s="23"/>
      <c r="Y2068" s="23"/>
      <c r="Z2068" s="23"/>
      <c r="AA2068" s="3" t="str">
        <f t="shared" si="17"/>
        <v>___</v>
      </c>
      <c r="AB2068" s="3" t="str">
        <f t="shared" si="16"/>
        <v>____</v>
      </c>
    </row>
    <row r="2069" spans="1:28" ht="14">
      <c r="A2069" s="23"/>
      <c r="B2069" s="23"/>
      <c r="C2069" s="23"/>
      <c r="D2069" s="23"/>
      <c r="E2069" s="23"/>
      <c r="F2069" s="23"/>
      <c r="G2069" s="23"/>
      <c r="H2069" s="23"/>
      <c r="I2069" s="22"/>
      <c r="J2069" s="23"/>
      <c r="K2069" s="23"/>
      <c r="L2069" s="23"/>
      <c r="M2069" s="23"/>
      <c r="N2069" s="22"/>
      <c r="O2069" s="22"/>
      <c r="P2069" s="22"/>
      <c r="Q2069" s="23"/>
      <c r="R2069" s="22"/>
      <c r="S2069" s="23"/>
      <c r="Y2069" s="23"/>
      <c r="Z2069" s="23"/>
      <c r="AA2069" s="3" t="str">
        <f t="shared" si="17"/>
        <v>___</v>
      </c>
      <c r="AB2069" s="3" t="str">
        <f t="shared" si="16"/>
        <v>____</v>
      </c>
    </row>
    <row r="2070" spans="1:28" ht="14">
      <c r="A2070" s="23"/>
      <c r="B2070" s="23"/>
      <c r="C2070" s="23"/>
      <c r="D2070" s="23"/>
      <c r="E2070" s="23"/>
      <c r="F2070" s="23"/>
      <c r="G2070" s="23"/>
      <c r="H2070" s="23"/>
      <c r="I2070" s="22"/>
      <c r="J2070" s="23"/>
      <c r="K2070" s="23"/>
      <c r="L2070" s="23"/>
      <c r="M2070" s="23"/>
      <c r="N2070" s="22"/>
      <c r="O2070" s="22"/>
      <c r="P2070" s="22"/>
      <c r="Q2070" s="23"/>
      <c r="R2070" s="22"/>
      <c r="S2070" s="23"/>
      <c r="Y2070" s="23"/>
      <c r="Z2070" s="23"/>
      <c r="AA2070" s="3" t="str">
        <f t="shared" si="17"/>
        <v>___</v>
      </c>
      <c r="AB2070" s="3" t="str">
        <f t="shared" si="16"/>
        <v>____</v>
      </c>
    </row>
    <row r="2071" spans="1:28" ht="14">
      <c r="A2071" s="23"/>
      <c r="B2071" s="23"/>
      <c r="C2071" s="23"/>
      <c r="D2071" s="23"/>
      <c r="E2071" s="23"/>
      <c r="F2071" s="23"/>
      <c r="G2071" s="23"/>
      <c r="H2071" s="23"/>
      <c r="I2071" s="22"/>
      <c r="J2071" s="23"/>
      <c r="K2071" s="23"/>
      <c r="L2071" s="23"/>
      <c r="M2071" s="23"/>
      <c r="N2071" s="22"/>
      <c r="O2071" s="22"/>
      <c r="P2071" s="22"/>
      <c r="Q2071" s="23"/>
      <c r="R2071" s="22"/>
      <c r="S2071" s="23"/>
      <c r="Y2071" s="23"/>
      <c r="Z2071" s="23"/>
      <c r="AA2071" s="3" t="str">
        <f t="shared" si="17"/>
        <v>___</v>
      </c>
      <c r="AB2071" s="3" t="str">
        <f t="shared" si="16"/>
        <v>____</v>
      </c>
    </row>
    <row r="2072" spans="1:28" ht="14">
      <c r="A2072" s="23"/>
      <c r="B2072" s="23"/>
      <c r="C2072" s="23"/>
      <c r="D2072" s="23"/>
      <c r="E2072" s="23"/>
      <c r="F2072" s="23"/>
      <c r="G2072" s="23"/>
      <c r="H2072" s="23"/>
      <c r="I2072" s="22"/>
      <c r="J2072" s="23"/>
      <c r="K2072" s="23"/>
      <c r="L2072" s="23"/>
      <c r="M2072" s="23"/>
      <c r="N2072" s="22"/>
      <c r="O2072" s="22"/>
      <c r="P2072" s="22"/>
      <c r="Q2072" s="23"/>
      <c r="R2072" s="22"/>
      <c r="S2072" s="23"/>
      <c r="Y2072" s="23"/>
      <c r="Z2072" s="23"/>
      <c r="AA2072" s="3" t="str">
        <f t="shared" si="17"/>
        <v>___</v>
      </c>
      <c r="AB2072" s="3" t="str">
        <f t="shared" si="16"/>
        <v>____</v>
      </c>
    </row>
    <row r="2073" spans="1:28" ht="14">
      <c r="A2073" s="23"/>
      <c r="B2073" s="23"/>
      <c r="C2073" s="23"/>
      <c r="D2073" s="23"/>
      <c r="E2073" s="23"/>
      <c r="F2073" s="23"/>
      <c r="G2073" s="23"/>
      <c r="H2073" s="23"/>
      <c r="I2073" s="22"/>
      <c r="J2073" s="23"/>
      <c r="K2073" s="23"/>
      <c r="L2073" s="23"/>
      <c r="M2073" s="23"/>
      <c r="N2073" s="22"/>
      <c r="O2073" s="22"/>
      <c r="P2073" s="22"/>
      <c r="Q2073" s="23"/>
      <c r="R2073" s="22"/>
      <c r="S2073" s="23"/>
      <c r="Y2073" s="23"/>
      <c r="Z2073" s="23"/>
      <c r="AA2073" s="3" t="str">
        <f t="shared" si="17"/>
        <v>___</v>
      </c>
      <c r="AB2073" s="3" t="str">
        <f t="shared" si="16"/>
        <v>____</v>
      </c>
    </row>
    <row r="2074" spans="1:28" ht="14">
      <c r="A2074" s="23"/>
      <c r="B2074" s="23"/>
      <c r="C2074" s="23"/>
      <c r="D2074" s="23"/>
      <c r="E2074" s="23"/>
      <c r="F2074" s="23"/>
      <c r="G2074" s="23"/>
      <c r="H2074" s="23"/>
      <c r="I2074" s="22"/>
      <c r="J2074" s="23"/>
      <c r="K2074" s="23"/>
      <c r="L2074" s="23"/>
      <c r="M2074" s="23"/>
      <c r="N2074" s="22"/>
      <c r="O2074" s="22"/>
      <c r="P2074" s="22"/>
      <c r="Q2074" s="23"/>
      <c r="R2074" s="22"/>
      <c r="S2074" s="23"/>
      <c r="Y2074" s="23"/>
      <c r="Z2074" s="23"/>
      <c r="AA2074" s="3" t="str">
        <f t="shared" si="17"/>
        <v>___</v>
      </c>
      <c r="AB2074" s="3" t="str">
        <f t="shared" si="16"/>
        <v>____</v>
      </c>
    </row>
    <row r="2075" spans="1:28" ht="14">
      <c r="A2075" s="23"/>
      <c r="B2075" s="23"/>
      <c r="C2075" s="23"/>
      <c r="D2075" s="23"/>
      <c r="E2075" s="23"/>
      <c r="F2075" s="23"/>
      <c r="G2075" s="23"/>
      <c r="H2075" s="23"/>
      <c r="I2075" s="22"/>
      <c r="J2075" s="23"/>
      <c r="K2075" s="23"/>
      <c r="L2075" s="23"/>
      <c r="M2075" s="23"/>
      <c r="N2075" s="22"/>
      <c r="O2075" s="22"/>
      <c r="P2075" s="22"/>
      <c r="Q2075" s="23"/>
      <c r="R2075" s="22"/>
      <c r="S2075" s="23"/>
      <c r="Y2075" s="23"/>
      <c r="Z2075" s="23"/>
      <c r="AA2075" s="3" t="str">
        <f t="shared" si="17"/>
        <v>___</v>
      </c>
      <c r="AB2075" s="3" t="str">
        <f t="shared" si="16"/>
        <v>____</v>
      </c>
    </row>
    <row r="2076" spans="1:28" ht="14">
      <c r="A2076" s="23"/>
      <c r="B2076" s="23"/>
      <c r="C2076" s="23"/>
      <c r="D2076" s="23"/>
      <c r="E2076" s="23"/>
      <c r="F2076" s="23"/>
      <c r="G2076" s="23"/>
      <c r="H2076" s="23"/>
      <c r="I2076" s="22"/>
      <c r="J2076" s="23"/>
      <c r="K2076" s="23"/>
      <c r="L2076" s="23"/>
      <c r="M2076" s="23"/>
      <c r="N2076" s="22"/>
      <c r="O2076" s="22"/>
      <c r="P2076" s="22"/>
      <c r="Q2076" s="23"/>
      <c r="R2076" s="22"/>
      <c r="S2076" s="23"/>
      <c r="Y2076" s="23"/>
      <c r="Z2076" s="23"/>
      <c r="AA2076" s="3" t="str">
        <f t="shared" si="17"/>
        <v>___</v>
      </c>
      <c r="AB2076" s="3" t="str">
        <f t="shared" si="16"/>
        <v>____</v>
      </c>
    </row>
    <row r="2077" spans="1:28" ht="14">
      <c r="A2077" s="23"/>
      <c r="B2077" s="23"/>
      <c r="C2077" s="23"/>
      <c r="D2077" s="23"/>
      <c r="E2077" s="23"/>
      <c r="F2077" s="23"/>
      <c r="G2077" s="23"/>
      <c r="H2077" s="23"/>
      <c r="I2077" s="22"/>
      <c r="J2077" s="23"/>
      <c r="K2077" s="23"/>
      <c r="L2077" s="23"/>
      <c r="M2077" s="23"/>
      <c r="N2077" s="22"/>
      <c r="O2077" s="22"/>
      <c r="P2077" s="22"/>
      <c r="Q2077" s="23"/>
      <c r="R2077" s="22"/>
      <c r="S2077" s="23"/>
      <c r="Y2077" s="23"/>
      <c r="Z2077" s="23"/>
      <c r="AA2077" s="3" t="str">
        <f t="shared" si="17"/>
        <v>___</v>
      </c>
      <c r="AB2077" s="3" t="str">
        <f t="shared" si="16"/>
        <v>____</v>
      </c>
    </row>
    <row r="2078" spans="1:28" ht="14">
      <c r="A2078" s="23"/>
      <c r="B2078" s="23"/>
      <c r="C2078" s="23"/>
      <c r="D2078" s="23"/>
      <c r="E2078" s="23"/>
      <c r="F2078" s="23"/>
      <c r="G2078" s="23"/>
      <c r="H2078" s="23"/>
      <c r="I2078" s="22"/>
      <c r="J2078" s="23"/>
      <c r="K2078" s="23"/>
      <c r="L2078" s="23"/>
      <c r="M2078" s="23"/>
      <c r="N2078" s="22"/>
      <c r="O2078" s="22"/>
      <c r="P2078" s="22"/>
      <c r="Q2078" s="23"/>
      <c r="R2078" s="22"/>
      <c r="S2078" s="23"/>
      <c r="Y2078" s="23"/>
      <c r="Z2078" s="23"/>
      <c r="AA2078" s="3" t="str">
        <f t="shared" si="17"/>
        <v>___</v>
      </c>
      <c r="AB2078" s="3" t="str">
        <f t="shared" si="16"/>
        <v>____</v>
      </c>
    </row>
    <row r="2079" spans="1:28" ht="14">
      <c r="A2079" s="23"/>
      <c r="B2079" s="23"/>
      <c r="C2079" s="23"/>
      <c r="D2079" s="23"/>
      <c r="E2079" s="23"/>
      <c r="F2079" s="23"/>
      <c r="G2079" s="23"/>
      <c r="H2079" s="23"/>
      <c r="I2079" s="22"/>
      <c r="J2079" s="23"/>
      <c r="K2079" s="23"/>
      <c r="L2079" s="23"/>
      <c r="M2079" s="23"/>
      <c r="N2079" s="22"/>
      <c r="O2079" s="22"/>
      <c r="P2079" s="22"/>
      <c r="Q2079" s="23"/>
      <c r="R2079" s="22"/>
      <c r="S2079" s="23"/>
      <c r="Y2079" s="23"/>
      <c r="Z2079" s="23"/>
      <c r="AA2079" s="3" t="str">
        <f t="shared" si="17"/>
        <v>___</v>
      </c>
      <c r="AB2079" s="3" t="str">
        <f t="shared" si="16"/>
        <v>____</v>
      </c>
    </row>
    <row r="2080" spans="1:28" ht="14">
      <c r="A2080" s="23"/>
      <c r="B2080" s="23"/>
      <c r="C2080" s="23"/>
      <c r="D2080" s="23"/>
      <c r="E2080" s="23"/>
      <c r="F2080" s="23"/>
      <c r="G2080" s="23"/>
      <c r="H2080" s="23"/>
      <c r="I2080" s="22"/>
      <c r="J2080" s="23"/>
      <c r="K2080" s="23"/>
      <c r="L2080" s="23"/>
      <c r="M2080" s="23"/>
      <c r="N2080" s="22"/>
      <c r="O2080" s="22"/>
      <c r="P2080" s="22"/>
      <c r="Q2080" s="23"/>
      <c r="R2080" s="22"/>
      <c r="S2080" s="23"/>
      <c r="Y2080" s="23"/>
      <c r="Z2080" s="23"/>
      <c r="AA2080" s="3" t="str">
        <f t="shared" si="17"/>
        <v>___</v>
      </c>
      <c r="AB2080" s="3" t="str">
        <f t="shared" si="16"/>
        <v>____</v>
      </c>
    </row>
    <row r="2081" spans="1:28" ht="14">
      <c r="A2081" s="23"/>
      <c r="B2081" s="23"/>
      <c r="C2081" s="23"/>
      <c r="D2081" s="23"/>
      <c r="E2081" s="23"/>
      <c r="F2081" s="23"/>
      <c r="G2081" s="23"/>
      <c r="H2081" s="23"/>
      <c r="I2081" s="22"/>
      <c r="J2081" s="23"/>
      <c r="K2081" s="23"/>
      <c r="L2081" s="23"/>
      <c r="M2081" s="23"/>
      <c r="N2081" s="22"/>
      <c r="O2081" s="22"/>
      <c r="P2081" s="22"/>
      <c r="Q2081" s="23"/>
      <c r="R2081" s="22"/>
      <c r="S2081" s="23"/>
      <c r="Y2081" s="23"/>
      <c r="Z2081" s="23"/>
      <c r="AA2081" s="3" t="str">
        <f t="shared" si="17"/>
        <v>___</v>
      </c>
      <c r="AB2081" s="3" t="str">
        <f t="shared" si="16"/>
        <v>____</v>
      </c>
    </row>
    <row r="2082" spans="1:28" ht="14">
      <c r="A2082" s="23"/>
      <c r="B2082" s="23"/>
      <c r="C2082" s="23"/>
      <c r="D2082" s="23"/>
      <c r="E2082" s="23"/>
      <c r="F2082" s="23"/>
      <c r="G2082" s="23"/>
      <c r="H2082" s="23"/>
      <c r="I2082" s="22"/>
      <c r="J2082" s="23"/>
      <c r="K2082" s="23"/>
      <c r="L2082" s="23"/>
      <c r="M2082" s="23"/>
      <c r="N2082" s="22"/>
      <c r="O2082" s="22"/>
      <c r="P2082" s="22"/>
      <c r="Q2082" s="23"/>
      <c r="R2082" s="22"/>
      <c r="S2082" s="23"/>
      <c r="Y2082" s="23"/>
      <c r="Z2082" s="23"/>
      <c r="AA2082" s="3" t="str">
        <f t="shared" si="17"/>
        <v>___</v>
      </c>
      <c r="AB2082" s="3" t="str">
        <f t="shared" si="16"/>
        <v>____</v>
      </c>
    </row>
    <row r="2083" spans="1:28" ht="14">
      <c r="A2083" s="23"/>
      <c r="B2083" s="23"/>
      <c r="C2083" s="23"/>
      <c r="D2083" s="23"/>
      <c r="E2083" s="23"/>
      <c r="F2083" s="23"/>
      <c r="G2083" s="23"/>
      <c r="H2083" s="23"/>
      <c r="I2083" s="22"/>
      <c r="J2083" s="23"/>
      <c r="K2083" s="23"/>
      <c r="L2083" s="23"/>
      <c r="M2083" s="23"/>
      <c r="N2083" s="22"/>
      <c r="O2083" s="22"/>
      <c r="P2083" s="22"/>
      <c r="Q2083" s="23"/>
      <c r="R2083" s="22"/>
      <c r="S2083" s="23"/>
      <c r="Y2083" s="23"/>
      <c r="Z2083" s="23"/>
      <c r="AA2083" s="3" t="str">
        <f t="shared" si="17"/>
        <v>___</v>
      </c>
      <c r="AB2083" s="3" t="str">
        <f t="shared" si="16"/>
        <v>____</v>
      </c>
    </row>
    <row r="2084" spans="1:28" ht="14">
      <c r="A2084" s="23"/>
      <c r="B2084" s="23"/>
      <c r="C2084" s="23"/>
      <c r="D2084" s="23"/>
      <c r="E2084" s="23"/>
      <c r="F2084" s="23"/>
      <c r="G2084" s="23"/>
      <c r="H2084" s="23"/>
      <c r="I2084" s="22"/>
      <c r="J2084" s="23"/>
      <c r="K2084" s="23"/>
      <c r="L2084" s="23"/>
      <c r="M2084" s="23"/>
      <c r="N2084" s="22"/>
      <c r="O2084" s="22"/>
      <c r="P2084" s="22"/>
      <c r="Q2084" s="23"/>
      <c r="R2084" s="22"/>
      <c r="S2084" s="23"/>
      <c r="Y2084" s="23"/>
      <c r="Z2084" s="23"/>
      <c r="AA2084" s="3" t="str">
        <f t="shared" si="17"/>
        <v>___</v>
      </c>
      <c r="AB2084" s="3" t="str">
        <f t="shared" si="16"/>
        <v>____</v>
      </c>
    </row>
    <row r="2085" spans="1:28" ht="14">
      <c r="A2085" s="23"/>
      <c r="B2085" s="23"/>
      <c r="C2085" s="23"/>
      <c r="D2085" s="23"/>
      <c r="E2085" s="23"/>
      <c r="F2085" s="23"/>
      <c r="G2085" s="23"/>
      <c r="H2085" s="23"/>
      <c r="I2085" s="22"/>
      <c r="J2085" s="23"/>
      <c r="K2085" s="23"/>
      <c r="L2085" s="23"/>
      <c r="M2085" s="23"/>
      <c r="N2085" s="22"/>
      <c r="O2085" s="22"/>
      <c r="P2085" s="22"/>
      <c r="Q2085" s="23"/>
      <c r="R2085" s="22"/>
      <c r="S2085" s="23"/>
      <c r="Y2085" s="23"/>
      <c r="Z2085" s="23"/>
      <c r="AA2085" s="3" t="str">
        <f t="shared" si="17"/>
        <v>___</v>
      </c>
      <c r="AB2085" s="3" t="str">
        <f t="shared" si="16"/>
        <v>____</v>
      </c>
    </row>
    <row r="2086" spans="1:28" ht="14">
      <c r="A2086" s="23"/>
      <c r="B2086" s="23"/>
      <c r="C2086" s="23"/>
      <c r="D2086" s="23"/>
      <c r="E2086" s="23"/>
      <c r="F2086" s="23"/>
      <c r="G2086" s="23"/>
      <c r="H2086" s="23"/>
      <c r="I2086" s="22"/>
      <c r="J2086" s="23"/>
      <c r="K2086" s="23"/>
      <c r="L2086" s="23"/>
      <c r="M2086" s="23"/>
      <c r="N2086" s="22"/>
      <c r="O2086" s="22"/>
      <c r="P2086" s="22"/>
      <c r="Q2086" s="23"/>
      <c r="R2086" s="22"/>
      <c r="S2086" s="23"/>
      <c r="Y2086" s="23"/>
      <c r="Z2086" s="23"/>
      <c r="AA2086" s="3" t="str">
        <f t="shared" si="17"/>
        <v>___</v>
      </c>
      <c r="AB2086" s="3" t="str">
        <f t="shared" si="16"/>
        <v>____</v>
      </c>
    </row>
    <row r="2087" spans="1:28" ht="14">
      <c r="A2087" s="23"/>
      <c r="B2087" s="23"/>
      <c r="C2087" s="23"/>
      <c r="D2087" s="23"/>
      <c r="E2087" s="23"/>
      <c r="F2087" s="23"/>
      <c r="G2087" s="23"/>
      <c r="H2087" s="23"/>
      <c r="I2087" s="22"/>
      <c r="J2087" s="23"/>
      <c r="K2087" s="23"/>
      <c r="L2087" s="23"/>
      <c r="M2087" s="23"/>
      <c r="N2087" s="22"/>
      <c r="O2087" s="22"/>
      <c r="P2087" s="22"/>
      <c r="Q2087" s="23"/>
      <c r="R2087" s="22"/>
      <c r="S2087" s="23"/>
      <c r="Y2087" s="23"/>
      <c r="Z2087" s="23"/>
      <c r="AA2087" s="3" t="str">
        <f t="shared" si="17"/>
        <v>___</v>
      </c>
      <c r="AB2087" s="3" t="str">
        <f t="shared" si="16"/>
        <v>____</v>
      </c>
    </row>
    <row r="2088" spans="1:28" ht="14">
      <c r="A2088" s="23"/>
      <c r="B2088" s="23"/>
      <c r="C2088" s="23"/>
      <c r="D2088" s="23"/>
      <c r="E2088" s="23"/>
      <c r="F2088" s="23"/>
      <c r="G2088" s="23"/>
      <c r="H2088" s="23"/>
      <c r="I2088" s="22"/>
      <c r="J2088" s="23"/>
      <c r="K2088" s="23"/>
      <c r="L2088" s="23"/>
      <c r="M2088" s="23"/>
      <c r="N2088" s="22"/>
      <c r="O2088" s="22"/>
      <c r="P2088" s="22"/>
      <c r="Q2088" s="23"/>
      <c r="R2088" s="22"/>
      <c r="S2088" s="23"/>
      <c r="Y2088" s="23"/>
      <c r="Z2088" s="23"/>
      <c r="AA2088" s="3" t="str">
        <f t="shared" si="17"/>
        <v>___</v>
      </c>
      <c r="AB2088" s="3" t="str">
        <f t="shared" si="16"/>
        <v>____</v>
      </c>
    </row>
    <row r="2089" spans="1:28" ht="14">
      <c r="A2089" s="23"/>
      <c r="B2089" s="23"/>
      <c r="C2089" s="23"/>
      <c r="D2089" s="23"/>
      <c r="E2089" s="23"/>
      <c r="F2089" s="23"/>
      <c r="G2089" s="23"/>
      <c r="H2089" s="23"/>
      <c r="I2089" s="22"/>
      <c r="J2089" s="23"/>
      <c r="K2089" s="23"/>
      <c r="L2089" s="23"/>
      <c r="M2089" s="23"/>
      <c r="N2089" s="22"/>
      <c r="O2089" s="22"/>
      <c r="P2089" s="22"/>
      <c r="Q2089" s="23"/>
      <c r="R2089" s="22"/>
      <c r="S2089" s="23"/>
      <c r="Y2089" s="23"/>
      <c r="Z2089" s="23"/>
      <c r="AA2089" s="3" t="str">
        <f t="shared" si="17"/>
        <v>___</v>
      </c>
      <c r="AB2089" s="3" t="str">
        <f t="shared" si="16"/>
        <v>____</v>
      </c>
    </row>
    <row r="2090" spans="1:28" ht="14">
      <c r="A2090" s="23"/>
      <c r="B2090" s="23"/>
      <c r="C2090" s="23"/>
      <c r="D2090" s="23"/>
      <c r="E2090" s="23"/>
      <c r="F2090" s="23"/>
      <c r="G2090" s="23"/>
      <c r="H2090" s="23"/>
      <c r="I2090" s="22"/>
      <c r="J2090" s="23"/>
      <c r="K2090" s="23"/>
      <c r="L2090" s="23"/>
      <c r="M2090" s="23"/>
      <c r="N2090" s="22"/>
      <c r="O2090" s="22"/>
      <c r="P2090" s="22"/>
      <c r="Q2090" s="23"/>
      <c r="R2090" s="22"/>
      <c r="S2090" s="23"/>
      <c r="Y2090" s="23"/>
      <c r="Z2090" s="23"/>
      <c r="AA2090" s="3" t="str">
        <f t="shared" si="17"/>
        <v>___</v>
      </c>
      <c r="AB2090" s="3" t="str">
        <f t="shared" si="16"/>
        <v>____</v>
      </c>
    </row>
    <row r="2091" spans="1:28" ht="14">
      <c r="A2091" s="23"/>
      <c r="B2091" s="23"/>
      <c r="C2091" s="23"/>
      <c r="D2091" s="23"/>
      <c r="E2091" s="23"/>
      <c r="F2091" s="23"/>
      <c r="G2091" s="23"/>
      <c r="H2091" s="23"/>
      <c r="I2091" s="22"/>
      <c r="J2091" s="23"/>
      <c r="K2091" s="23"/>
      <c r="L2091" s="23"/>
      <c r="M2091" s="23"/>
      <c r="N2091" s="22"/>
      <c r="O2091" s="22"/>
      <c r="P2091" s="22"/>
      <c r="Q2091" s="23"/>
      <c r="R2091" s="22"/>
      <c r="S2091" s="23"/>
      <c r="Y2091" s="23"/>
      <c r="Z2091" s="23"/>
      <c r="AA2091" s="3" t="str">
        <f t="shared" si="17"/>
        <v>___</v>
      </c>
      <c r="AB2091" s="3" t="str">
        <f t="shared" si="16"/>
        <v>____</v>
      </c>
    </row>
    <row r="2092" spans="1:28" ht="14">
      <c r="A2092" s="23"/>
      <c r="B2092" s="23"/>
      <c r="C2092" s="23"/>
      <c r="D2092" s="23"/>
      <c r="E2092" s="23"/>
      <c r="F2092" s="23"/>
      <c r="G2092" s="23"/>
      <c r="H2092" s="23"/>
      <c r="I2092" s="22"/>
      <c r="J2092" s="23"/>
      <c r="K2092" s="23"/>
      <c r="L2092" s="23"/>
      <c r="M2092" s="23"/>
      <c r="N2092" s="22"/>
      <c r="O2092" s="22"/>
      <c r="P2092" s="22"/>
      <c r="Q2092" s="23"/>
      <c r="R2092" s="22"/>
      <c r="S2092" s="23"/>
      <c r="Y2092" s="23"/>
      <c r="Z2092" s="23"/>
      <c r="AA2092" s="3" t="str">
        <f t="shared" si="17"/>
        <v>___</v>
      </c>
      <c r="AB2092" s="3" t="str">
        <f t="shared" si="16"/>
        <v>____</v>
      </c>
    </row>
    <row r="2093" spans="1:28" ht="14">
      <c r="A2093" s="23"/>
      <c r="B2093" s="23"/>
      <c r="C2093" s="23"/>
      <c r="D2093" s="23"/>
      <c r="E2093" s="23"/>
      <c r="F2093" s="23"/>
      <c r="G2093" s="23"/>
      <c r="H2093" s="23"/>
      <c r="I2093" s="22"/>
      <c r="J2093" s="23"/>
      <c r="K2093" s="23"/>
      <c r="L2093" s="23"/>
      <c r="M2093" s="23"/>
      <c r="N2093" s="22"/>
      <c r="O2093" s="22"/>
      <c r="P2093" s="22"/>
      <c r="Q2093" s="23"/>
      <c r="R2093" s="22"/>
      <c r="S2093" s="23"/>
      <c r="Y2093" s="23"/>
      <c r="Z2093" s="23"/>
      <c r="AA2093" s="3" t="str">
        <f t="shared" si="17"/>
        <v>___</v>
      </c>
      <c r="AB2093" s="3" t="str">
        <f t="shared" si="16"/>
        <v>____</v>
      </c>
    </row>
    <row r="2094" spans="1:28" ht="14">
      <c r="A2094" s="23"/>
      <c r="B2094" s="23"/>
      <c r="C2094" s="23"/>
      <c r="D2094" s="23"/>
      <c r="E2094" s="23"/>
      <c r="F2094" s="23"/>
      <c r="G2094" s="23"/>
      <c r="H2094" s="23"/>
      <c r="I2094" s="22"/>
      <c r="J2094" s="23"/>
      <c r="K2094" s="23"/>
      <c r="L2094" s="23"/>
      <c r="M2094" s="23"/>
      <c r="N2094" s="22"/>
      <c r="O2094" s="22"/>
      <c r="P2094" s="22"/>
      <c r="Q2094" s="23"/>
      <c r="R2094" s="22"/>
      <c r="S2094" s="23"/>
      <c r="Y2094" s="23"/>
      <c r="Z2094" s="23"/>
      <c r="AA2094" s="3" t="str">
        <f t="shared" si="17"/>
        <v>___</v>
      </c>
      <c r="AB2094" s="3" t="str">
        <f t="shared" si="16"/>
        <v>____</v>
      </c>
    </row>
    <row r="2095" spans="1:28" ht="14">
      <c r="A2095" s="23"/>
      <c r="B2095" s="23"/>
      <c r="C2095" s="23"/>
      <c r="D2095" s="23"/>
      <c r="E2095" s="23"/>
      <c r="F2095" s="23"/>
      <c r="G2095" s="23"/>
      <c r="H2095" s="23"/>
      <c r="I2095" s="22"/>
      <c r="J2095" s="23"/>
      <c r="K2095" s="23"/>
      <c r="L2095" s="23"/>
      <c r="M2095" s="23"/>
      <c r="N2095" s="22"/>
      <c r="O2095" s="22"/>
      <c r="P2095" s="22"/>
      <c r="Q2095" s="23"/>
      <c r="R2095" s="22"/>
      <c r="S2095" s="23"/>
      <c r="Y2095" s="23"/>
      <c r="Z2095" s="23"/>
      <c r="AA2095" s="3" t="str">
        <f t="shared" si="17"/>
        <v>___</v>
      </c>
      <c r="AB2095" s="3" t="str">
        <f t="shared" si="16"/>
        <v>____</v>
      </c>
    </row>
    <row r="2096" spans="1:28" ht="14">
      <c r="A2096" s="23"/>
      <c r="B2096" s="23"/>
      <c r="C2096" s="23"/>
      <c r="D2096" s="23"/>
      <c r="E2096" s="23"/>
      <c r="F2096" s="23"/>
      <c r="G2096" s="23"/>
      <c r="H2096" s="23"/>
      <c r="I2096" s="22"/>
      <c r="J2096" s="23"/>
      <c r="K2096" s="23"/>
      <c r="L2096" s="23"/>
      <c r="M2096" s="23"/>
      <c r="N2096" s="22"/>
      <c r="O2096" s="22"/>
      <c r="P2096" s="22"/>
      <c r="Q2096" s="23"/>
      <c r="R2096" s="22"/>
      <c r="S2096" s="23"/>
      <c r="Y2096" s="23"/>
      <c r="Z2096" s="23"/>
      <c r="AA2096" s="3" t="str">
        <f t="shared" si="17"/>
        <v>___</v>
      </c>
      <c r="AB2096" s="3" t="str">
        <f t="shared" si="16"/>
        <v>____</v>
      </c>
    </row>
    <row r="2097" spans="1:28" ht="14">
      <c r="A2097" s="23"/>
      <c r="B2097" s="23"/>
      <c r="C2097" s="23"/>
      <c r="D2097" s="23"/>
      <c r="E2097" s="23"/>
      <c r="F2097" s="23"/>
      <c r="G2097" s="23"/>
      <c r="H2097" s="23"/>
      <c r="I2097" s="22"/>
      <c r="J2097" s="23"/>
      <c r="K2097" s="23"/>
      <c r="L2097" s="23"/>
      <c r="M2097" s="23"/>
      <c r="N2097" s="22"/>
      <c r="O2097" s="22"/>
      <c r="P2097" s="22"/>
      <c r="Q2097" s="23"/>
      <c r="R2097" s="22"/>
      <c r="S2097" s="23"/>
      <c r="Y2097" s="23"/>
      <c r="Z2097" s="23"/>
      <c r="AA2097" s="3" t="str">
        <f t="shared" si="17"/>
        <v>___</v>
      </c>
      <c r="AB2097" s="3" t="str">
        <f t="shared" si="16"/>
        <v>____</v>
      </c>
    </row>
    <row r="2098" spans="1:28" ht="14">
      <c r="A2098" s="23"/>
      <c r="B2098" s="23"/>
      <c r="C2098" s="23"/>
      <c r="D2098" s="23"/>
      <c r="E2098" s="23"/>
      <c r="F2098" s="23"/>
      <c r="G2098" s="23"/>
      <c r="H2098" s="23"/>
      <c r="I2098" s="22"/>
      <c r="J2098" s="23"/>
      <c r="K2098" s="23"/>
      <c r="L2098" s="23"/>
      <c r="M2098" s="23"/>
      <c r="N2098" s="22"/>
      <c r="O2098" s="22"/>
      <c r="P2098" s="22"/>
      <c r="Q2098" s="23"/>
      <c r="R2098" s="22"/>
      <c r="S2098" s="23"/>
      <c r="Y2098" s="23"/>
      <c r="Z2098" s="23"/>
      <c r="AA2098" s="3" t="str">
        <f t="shared" si="17"/>
        <v>___</v>
      </c>
      <c r="AB2098" s="3" t="str">
        <f t="shared" si="16"/>
        <v>____</v>
      </c>
    </row>
    <row r="2099" spans="1:28" ht="14">
      <c r="A2099" s="23"/>
      <c r="B2099" s="23"/>
      <c r="C2099" s="23"/>
      <c r="D2099" s="23"/>
      <c r="E2099" s="23"/>
      <c r="F2099" s="23"/>
      <c r="G2099" s="23"/>
      <c r="H2099" s="23"/>
      <c r="I2099" s="22"/>
      <c r="J2099" s="23"/>
      <c r="K2099" s="23"/>
      <c r="L2099" s="23"/>
      <c r="M2099" s="23"/>
      <c r="N2099" s="22"/>
      <c r="O2099" s="22"/>
      <c r="P2099" s="22"/>
      <c r="Q2099" s="23"/>
      <c r="R2099" s="22"/>
      <c r="S2099" s="23"/>
      <c r="Y2099" s="23"/>
      <c r="Z2099" s="23"/>
      <c r="AA2099" s="3" t="str">
        <f t="shared" si="17"/>
        <v>___</v>
      </c>
      <c r="AB2099" s="3" t="str">
        <f t="shared" si="16"/>
        <v>____</v>
      </c>
    </row>
    <row r="2100" spans="1:28" ht="14">
      <c r="A2100" s="23"/>
      <c r="B2100" s="23"/>
      <c r="C2100" s="23"/>
      <c r="D2100" s="23"/>
      <c r="E2100" s="23"/>
      <c r="F2100" s="23"/>
      <c r="G2100" s="23"/>
      <c r="H2100" s="23"/>
      <c r="I2100" s="22"/>
      <c r="J2100" s="23"/>
      <c r="K2100" s="23"/>
      <c r="L2100" s="23"/>
      <c r="M2100" s="23"/>
      <c r="N2100" s="22"/>
      <c r="O2100" s="22"/>
      <c r="P2100" s="22"/>
      <c r="Q2100" s="23"/>
      <c r="R2100" s="22"/>
      <c r="S2100" s="23"/>
      <c r="Y2100" s="23"/>
      <c r="Z2100" s="23"/>
      <c r="AA2100" s="3" t="str">
        <f t="shared" si="17"/>
        <v>___</v>
      </c>
      <c r="AB2100" s="3" t="str">
        <f t="shared" si="16"/>
        <v>____</v>
      </c>
    </row>
    <row r="2101" spans="1:28" ht="14">
      <c r="A2101" s="23"/>
      <c r="B2101" s="23"/>
      <c r="C2101" s="23"/>
      <c r="D2101" s="23"/>
      <c r="E2101" s="23"/>
      <c r="F2101" s="23"/>
      <c r="G2101" s="23"/>
      <c r="H2101" s="23"/>
      <c r="I2101" s="22"/>
      <c r="J2101" s="23"/>
      <c r="K2101" s="23"/>
      <c r="L2101" s="23"/>
      <c r="M2101" s="23"/>
      <c r="N2101" s="22"/>
      <c r="O2101" s="22"/>
      <c r="P2101" s="22"/>
      <c r="Q2101" s="23"/>
      <c r="R2101" s="22"/>
      <c r="S2101" s="23"/>
      <c r="Y2101" s="23"/>
      <c r="Z2101" s="23"/>
      <c r="AA2101" s="3" t="str">
        <f t="shared" si="17"/>
        <v>___</v>
      </c>
      <c r="AB2101" s="3" t="str">
        <f t="shared" si="16"/>
        <v>____</v>
      </c>
    </row>
    <row r="2102" spans="1:28" ht="14">
      <c r="A2102" s="23"/>
      <c r="B2102" s="23"/>
      <c r="C2102" s="23"/>
      <c r="D2102" s="23"/>
      <c r="E2102" s="23"/>
      <c r="F2102" s="23"/>
      <c r="G2102" s="23"/>
      <c r="H2102" s="23"/>
      <c r="I2102" s="22"/>
      <c r="J2102" s="23"/>
      <c r="K2102" s="23"/>
      <c r="L2102" s="23"/>
      <c r="M2102" s="23"/>
      <c r="N2102" s="22"/>
      <c r="O2102" s="22"/>
      <c r="P2102" s="22"/>
      <c r="Q2102" s="23"/>
      <c r="R2102" s="22"/>
      <c r="S2102" s="23"/>
      <c r="Y2102" s="23"/>
      <c r="Z2102" s="23"/>
      <c r="AA2102" s="3" t="str">
        <f t="shared" si="17"/>
        <v>___</v>
      </c>
      <c r="AB2102" s="3" t="str">
        <f t="shared" si="16"/>
        <v>____</v>
      </c>
    </row>
    <row r="2103" spans="1:28" ht="14">
      <c r="A2103" s="23"/>
      <c r="B2103" s="23"/>
      <c r="C2103" s="23"/>
      <c r="D2103" s="23"/>
      <c r="E2103" s="23"/>
      <c r="F2103" s="23"/>
      <c r="G2103" s="23"/>
      <c r="H2103" s="23"/>
      <c r="I2103" s="22"/>
      <c r="J2103" s="23"/>
      <c r="K2103" s="23"/>
      <c r="L2103" s="23"/>
      <c r="M2103" s="23"/>
      <c r="N2103" s="22"/>
      <c r="O2103" s="22"/>
      <c r="P2103" s="22"/>
      <c r="Q2103" s="23"/>
      <c r="R2103" s="22"/>
      <c r="S2103" s="23"/>
      <c r="Y2103" s="23"/>
      <c r="Z2103" s="23"/>
      <c r="AA2103" s="3" t="str">
        <f t="shared" si="17"/>
        <v>___</v>
      </c>
      <c r="AB2103" s="3" t="str">
        <f t="shared" si="16"/>
        <v>____</v>
      </c>
    </row>
    <row r="2104" spans="1:28" ht="14">
      <c r="A2104" s="23"/>
      <c r="B2104" s="23"/>
      <c r="C2104" s="23"/>
      <c r="D2104" s="23"/>
      <c r="E2104" s="23"/>
      <c r="F2104" s="23"/>
      <c r="G2104" s="23"/>
      <c r="H2104" s="23"/>
      <c r="I2104" s="22"/>
      <c r="J2104" s="23"/>
      <c r="K2104" s="23"/>
      <c r="L2104" s="23"/>
      <c r="M2104" s="23"/>
      <c r="N2104" s="22"/>
      <c r="O2104" s="22"/>
      <c r="P2104" s="22"/>
      <c r="Q2104" s="23"/>
      <c r="R2104" s="22"/>
      <c r="S2104" s="23"/>
      <c r="Y2104" s="23"/>
      <c r="Z2104" s="23"/>
      <c r="AA2104" s="3" t="str">
        <f t="shared" si="17"/>
        <v>___</v>
      </c>
      <c r="AB2104" s="3" t="str">
        <f t="shared" si="16"/>
        <v>____</v>
      </c>
    </row>
    <row r="2105" spans="1:28" ht="14">
      <c r="A2105" s="23"/>
      <c r="B2105" s="23"/>
      <c r="C2105" s="23"/>
      <c r="D2105" s="23"/>
      <c r="E2105" s="23"/>
      <c r="F2105" s="23"/>
      <c r="G2105" s="23"/>
      <c r="H2105" s="23"/>
      <c r="I2105" s="22"/>
      <c r="J2105" s="23"/>
      <c r="K2105" s="23"/>
      <c r="L2105" s="23"/>
      <c r="M2105" s="23"/>
      <c r="N2105" s="22"/>
      <c r="O2105" s="22"/>
      <c r="P2105" s="22"/>
      <c r="Q2105" s="23"/>
      <c r="R2105" s="22"/>
      <c r="S2105" s="23"/>
      <c r="Y2105" s="23"/>
      <c r="Z2105" s="23"/>
      <c r="AA2105" s="3" t="str">
        <f t="shared" si="17"/>
        <v>___</v>
      </c>
      <c r="AB2105" s="3" t="str">
        <f t="shared" si="16"/>
        <v>____</v>
      </c>
    </row>
    <row r="2106" spans="1:28" ht="14">
      <c r="A2106" s="23"/>
      <c r="B2106" s="23"/>
      <c r="C2106" s="23"/>
      <c r="D2106" s="23"/>
      <c r="E2106" s="23"/>
      <c r="F2106" s="23"/>
      <c r="G2106" s="23"/>
      <c r="H2106" s="23"/>
      <c r="I2106" s="22"/>
      <c r="J2106" s="23"/>
      <c r="K2106" s="23"/>
      <c r="L2106" s="23"/>
      <c r="M2106" s="23"/>
      <c r="N2106" s="22"/>
      <c r="O2106" s="22"/>
      <c r="P2106" s="22"/>
      <c r="Q2106" s="23"/>
      <c r="R2106" s="22"/>
      <c r="S2106" s="23"/>
      <c r="Y2106" s="23"/>
      <c r="Z2106" s="23"/>
      <c r="AA2106" s="3" t="str">
        <f t="shared" si="17"/>
        <v>___</v>
      </c>
      <c r="AB2106" s="3" t="str">
        <f t="shared" si="16"/>
        <v>____</v>
      </c>
    </row>
    <row r="2107" spans="1:28" ht="14">
      <c r="A2107" s="23"/>
      <c r="B2107" s="23"/>
      <c r="C2107" s="23"/>
      <c r="D2107" s="23"/>
      <c r="E2107" s="23"/>
      <c r="F2107" s="23"/>
      <c r="G2107" s="23"/>
      <c r="H2107" s="23"/>
      <c r="I2107" s="22"/>
      <c r="J2107" s="23"/>
      <c r="K2107" s="23"/>
      <c r="L2107" s="23"/>
      <c r="M2107" s="23"/>
      <c r="N2107" s="22"/>
      <c r="O2107" s="22"/>
      <c r="P2107" s="22"/>
      <c r="Q2107" s="23"/>
      <c r="R2107" s="22"/>
      <c r="S2107" s="23"/>
      <c r="Y2107" s="23"/>
      <c r="Z2107" s="23"/>
      <c r="AA2107" s="3" t="str">
        <f t="shared" si="17"/>
        <v>___</v>
      </c>
      <c r="AB2107" s="3" t="str">
        <f t="shared" si="16"/>
        <v>____</v>
      </c>
    </row>
    <row r="2108" spans="1:28" ht="14">
      <c r="A2108" s="23"/>
      <c r="B2108" s="23"/>
      <c r="C2108" s="23"/>
      <c r="D2108" s="23"/>
      <c r="E2108" s="23"/>
      <c r="F2108" s="23"/>
      <c r="G2108" s="23"/>
      <c r="H2108" s="23"/>
      <c r="I2108" s="22"/>
      <c r="J2108" s="23"/>
      <c r="K2108" s="23"/>
      <c r="L2108" s="23"/>
      <c r="M2108" s="23"/>
      <c r="N2108" s="22"/>
      <c r="O2108" s="22"/>
      <c r="P2108" s="22"/>
      <c r="Q2108" s="23"/>
      <c r="R2108" s="22"/>
      <c r="S2108" s="23"/>
      <c r="Y2108" s="23"/>
      <c r="Z2108" s="23"/>
      <c r="AA2108" s="3" t="str">
        <f t="shared" si="17"/>
        <v>___</v>
      </c>
      <c r="AB2108" s="3" t="str">
        <f t="shared" si="16"/>
        <v>____</v>
      </c>
    </row>
    <row r="2109" spans="1:28" ht="14">
      <c r="A2109" s="23"/>
      <c r="B2109" s="23"/>
      <c r="C2109" s="23"/>
      <c r="D2109" s="23"/>
      <c r="E2109" s="23"/>
      <c r="F2109" s="23"/>
      <c r="G2109" s="23"/>
      <c r="H2109" s="23"/>
      <c r="I2109" s="22"/>
      <c r="J2109" s="23"/>
      <c r="K2109" s="23"/>
      <c r="L2109" s="23"/>
      <c r="M2109" s="23"/>
      <c r="N2109" s="22"/>
      <c r="O2109" s="22"/>
      <c r="P2109" s="22"/>
      <c r="Q2109" s="23"/>
      <c r="R2109" s="22"/>
      <c r="S2109" s="23"/>
      <c r="Y2109" s="23"/>
      <c r="Z2109" s="23"/>
      <c r="AA2109" s="3" t="str">
        <f t="shared" si="17"/>
        <v>___</v>
      </c>
      <c r="AB2109" s="3" t="str">
        <f t="shared" si="16"/>
        <v>____</v>
      </c>
    </row>
    <row r="2110" spans="1:28" ht="14">
      <c r="A2110" s="23"/>
      <c r="B2110" s="23"/>
      <c r="C2110" s="23"/>
      <c r="D2110" s="23"/>
      <c r="E2110" s="23"/>
      <c r="F2110" s="23"/>
      <c r="G2110" s="23"/>
      <c r="H2110" s="23"/>
      <c r="I2110" s="22"/>
      <c r="J2110" s="23"/>
      <c r="K2110" s="23"/>
      <c r="L2110" s="23"/>
      <c r="M2110" s="23"/>
      <c r="N2110" s="22"/>
      <c r="O2110" s="22"/>
      <c r="P2110" s="22"/>
      <c r="Q2110" s="23"/>
      <c r="R2110" s="22"/>
      <c r="S2110" s="23"/>
      <c r="Y2110" s="23"/>
      <c r="Z2110" s="23"/>
      <c r="AA2110" s="3" t="str">
        <f t="shared" si="17"/>
        <v>___</v>
      </c>
      <c r="AB2110" s="3" t="str">
        <f t="shared" si="16"/>
        <v>____</v>
      </c>
    </row>
    <row r="2111" spans="1:28" ht="14">
      <c r="A2111" s="23"/>
      <c r="B2111" s="23"/>
      <c r="C2111" s="23"/>
      <c r="D2111" s="23"/>
      <c r="E2111" s="23"/>
      <c r="F2111" s="23"/>
      <c r="G2111" s="23"/>
      <c r="H2111" s="23"/>
      <c r="I2111" s="22"/>
      <c r="J2111" s="23"/>
      <c r="K2111" s="23"/>
      <c r="L2111" s="23"/>
      <c r="M2111" s="23"/>
      <c r="N2111" s="22"/>
      <c r="O2111" s="22"/>
      <c r="P2111" s="22"/>
      <c r="Q2111" s="23"/>
      <c r="R2111" s="22"/>
      <c r="S2111" s="23"/>
      <c r="Y2111" s="23"/>
      <c r="Z2111" s="23"/>
      <c r="AA2111" s="3" t="str">
        <f t="shared" si="17"/>
        <v>___</v>
      </c>
      <c r="AB2111" s="3" t="str">
        <f t="shared" si="16"/>
        <v>____</v>
      </c>
    </row>
    <row r="2112" spans="1:28" ht="14">
      <c r="A2112" s="23"/>
      <c r="B2112" s="23"/>
      <c r="C2112" s="23"/>
      <c r="D2112" s="23"/>
      <c r="E2112" s="23"/>
      <c r="F2112" s="23"/>
      <c r="G2112" s="23"/>
      <c r="H2112" s="23"/>
      <c r="I2112" s="22"/>
      <c r="J2112" s="23"/>
      <c r="K2112" s="23"/>
      <c r="L2112" s="23"/>
      <c r="M2112" s="23"/>
      <c r="N2112" s="22"/>
      <c r="O2112" s="22"/>
      <c r="P2112" s="22"/>
      <c r="Q2112" s="23"/>
      <c r="R2112" s="22"/>
      <c r="S2112" s="23"/>
      <c r="Y2112" s="23"/>
      <c r="Z2112" s="23"/>
      <c r="AA2112" s="3" t="str">
        <f t="shared" si="17"/>
        <v>___</v>
      </c>
      <c r="AB2112" s="3" t="str">
        <f t="shared" si="16"/>
        <v>____</v>
      </c>
    </row>
    <row r="2113" spans="1:28" ht="14">
      <c r="A2113" s="23"/>
      <c r="B2113" s="23"/>
      <c r="C2113" s="23"/>
      <c r="D2113" s="23"/>
      <c r="E2113" s="23"/>
      <c r="F2113" s="23"/>
      <c r="G2113" s="23"/>
      <c r="H2113" s="23"/>
      <c r="I2113" s="22"/>
      <c r="J2113" s="23"/>
      <c r="K2113" s="23"/>
      <c r="L2113" s="23"/>
      <c r="M2113" s="23"/>
      <c r="N2113" s="22"/>
      <c r="O2113" s="22"/>
      <c r="P2113" s="22"/>
      <c r="Q2113" s="23"/>
      <c r="R2113" s="22"/>
      <c r="S2113" s="23"/>
      <c r="Y2113" s="23"/>
      <c r="Z2113" s="23"/>
      <c r="AA2113" s="3" t="str">
        <f t="shared" si="17"/>
        <v>___</v>
      </c>
      <c r="AB2113" s="3" t="str">
        <f t="shared" si="16"/>
        <v>____</v>
      </c>
    </row>
    <row r="2114" spans="1:28" ht="14">
      <c r="A2114" s="23"/>
      <c r="B2114" s="23"/>
      <c r="C2114" s="23"/>
      <c r="D2114" s="23"/>
      <c r="E2114" s="23"/>
      <c r="F2114" s="23"/>
      <c r="G2114" s="23"/>
      <c r="H2114" s="23"/>
      <c r="I2114" s="22"/>
      <c r="J2114" s="23"/>
      <c r="K2114" s="23"/>
      <c r="L2114" s="23"/>
      <c r="M2114" s="23"/>
      <c r="N2114" s="22"/>
      <c r="O2114" s="22"/>
      <c r="P2114" s="22"/>
      <c r="Q2114" s="23"/>
      <c r="R2114" s="22"/>
      <c r="S2114" s="23"/>
      <c r="Y2114" s="23"/>
      <c r="Z2114" s="23"/>
      <c r="AA2114" s="3" t="str">
        <f t="shared" si="17"/>
        <v>___</v>
      </c>
      <c r="AB2114" s="3" t="str">
        <f t="shared" si="16"/>
        <v>____</v>
      </c>
    </row>
    <row r="2115" spans="1:28" ht="14">
      <c r="A2115" s="23"/>
      <c r="B2115" s="23"/>
      <c r="C2115" s="23"/>
      <c r="D2115" s="23"/>
      <c r="E2115" s="23"/>
      <c r="F2115" s="23"/>
      <c r="G2115" s="23"/>
      <c r="H2115" s="23"/>
      <c r="I2115" s="22"/>
      <c r="J2115" s="23"/>
      <c r="K2115" s="23"/>
      <c r="L2115" s="23"/>
      <c r="M2115" s="23"/>
      <c r="N2115" s="22"/>
      <c r="O2115" s="22"/>
      <c r="P2115" s="22"/>
      <c r="Q2115" s="23"/>
      <c r="R2115" s="22"/>
      <c r="S2115" s="23"/>
      <c r="Y2115" s="23"/>
      <c r="Z2115" s="23"/>
      <c r="AA2115" s="3" t="str">
        <f t="shared" si="17"/>
        <v>___</v>
      </c>
      <c r="AB2115" s="3" t="str">
        <f t="shared" si="16"/>
        <v>____</v>
      </c>
    </row>
    <row r="2116" spans="1:28" ht="14">
      <c r="A2116" s="23"/>
      <c r="B2116" s="23"/>
      <c r="C2116" s="23"/>
      <c r="D2116" s="23"/>
      <c r="E2116" s="23"/>
      <c r="F2116" s="23"/>
      <c r="G2116" s="23"/>
      <c r="H2116" s="23"/>
      <c r="I2116" s="22"/>
      <c r="J2116" s="23"/>
      <c r="K2116" s="23"/>
      <c r="L2116" s="23"/>
      <c r="M2116" s="23"/>
      <c r="N2116" s="22"/>
      <c r="O2116" s="22"/>
      <c r="P2116" s="22"/>
      <c r="Q2116" s="23"/>
      <c r="R2116" s="22"/>
      <c r="S2116" s="23"/>
      <c r="Y2116" s="23"/>
      <c r="Z2116" s="23"/>
      <c r="AA2116" s="3" t="str">
        <f t="shared" si="17"/>
        <v>___</v>
      </c>
      <c r="AB2116" s="3" t="str">
        <f t="shared" si="16"/>
        <v>____</v>
      </c>
    </row>
    <row r="2117" spans="1:28" ht="14">
      <c r="A2117" s="23"/>
      <c r="B2117" s="23"/>
      <c r="C2117" s="23"/>
      <c r="D2117" s="23"/>
      <c r="E2117" s="23"/>
      <c r="F2117" s="23"/>
      <c r="G2117" s="23"/>
      <c r="H2117" s="23"/>
      <c r="I2117" s="22"/>
      <c r="J2117" s="23"/>
      <c r="K2117" s="23"/>
      <c r="L2117" s="23"/>
      <c r="M2117" s="23"/>
      <c r="N2117" s="22"/>
      <c r="O2117" s="22"/>
      <c r="P2117" s="22"/>
      <c r="Q2117" s="23"/>
      <c r="R2117" s="22"/>
      <c r="S2117" s="23"/>
      <c r="Y2117" s="23"/>
      <c r="Z2117" s="23"/>
      <c r="AA2117" s="3" t="str">
        <f t="shared" si="17"/>
        <v>___</v>
      </c>
      <c r="AB2117" s="3" t="str">
        <f t="shared" si="16"/>
        <v>____</v>
      </c>
    </row>
    <row r="2118" spans="1:28" ht="14">
      <c r="A2118" s="23"/>
      <c r="B2118" s="23"/>
      <c r="C2118" s="23"/>
      <c r="D2118" s="23"/>
      <c r="E2118" s="23"/>
      <c r="F2118" s="23"/>
      <c r="G2118" s="23"/>
      <c r="H2118" s="23"/>
      <c r="I2118" s="22"/>
      <c r="J2118" s="23"/>
      <c r="K2118" s="23"/>
      <c r="L2118" s="23"/>
      <c r="M2118" s="23"/>
      <c r="N2118" s="22"/>
      <c r="O2118" s="22"/>
      <c r="P2118" s="22"/>
      <c r="Q2118" s="23"/>
      <c r="R2118" s="22"/>
      <c r="S2118" s="23"/>
      <c r="Y2118" s="23"/>
      <c r="Z2118" s="23"/>
      <c r="AA2118" s="3" t="str">
        <f t="shared" si="17"/>
        <v>___</v>
      </c>
      <c r="AB2118" s="3" t="str">
        <f t="shared" si="16"/>
        <v>____</v>
      </c>
    </row>
    <row r="2119" spans="1:28" ht="14">
      <c r="A2119" s="23"/>
      <c r="B2119" s="23"/>
      <c r="C2119" s="23"/>
      <c r="D2119" s="23"/>
      <c r="E2119" s="23"/>
      <c r="F2119" s="23"/>
      <c r="G2119" s="23"/>
      <c r="H2119" s="23"/>
      <c r="I2119" s="22"/>
      <c r="J2119" s="23"/>
      <c r="K2119" s="23"/>
      <c r="L2119" s="23"/>
      <c r="M2119" s="23"/>
      <c r="N2119" s="22"/>
      <c r="O2119" s="22"/>
      <c r="P2119" s="22"/>
      <c r="Q2119" s="23"/>
      <c r="R2119" s="22"/>
      <c r="S2119" s="23"/>
      <c r="Y2119" s="23"/>
      <c r="Z2119" s="23"/>
      <c r="AA2119" s="3" t="str">
        <f t="shared" si="17"/>
        <v>___</v>
      </c>
      <c r="AB2119" s="3" t="str">
        <f t="shared" si="16"/>
        <v>____</v>
      </c>
    </row>
    <row r="2120" spans="1:28" ht="14">
      <c r="A2120" s="23"/>
      <c r="B2120" s="23"/>
      <c r="C2120" s="23"/>
      <c r="D2120" s="23"/>
      <c r="E2120" s="23"/>
      <c r="F2120" s="23"/>
      <c r="G2120" s="23"/>
      <c r="H2120" s="23"/>
      <c r="I2120" s="22"/>
      <c r="J2120" s="23"/>
      <c r="K2120" s="23"/>
      <c r="L2120" s="23"/>
      <c r="M2120" s="23"/>
      <c r="N2120" s="22"/>
      <c r="O2120" s="22"/>
      <c r="P2120" s="22"/>
      <c r="Q2120" s="23"/>
      <c r="R2120" s="22"/>
      <c r="S2120" s="23"/>
      <c r="Y2120" s="23"/>
      <c r="Z2120" s="23"/>
      <c r="AA2120" s="3" t="str">
        <f t="shared" si="17"/>
        <v>___</v>
      </c>
      <c r="AB2120" s="3" t="str">
        <f t="shared" si="16"/>
        <v>____</v>
      </c>
    </row>
    <row r="2121" spans="1:28" ht="14">
      <c r="A2121" s="23"/>
      <c r="B2121" s="23"/>
      <c r="C2121" s="23"/>
      <c r="D2121" s="23"/>
      <c r="E2121" s="23"/>
      <c r="F2121" s="23"/>
      <c r="G2121" s="23"/>
      <c r="H2121" s="23"/>
      <c r="I2121" s="22"/>
      <c r="J2121" s="23"/>
      <c r="K2121" s="23"/>
      <c r="L2121" s="23"/>
      <c r="M2121" s="23"/>
      <c r="N2121" s="22"/>
      <c r="O2121" s="22"/>
      <c r="P2121" s="22"/>
      <c r="Q2121" s="23"/>
      <c r="R2121" s="22"/>
      <c r="S2121" s="23"/>
      <c r="Y2121" s="23"/>
      <c r="Z2121" s="23"/>
      <c r="AA2121" s="3" t="str">
        <f t="shared" si="17"/>
        <v>___</v>
      </c>
      <c r="AB2121" s="3" t="str">
        <f t="shared" si="16"/>
        <v>____</v>
      </c>
    </row>
    <row r="2122" spans="1:28" ht="14">
      <c r="A2122" s="23"/>
      <c r="B2122" s="23"/>
      <c r="C2122" s="23"/>
      <c r="D2122" s="23"/>
      <c r="E2122" s="23"/>
      <c r="F2122" s="23"/>
      <c r="G2122" s="23"/>
      <c r="H2122" s="23"/>
      <c r="I2122" s="22"/>
      <c r="J2122" s="23"/>
      <c r="K2122" s="23"/>
      <c r="L2122" s="23"/>
      <c r="M2122" s="23"/>
      <c r="N2122" s="22"/>
      <c r="O2122" s="22"/>
      <c r="P2122" s="22"/>
      <c r="Q2122" s="23"/>
      <c r="R2122" s="22"/>
      <c r="S2122" s="23"/>
      <c r="Y2122" s="23"/>
      <c r="Z2122" s="23"/>
      <c r="AA2122" s="3" t="str">
        <f t="shared" si="17"/>
        <v>___</v>
      </c>
      <c r="AB2122" s="3" t="str">
        <f t="shared" si="16"/>
        <v>____</v>
      </c>
    </row>
    <row r="2123" spans="1:28" ht="14">
      <c r="A2123" s="23"/>
      <c r="B2123" s="23"/>
      <c r="C2123" s="23"/>
      <c r="D2123" s="23"/>
      <c r="E2123" s="23"/>
      <c r="F2123" s="23"/>
      <c r="G2123" s="23"/>
      <c r="H2123" s="23"/>
      <c r="I2123" s="22"/>
      <c r="J2123" s="23"/>
      <c r="K2123" s="23"/>
      <c r="L2123" s="23"/>
      <c r="M2123" s="23"/>
      <c r="N2123" s="22"/>
      <c r="O2123" s="22"/>
      <c r="P2123" s="22"/>
      <c r="Q2123" s="23"/>
      <c r="R2123" s="22"/>
      <c r="S2123" s="23"/>
      <c r="Y2123" s="23"/>
      <c r="Z2123" s="23"/>
      <c r="AA2123" s="3" t="str">
        <f t="shared" si="17"/>
        <v>___</v>
      </c>
      <c r="AB2123" s="3" t="str">
        <f t="shared" si="16"/>
        <v>____</v>
      </c>
    </row>
    <row r="2124" spans="1:28" ht="14">
      <c r="A2124" s="23"/>
      <c r="B2124" s="23"/>
      <c r="C2124" s="23"/>
      <c r="D2124" s="23"/>
      <c r="E2124" s="23"/>
      <c r="F2124" s="23"/>
      <c r="G2124" s="23"/>
      <c r="H2124" s="23"/>
      <c r="I2124" s="22"/>
      <c r="J2124" s="23"/>
      <c r="K2124" s="23"/>
      <c r="L2124" s="23"/>
      <c r="M2124" s="23"/>
      <c r="N2124" s="22"/>
      <c r="O2124" s="22"/>
      <c r="P2124" s="22"/>
      <c r="Q2124" s="23"/>
      <c r="R2124" s="22"/>
      <c r="S2124" s="23"/>
      <c r="Y2124" s="23"/>
      <c r="Z2124" s="23"/>
      <c r="AA2124" s="3" t="str">
        <f t="shared" si="17"/>
        <v>___</v>
      </c>
      <c r="AB2124" s="3" t="str">
        <f t="shared" si="16"/>
        <v>____</v>
      </c>
    </row>
    <row r="2125" spans="1:28" ht="14">
      <c r="A2125" s="23"/>
      <c r="B2125" s="23"/>
      <c r="C2125" s="23"/>
      <c r="D2125" s="23"/>
      <c r="E2125" s="23"/>
      <c r="F2125" s="23"/>
      <c r="G2125" s="23"/>
      <c r="H2125" s="23"/>
      <c r="I2125" s="22"/>
      <c r="J2125" s="23"/>
      <c r="K2125" s="23"/>
      <c r="L2125" s="23"/>
      <c r="M2125" s="23"/>
      <c r="N2125" s="22"/>
      <c r="O2125" s="22"/>
      <c r="P2125" s="22"/>
      <c r="Q2125" s="23"/>
      <c r="R2125" s="22"/>
      <c r="S2125" s="23"/>
      <c r="Y2125" s="23"/>
      <c r="Z2125" s="23"/>
      <c r="AA2125" s="3" t="str">
        <f t="shared" si="17"/>
        <v>___</v>
      </c>
      <c r="AB2125" s="3" t="str">
        <f t="shared" si="16"/>
        <v>____</v>
      </c>
    </row>
    <row r="2126" spans="1:28" ht="14">
      <c r="A2126" s="23"/>
      <c r="B2126" s="23"/>
      <c r="C2126" s="23"/>
      <c r="D2126" s="23"/>
      <c r="E2126" s="23"/>
      <c r="F2126" s="23"/>
      <c r="G2126" s="23"/>
      <c r="H2126" s="23"/>
      <c r="I2126" s="22"/>
      <c r="J2126" s="23"/>
      <c r="K2126" s="23"/>
      <c r="L2126" s="23"/>
      <c r="M2126" s="23"/>
      <c r="N2126" s="22"/>
      <c r="O2126" s="22"/>
      <c r="P2126" s="22"/>
      <c r="Q2126" s="23"/>
      <c r="R2126" s="22"/>
      <c r="S2126" s="23"/>
      <c r="Y2126" s="23"/>
      <c r="Z2126" s="23"/>
      <c r="AA2126" s="3" t="str">
        <f t="shared" si="17"/>
        <v>___</v>
      </c>
      <c r="AB2126" s="3" t="str">
        <f t="shared" si="16"/>
        <v>____</v>
      </c>
    </row>
    <row r="2127" spans="1:28" ht="14">
      <c r="A2127" s="23"/>
      <c r="B2127" s="23"/>
      <c r="C2127" s="23"/>
      <c r="D2127" s="23"/>
      <c r="E2127" s="23"/>
      <c r="F2127" s="23"/>
      <c r="G2127" s="23"/>
      <c r="H2127" s="23"/>
      <c r="I2127" s="22"/>
      <c r="J2127" s="23"/>
      <c r="K2127" s="23"/>
      <c r="L2127" s="23"/>
      <c r="M2127" s="23"/>
      <c r="N2127" s="22"/>
      <c r="O2127" s="22"/>
      <c r="P2127" s="22"/>
      <c r="Q2127" s="23"/>
      <c r="R2127" s="22"/>
      <c r="S2127" s="23"/>
      <c r="Y2127" s="23"/>
      <c r="Z2127" s="23"/>
      <c r="AA2127" s="3" t="str">
        <f t="shared" si="17"/>
        <v>___</v>
      </c>
      <c r="AB2127" s="3" t="str">
        <f t="shared" si="16"/>
        <v>____</v>
      </c>
    </row>
    <row r="2128" spans="1:28" ht="14">
      <c r="A2128" s="23"/>
      <c r="B2128" s="23"/>
      <c r="C2128" s="23"/>
      <c r="D2128" s="23"/>
      <c r="E2128" s="23"/>
      <c r="F2128" s="23"/>
      <c r="G2128" s="23"/>
      <c r="H2128" s="23"/>
      <c r="I2128" s="22"/>
      <c r="J2128" s="23"/>
      <c r="K2128" s="23"/>
      <c r="L2128" s="23"/>
      <c r="M2128" s="23"/>
      <c r="N2128" s="22"/>
      <c r="O2128" s="22"/>
      <c r="P2128" s="22"/>
      <c r="Q2128" s="23"/>
      <c r="R2128" s="22"/>
      <c r="S2128" s="23"/>
      <c r="Y2128" s="23"/>
      <c r="Z2128" s="23"/>
      <c r="AA2128" s="3" t="str">
        <f t="shared" si="17"/>
        <v>___</v>
      </c>
      <c r="AB2128" s="3" t="str">
        <f t="shared" si="16"/>
        <v>____</v>
      </c>
    </row>
    <row r="2129" spans="1:28" ht="14">
      <c r="A2129" s="23"/>
      <c r="B2129" s="23"/>
      <c r="C2129" s="23"/>
      <c r="D2129" s="23"/>
      <c r="E2129" s="23"/>
      <c r="F2129" s="23"/>
      <c r="G2129" s="23"/>
      <c r="H2129" s="23"/>
      <c r="I2129" s="22"/>
      <c r="J2129" s="23"/>
      <c r="K2129" s="23"/>
      <c r="L2129" s="23"/>
      <c r="M2129" s="23"/>
      <c r="N2129" s="22"/>
      <c r="O2129" s="22"/>
      <c r="P2129" s="22"/>
      <c r="Q2129" s="23"/>
      <c r="R2129" s="22"/>
      <c r="S2129" s="23"/>
      <c r="Y2129" s="23"/>
      <c r="Z2129" s="23"/>
      <c r="AA2129" s="3" t="str">
        <f t="shared" si="17"/>
        <v>___</v>
      </c>
      <c r="AB2129" s="3" t="str">
        <f t="shared" si="16"/>
        <v>____</v>
      </c>
    </row>
    <row r="2130" spans="1:28" ht="14">
      <c r="A2130" s="23"/>
      <c r="B2130" s="23"/>
      <c r="C2130" s="23"/>
      <c r="D2130" s="23"/>
      <c r="E2130" s="23"/>
      <c r="F2130" s="23"/>
      <c r="G2130" s="23"/>
      <c r="H2130" s="23"/>
      <c r="I2130" s="22"/>
      <c r="J2130" s="23"/>
      <c r="K2130" s="23"/>
      <c r="L2130" s="23"/>
      <c r="M2130" s="23"/>
      <c r="N2130" s="22"/>
      <c r="O2130" s="22"/>
      <c r="P2130" s="22"/>
      <c r="Q2130" s="23"/>
      <c r="R2130" s="22"/>
      <c r="S2130" s="23"/>
      <c r="Y2130" s="23"/>
      <c r="Z2130" s="23"/>
      <c r="AA2130" s="3" t="str">
        <f t="shared" si="17"/>
        <v>___</v>
      </c>
      <c r="AB2130" s="3" t="str">
        <f t="shared" si="16"/>
        <v>____</v>
      </c>
    </row>
    <row r="2131" spans="1:28" ht="14">
      <c r="A2131" s="23"/>
      <c r="B2131" s="23"/>
      <c r="C2131" s="23"/>
      <c r="D2131" s="23"/>
      <c r="E2131" s="23"/>
      <c r="F2131" s="23"/>
      <c r="G2131" s="23"/>
      <c r="H2131" s="23"/>
      <c r="I2131" s="22"/>
      <c r="J2131" s="23"/>
      <c r="K2131" s="23"/>
      <c r="L2131" s="23"/>
      <c r="M2131" s="23"/>
      <c r="N2131" s="22"/>
      <c r="O2131" s="22"/>
      <c r="P2131" s="22"/>
      <c r="Q2131" s="23"/>
      <c r="R2131" s="22"/>
      <c r="S2131" s="23"/>
      <c r="Y2131" s="23"/>
      <c r="Z2131" s="23"/>
      <c r="AA2131" s="3" t="str">
        <f t="shared" si="17"/>
        <v>___</v>
      </c>
      <c r="AB2131" s="3" t="str">
        <f t="shared" si="16"/>
        <v>____</v>
      </c>
    </row>
    <row r="2132" spans="1:28" ht="14">
      <c r="A2132" s="23"/>
      <c r="B2132" s="23"/>
      <c r="C2132" s="23"/>
      <c r="D2132" s="23"/>
      <c r="E2132" s="23"/>
      <c r="F2132" s="23"/>
      <c r="G2132" s="23"/>
      <c r="H2132" s="23"/>
      <c r="I2132" s="22"/>
      <c r="J2132" s="23"/>
      <c r="K2132" s="23"/>
      <c r="L2132" s="23"/>
      <c r="M2132" s="23"/>
      <c r="N2132" s="22"/>
      <c r="O2132" s="22"/>
      <c r="P2132" s="22"/>
      <c r="Q2132" s="23"/>
      <c r="R2132" s="22"/>
      <c r="S2132" s="23"/>
      <c r="Y2132" s="23"/>
      <c r="Z2132" s="23"/>
      <c r="AA2132" s="3" t="str">
        <f t="shared" si="17"/>
        <v>___</v>
      </c>
      <c r="AB2132" s="3" t="str">
        <f t="shared" si="16"/>
        <v>____</v>
      </c>
    </row>
    <row r="2133" spans="1:28" ht="14">
      <c r="A2133" s="23"/>
      <c r="B2133" s="23"/>
      <c r="C2133" s="23"/>
      <c r="D2133" s="23"/>
      <c r="E2133" s="23"/>
      <c r="F2133" s="23"/>
      <c r="G2133" s="23"/>
      <c r="H2133" s="23"/>
      <c r="I2133" s="22"/>
      <c r="J2133" s="23"/>
      <c r="K2133" s="23"/>
      <c r="L2133" s="23"/>
      <c r="M2133" s="23"/>
      <c r="N2133" s="22"/>
      <c r="O2133" s="22"/>
      <c r="P2133" s="22"/>
      <c r="Q2133" s="23"/>
      <c r="R2133" s="22"/>
      <c r="S2133" s="23"/>
      <c r="Y2133" s="23"/>
      <c r="Z2133" s="23"/>
      <c r="AA2133" s="3" t="str">
        <f t="shared" si="17"/>
        <v>___</v>
      </c>
      <c r="AB2133" s="3" t="str">
        <f t="shared" si="16"/>
        <v>____</v>
      </c>
    </row>
    <row r="2134" spans="1:28" ht="14">
      <c r="A2134" s="23"/>
      <c r="B2134" s="23"/>
      <c r="C2134" s="23"/>
      <c r="D2134" s="23"/>
      <c r="E2134" s="23"/>
      <c r="F2134" s="23"/>
      <c r="G2134" s="23"/>
      <c r="H2134" s="23"/>
      <c r="I2134" s="22"/>
      <c r="J2134" s="23"/>
      <c r="K2134" s="23"/>
      <c r="L2134" s="23"/>
      <c r="M2134" s="23"/>
      <c r="N2134" s="22"/>
      <c r="O2134" s="22"/>
      <c r="P2134" s="22"/>
      <c r="Q2134" s="23"/>
      <c r="R2134" s="22"/>
      <c r="S2134" s="23"/>
      <c r="Y2134" s="23"/>
      <c r="Z2134" s="23"/>
      <c r="AA2134" s="3" t="str">
        <f t="shared" si="17"/>
        <v>___</v>
      </c>
      <c r="AB2134" s="3" t="str">
        <f t="shared" si="16"/>
        <v>____</v>
      </c>
    </row>
    <row r="2135" spans="1:28" ht="14">
      <c r="A2135" s="23"/>
      <c r="B2135" s="23"/>
      <c r="C2135" s="23"/>
      <c r="D2135" s="23"/>
      <c r="E2135" s="23"/>
      <c r="F2135" s="23"/>
      <c r="G2135" s="23"/>
      <c r="H2135" s="23"/>
      <c r="I2135" s="22"/>
      <c r="J2135" s="23"/>
      <c r="K2135" s="23"/>
      <c r="L2135" s="23"/>
      <c r="M2135" s="23"/>
      <c r="N2135" s="22"/>
      <c r="O2135" s="22"/>
      <c r="P2135" s="22"/>
      <c r="Q2135" s="23"/>
      <c r="R2135" s="22"/>
      <c r="S2135" s="23"/>
      <c r="Y2135" s="23"/>
      <c r="Z2135" s="23"/>
      <c r="AA2135" s="3" t="str">
        <f t="shared" si="17"/>
        <v>___</v>
      </c>
      <c r="AB2135" s="3" t="str">
        <f t="shared" si="16"/>
        <v>____</v>
      </c>
    </row>
    <row r="2136" spans="1:28" ht="14">
      <c r="A2136" s="23"/>
      <c r="B2136" s="23"/>
      <c r="C2136" s="23"/>
      <c r="D2136" s="23"/>
      <c r="E2136" s="23"/>
      <c r="F2136" s="23"/>
      <c r="G2136" s="23"/>
      <c r="H2136" s="23"/>
      <c r="I2136" s="22"/>
      <c r="J2136" s="23"/>
      <c r="K2136" s="23"/>
      <c r="L2136" s="23"/>
      <c r="M2136" s="23"/>
      <c r="N2136" s="22"/>
      <c r="O2136" s="22"/>
      <c r="P2136" s="22"/>
      <c r="Q2136" s="23"/>
      <c r="R2136" s="22"/>
      <c r="S2136" s="23"/>
      <c r="Y2136" s="23"/>
      <c r="Z2136" s="23"/>
      <c r="AA2136" s="3" t="str">
        <f t="shared" si="17"/>
        <v>___</v>
      </c>
      <c r="AB2136" s="3" t="str">
        <f t="shared" si="16"/>
        <v>____</v>
      </c>
    </row>
    <row r="2137" spans="1:28" ht="14">
      <c r="A2137" s="23"/>
      <c r="B2137" s="23"/>
      <c r="C2137" s="23"/>
      <c r="D2137" s="23"/>
      <c r="E2137" s="23"/>
      <c r="F2137" s="23"/>
      <c r="G2137" s="23"/>
      <c r="H2137" s="23"/>
      <c r="I2137" s="22"/>
      <c r="J2137" s="23"/>
      <c r="K2137" s="23"/>
      <c r="L2137" s="23"/>
      <c r="M2137" s="23"/>
      <c r="N2137" s="22"/>
      <c r="O2137" s="22"/>
      <c r="P2137" s="22"/>
      <c r="Q2137" s="23"/>
      <c r="R2137" s="22"/>
      <c r="S2137" s="23"/>
      <c r="Y2137" s="23"/>
      <c r="Z2137" s="23"/>
      <c r="AA2137" s="3" t="str">
        <f t="shared" si="17"/>
        <v>___</v>
      </c>
      <c r="AB2137" s="3" t="str">
        <f t="shared" si="16"/>
        <v>____</v>
      </c>
    </row>
    <row r="2138" spans="1:28" ht="14">
      <c r="A2138" s="23"/>
      <c r="B2138" s="23"/>
      <c r="C2138" s="23"/>
      <c r="D2138" s="23"/>
      <c r="E2138" s="23"/>
      <c r="F2138" s="23"/>
      <c r="G2138" s="23"/>
      <c r="H2138" s="23"/>
      <c r="I2138" s="22"/>
      <c r="J2138" s="23"/>
      <c r="K2138" s="23"/>
      <c r="L2138" s="23"/>
      <c r="M2138" s="23"/>
      <c r="N2138" s="22"/>
      <c r="O2138" s="22"/>
      <c r="P2138" s="22"/>
      <c r="Q2138" s="23"/>
      <c r="R2138" s="22"/>
      <c r="S2138" s="23"/>
      <c r="Y2138" s="23"/>
      <c r="Z2138" s="23"/>
      <c r="AA2138" s="3" t="str">
        <f t="shared" si="17"/>
        <v>___</v>
      </c>
      <c r="AB2138" s="3" t="str">
        <f t="shared" si="16"/>
        <v>____</v>
      </c>
    </row>
    <row r="2139" spans="1:28" ht="14">
      <c r="A2139" s="23"/>
      <c r="B2139" s="23"/>
      <c r="C2139" s="23"/>
      <c r="D2139" s="23"/>
      <c r="E2139" s="23"/>
      <c r="F2139" s="23"/>
      <c r="G2139" s="23"/>
      <c r="H2139" s="23"/>
      <c r="I2139" s="22"/>
      <c r="J2139" s="23"/>
      <c r="K2139" s="23"/>
      <c r="L2139" s="23"/>
      <c r="M2139" s="23"/>
      <c r="N2139" s="22"/>
      <c r="O2139" s="22"/>
      <c r="P2139" s="22"/>
      <c r="Q2139" s="23"/>
      <c r="R2139" s="22"/>
      <c r="S2139" s="23"/>
      <c r="Y2139" s="23"/>
      <c r="Z2139" s="23"/>
      <c r="AA2139" s="3" t="str">
        <f t="shared" si="17"/>
        <v>___</v>
      </c>
      <c r="AB2139" s="3" t="str">
        <f t="shared" si="16"/>
        <v>____</v>
      </c>
    </row>
    <row r="2140" spans="1:28" ht="14">
      <c r="A2140" s="23"/>
      <c r="B2140" s="23"/>
      <c r="C2140" s="23"/>
      <c r="D2140" s="23"/>
      <c r="E2140" s="23"/>
      <c r="F2140" s="23"/>
      <c r="G2140" s="23"/>
      <c r="H2140" s="23"/>
      <c r="I2140" s="22"/>
      <c r="J2140" s="23"/>
      <c r="K2140" s="23"/>
      <c r="L2140" s="23"/>
      <c r="M2140" s="23"/>
      <c r="N2140" s="22"/>
      <c r="O2140" s="22"/>
      <c r="P2140" s="22"/>
      <c r="Q2140" s="23"/>
      <c r="R2140" s="22"/>
      <c r="S2140" s="23"/>
      <c r="Y2140" s="23"/>
      <c r="Z2140" s="23"/>
      <c r="AA2140" s="3" t="str">
        <f t="shared" si="17"/>
        <v>___</v>
      </c>
      <c r="AB2140" s="3" t="str">
        <f t="shared" si="16"/>
        <v>____</v>
      </c>
    </row>
    <row r="2141" spans="1:28" ht="14">
      <c r="A2141" s="23"/>
      <c r="B2141" s="23"/>
      <c r="C2141" s="23"/>
      <c r="D2141" s="23"/>
      <c r="E2141" s="23"/>
      <c r="F2141" s="23"/>
      <c r="G2141" s="23"/>
      <c r="H2141" s="23"/>
      <c r="I2141" s="22"/>
      <c r="J2141" s="23"/>
      <c r="K2141" s="23"/>
      <c r="L2141" s="23"/>
      <c r="M2141" s="23"/>
      <c r="N2141" s="22"/>
      <c r="O2141" s="22"/>
      <c r="P2141" s="22"/>
      <c r="Q2141" s="23"/>
      <c r="R2141" s="22"/>
      <c r="S2141" s="23"/>
      <c r="Y2141" s="23"/>
      <c r="Z2141" s="23"/>
      <c r="AA2141" s="3" t="str">
        <f t="shared" si="17"/>
        <v>___</v>
      </c>
      <c r="AB2141" s="3" t="str">
        <f t="shared" si="16"/>
        <v>____</v>
      </c>
    </row>
    <row r="2142" spans="1:28" ht="14">
      <c r="A2142" s="23"/>
      <c r="B2142" s="23"/>
      <c r="C2142" s="23"/>
      <c r="D2142" s="23"/>
      <c r="E2142" s="23"/>
      <c r="F2142" s="23"/>
      <c r="G2142" s="23"/>
      <c r="H2142" s="23"/>
      <c r="I2142" s="22"/>
      <c r="J2142" s="23"/>
      <c r="K2142" s="23"/>
      <c r="L2142" s="23"/>
      <c r="M2142" s="23"/>
      <c r="N2142" s="22"/>
      <c r="O2142" s="22"/>
      <c r="P2142" s="22"/>
      <c r="Q2142" s="23"/>
      <c r="R2142" s="22"/>
      <c r="S2142" s="23"/>
      <c r="Y2142" s="23"/>
      <c r="Z2142" s="23"/>
      <c r="AA2142" s="3" t="str">
        <f t="shared" si="17"/>
        <v>___</v>
      </c>
      <c r="AB2142" s="3" t="str">
        <f t="shared" si="16"/>
        <v>____</v>
      </c>
    </row>
    <row r="2143" spans="1:28" ht="14">
      <c r="A2143" s="23"/>
      <c r="B2143" s="23"/>
      <c r="C2143" s="23"/>
      <c r="D2143" s="23"/>
      <c r="E2143" s="23"/>
      <c r="F2143" s="23"/>
      <c r="G2143" s="23"/>
      <c r="H2143" s="23"/>
      <c r="I2143" s="22"/>
      <c r="J2143" s="23"/>
      <c r="K2143" s="23"/>
      <c r="L2143" s="23"/>
      <c r="M2143" s="23"/>
      <c r="N2143" s="22"/>
      <c r="O2143" s="22"/>
      <c r="P2143" s="22"/>
      <c r="Q2143" s="23"/>
      <c r="R2143" s="22"/>
      <c r="S2143" s="23"/>
      <c r="Y2143" s="23"/>
      <c r="Z2143" s="23"/>
      <c r="AA2143" s="3" t="str">
        <f t="shared" si="17"/>
        <v>___</v>
      </c>
      <c r="AB2143" s="3" t="str">
        <f t="shared" si="16"/>
        <v>____</v>
      </c>
    </row>
    <row r="2144" spans="1:28" ht="14">
      <c r="A2144" s="23"/>
      <c r="B2144" s="23"/>
      <c r="C2144" s="23"/>
      <c r="D2144" s="23"/>
      <c r="E2144" s="23"/>
      <c r="F2144" s="23"/>
      <c r="G2144" s="23"/>
      <c r="H2144" s="23"/>
      <c r="I2144" s="22"/>
      <c r="J2144" s="23"/>
      <c r="K2144" s="23"/>
      <c r="L2144" s="23"/>
      <c r="M2144" s="23"/>
      <c r="N2144" s="22"/>
      <c r="O2144" s="22"/>
      <c r="P2144" s="22"/>
      <c r="Q2144" s="23"/>
      <c r="R2144" s="22"/>
      <c r="S2144" s="23"/>
      <c r="Y2144" s="23"/>
      <c r="Z2144" s="23"/>
      <c r="AA2144" s="3" t="str">
        <f t="shared" si="17"/>
        <v>___</v>
      </c>
      <c r="AB2144" s="3" t="str">
        <f t="shared" si="16"/>
        <v>____</v>
      </c>
    </row>
    <row r="2145" spans="1:28" ht="14">
      <c r="A2145" s="23"/>
      <c r="B2145" s="23"/>
      <c r="C2145" s="23"/>
      <c r="D2145" s="23"/>
      <c r="E2145" s="23"/>
      <c r="F2145" s="23"/>
      <c r="G2145" s="23"/>
      <c r="H2145" s="23"/>
      <c r="I2145" s="22"/>
      <c r="J2145" s="23"/>
      <c r="K2145" s="23"/>
      <c r="L2145" s="23"/>
      <c r="M2145" s="23"/>
      <c r="N2145" s="22"/>
      <c r="O2145" s="22"/>
      <c r="P2145" s="22"/>
      <c r="Q2145" s="23"/>
      <c r="R2145" s="22"/>
      <c r="S2145" s="23"/>
      <c r="Y2145" s="23"/>
      <c r="Z2145" s="23"/>
      <c r="AA2145" s="3" t="str">
        <f t="shared" si="17"/>
        <v>___</v>
      </c>
      <c r="AB2145" s="3" t="str">
        <f t="shared" si="16"/>
        <v>____</v>
      </c>
    </row>
    <row r="2146" spans="1:28" ht="14">
      <c r="A2146" s="23"/>
      <c r="B2146" s="23"/>
      <c r="C2146" s="23"/>
      <c r="D2146" s="23"/>
      <c r="E2146" s="23"/>
      <c r="F2146" s="23"/>
      <c r="G2146" s="23"/>
      <c r="H2146" s="23"/>
      <c r="I2146" s="22"/>
      <c r="J2146" s="23"/>
      <c r="K2146" s="23"/>
      <c r="L2146" s="23"/>
      <c r="M2146" s="23"/>
      <c r="N2146" s="22"/>
      <c r="O2146" s="22"/>
      <c r="P2146" s="22"/>
      <c r="Q2146" s="23"/>
      <c r="R2146" s="22"/>
      <c r="S2146" s="23"/>
      <c r="Y2146" s="23"/>
      <c r="Z2146" s="23"/>
      <c r="AA2146" s="3" t="str">
        <f t="shared" si="17"/>
        <v>___</v>
      </c>
      <c r="AB2146" s="3" t="str">
        <f t="shared" si="16"/>
        <v>____</v>
      </c>
    </row>
    <row r="2147" spans="1:28" ht="14">
      <c r="A2147" s="23"/>
      <c r="B2147" s="23"/>
      <c r="C2147" s="23"/>
      <c r="D2147" s="23"/>
      <c r="E2147" s="23"/>
      <c r="F2147" s="23"/>
      <c r="G2147" s="23"/>
      <c r="H2147" s="23"/>
      <c r="I2147" s="22"/>
      <c r="J2147" s="23"/>
      <c r="K2147" s="23"/>
      <c r="L2147" s="23"/>
      <c r="M2147" s="23"/>
      <c r="N2147" s="22"/>
      <c r="O2147" s="22"/>
      <c r="P2147" s="22"/>
      <c r="Q2147" s="23"/>
      <c r="R2147" s="22"/>
      <c r="S2147" s="23"/>
      <c r="Y2147" s="23"/>
      <c r="Z2147" s="23"/>
      <c r="AA2147" s="3" t="str">
        <f t="shared" si="17"/>
        <v>___</v>
      </c>
      <c r="AB2147" s="3" t="str">
        <f t="shared" si="16"/>
        <v>____</v>
      </c>
    </row>
    <row r="2148" spans="1:28" ht="14">
      <c r="A2148" s="23"/>
      <c r="B2148" s="23"/>
      <c r="C2148" s="23"/>
      <c r="D2148" s="23"/>
      <c r="E2148" s="23"/>
      <c r="F2148" s="23"/>
      <c r="G2148" s="23"/>
      <c r="H2148" s="23"/>
      <c r="I2148" s="22"/>
      <c r="J2148" s="23"/>
      <c r="K2148" s="23"/>
      <c r="L2148" s="23"/>
      <c r="M2148" s="23"/>
      <c r="N2148" s="22"/>
      <c r="O2148" s="22"/>
      <c r="P2148" s="22"/>
      <c r="Q2148" s="23"/>
      <c r="R2148" s="22"/>
      <c r="S2148" s="23"/>
      <c r="Y2148" s="23"/>
      <c r="Z2148" s="23"/>
      <c r="AA2148" s="3" t="str">
        <f t="shared" si="17"/>
        <v>___</v>
      </c>
      <c r="AB2148" s="3" t="str">
        <f t="shared" si="16"/>
        <v>____</v>
      </c>
    </row>
    <row r="2149" spans="1:28" ht="14">
      <c r="A2149" s="23"/>
      <c r="B2149" s="23"/>
      <c r="C2149" s="23"/>
      <c r="D2149" s="23"/>
      <c r="E2149" s="23"/>
      <c r="F2149" s="23"/>
      <c r="G2149" s="23"/>
      <c r="H2149" s="23"/>
      <c r="I2149" s="22"/>
      <c r="J2149" s="23"/>
      <c r="K2149" s="23"/>
      <c r="L2149" s="23"/>
      <c r="M2149" s="23"/>
      <c r="N2149" s="22"/>
      <c r="O2149" s="22"/>
      <c r="P2149" s="22"/>
      <c r="Q2149" s="23"/>
      <c r="R2149" s="22"/>
      <c r="S2149" s="23"/>
      <c r="Y2149" s="23"/>
      <c r="Z2149" s="23"/>
      <c r="AA2149" s="3" t="str">
        <f t="shared" si="17"/>
        <v>___</v>
      </c>
      <c r="AB2149" s="3" t="str">
        <f t="shared" si="16"/>
        <v>____</v>
      </c>
    </row>
    <row r="2150" spans="1:28" ht="14">
      <c r="A2150" s="23"/>
      <c r="B2150" s="23"/>
      <c r="C2150" s="23"/>
      <c r="D2150" s="23"/>
      <c r="E2150" s="23"/>
      <c r="F2150" s="23"/>
      <c r="G2150" s="23"/>
      <c r="H2150" s="23"/>
      <c r="I2150" s="22"/>
      <c r="J2150" s="23"/>
      <c r="K2150" s="23"/>
      <c r="L2150" s="23"/>
      <c r="M2150" s="23"/>
      <c r="N2150" s="22"/>
      <c r="O2150" s="22"/>
      <c r="P2150" s="22"/>
      <c r="Q2150" s="23"/>
      <c r="R2150" s="22"/>
      <c r="S2150" s="23"/>
      <c r="Y2150" s="23"/>
      <c r="Z2150" s="23"/>
      <c r="AA2150" s="3" t="str">
        <f t="shared" si="17"/>
        <v>___</v>
      </c>
      <c r="AB2150" s="3" t="str">
        <f t="shared" si="16"/>
        <v>____</v>
      </c>
    </row>
    <row r="2151" spans="1:28" ht="14">
      <c r="A2151" s="23"/>
      <c r="B2151" s="23"/>
      <c r="C2151" s="23"/>
      <c r="D2151" s="23"/>
      <c r="E2151" s="23"/>
      <c r="F2151" s="23"/>
      <c r="G2151" s="23"/>
      <c r="H2151" s="23"/>
      <c r="I2151" s="22"/>
      <c r="J2151" s="23"/>
      <c r="K2151" s="23"/>
      <c r="L2151" s="23"/>
      <c r="M2151" s="23"/>
      <c r="N2151" s="22"/>
      <c r="O2151" s="22"/>
      <c r="P2151" s="22"/>
      <c r="Q2151" s="23"/>
      <c r="R2151" s="22"/>
      <c r="S2151" s="23"/>
      <c r="Y2151" s="23"/>
      <c r="Z2151" s="23"/>
      <c r="AA2151" s="3" t="str">
        <f t="shared" si="17"/>
        <v>___</v>
      </c>
      <c r="AB2151" s="3" t="str">
        <f t="shared" si="16"/>
        <v>____</v>
      </c>
    </row>
    <row r="2152" spans="1:28" ht="14">
      <c r="A2152" s="23"/>
      <c r="B2152" s="23"/>
      <c r="C2152" s="23"/>
      <c r="D2152" s="23"/>
      <c r="E2152" s="23"/>
      <c r="F2152" s="23"/>
      <c r="G2152" s="23"/>
      <c r="H2152" s="23"/>
      <c r="I2152" s="22"/>
      <c r="J2152" s="23"/>
      <c r="K2152" s="23"/>
      <c r="L2152" s="23"/>
      <c r="M2152" s="23"/>
      <c r="N2152" s="22"/>
      <c r="O2152" s="22"/>
      <c r="P2152" s="22"/>
      <c r="Q2152" s="23"/>
      <c r="R2152" s="22"/>
      <c r="S2152" s="23"/>
      <c r="Y2152" s="23"/>
      <c r="Z2152" s="23"/>
      <c r="AA2152" s="3" t="str">
        <f t="shared" si="17"/>
        <v>___</v>
      </c>
      <c r="AB2152" s="3" t="str">
        <f t="shared" si="16"/>
        <v>____</v>
      </c>
    </row>
    <row r="2153" spans="1:28" ht="14">
      <c r="A2153" s="23"/>
      <c r="B2153" s="23"/>
      <c r="C2153" s="23"/>
      <c r="D2153" s="23"/>
      <c r="E2153" s="23"/>
      <c r="F2153" s="23"/>
      <c r="G2153" s="23"/>
      <c r="H2153" s="23"/>
      <c r="I2153" s="22"/>
      <c r="J2153" s="23"/>
      <c r="K2153" s="23"/>
      <c r="L2153" s="23"/>
      <c r="M2153" s="23"/>
      <c r="N2153" s="22"/>
      <c r="O2153" s="22"/>
      <c r="P2153" s="22"/>
      <c r="Q2153" s="23"/>
      <c r="R2153" s="22"/>
      <c r="S2153" s="23"/>
      <c r="Y2153" s="23"/>
      <c r="Z2153" s="23"/>
      <c r="AA2153" s="3" t="str">
        <f t="shared" si="17"/>
        <v>___</v>
      </c>
      <c r="AB2153" s="3" t="str">
        <f t="shared" si="16"/>
        <v>____</v>
      </c>
    </row>
    <row r="2154" spans="1:28" ht="14">
      <c r="A2154" s="23"/>
      <c r="B2154" s="23"/>
      <c r="C2154" s="23"/>
      <c r="D2154" s="23"/>
      <c r="E2154" s="23"/>
      <c r="F2154" s="23"/>
      <c r="G2154" s="23"/>
      <c r="H2154" s="23"/>
      <c r="I2154" s="22"/>
      <c r="J2154" s="23"/>
      <c r="K2154" s="23"/>
      <c r="L2154" s="23"/>
      <c r="M2154" s="23"/>
      <c r="N2154" s="22"/>
      <c r="O2154" s="22"/>
      <c r="P2154" s="22"/>
      <c r="Q2154" s="23"/>
      <c r="R2154" s="22"/>
      <c r="S2154" s="23"/>
      <c r="Y2154" s="23"/>
      <c r="Z2154" s="23"/>
      <c r="AA2154" s="3" t="str">
        <f t="shared" si="17"/>
        <v>___</v>
      </c>
      <c r="AB2154" s="3" t="str">
        <f t="shared" si="16"/>
        <v>____</v>
      </c>
    </row>
    <row r="2155" spans="1:28" ht="14">
      <c r="A2155" s="23"/>
      <c r="B2155" s="23"/>
      <c r="C2155" s="23"/>
      <c r="D2155" s="23"/>
      <c r="E2155" s="23"/>
      <c r="F2155" s="23"/>
      <c r="G2155" s="23"/>
      <c r="H2155" s="23"/>
      <c r="I2155" s="22"/>
      <c r="J2155" s="23"/>
      <c r="K2155" s="23"/>
      <c r="L2155" s="23"/>
      <c r="M2155" s="23"/>
      <c r="N2155" s="22"/>
      <c r="O2155" s="22"/>
      <c r="P2155" s="22"/>
      <c r="Q2155" s="23"/>
      <c r="R2155" s="22"/>
      <c r="S2155" s="23"/>
      <c r="Y2155" s="23"/>
      <c r="Z2155" s="23"/>
      <c r="AA2155" s="3" t="str">
        <f t="shared" si="17"/>
        <v>___</v>
      </c>
      <c r="AB2155" s="3" t="str">
        <f t="shared" si="16"/>
        <v>____</v>
      </c>
    </row>
    <row r="2156" spans="1:28" ht="14">
      <c r="A2156" s="23"/>
      <c r="B2156" s="23"/>
      <c r="C2156" s="23"/>
      <c r="D2156" s="23"/>
      <c r="E2156" s="23"/>
      <c r="F2156" s="23"/>
      <c r="G2156" s="23"/>
      <c r="H2156" s="23"/>
      <c r="I2156" s="22"/>
      <c r="J2156" s="23"/>
      <c r="K2156" s="23"/>
      <c r="L2156" s="23"/>
      <c r="M2156" s="23"/>
      <c r="N2156" s="22"/>
      <c r="O2156" s="22"/>
      <c r="P2156" s="22"/>
      <c r="Q2156" s="23"/>
      <c r="R2156" s="22"/>
      <c r="S2156" s="23"/>
      <c r="Y2156" s="23"/>
      <c r="Z2156" s="23"/>
      <c r="AA2156" s="3" t="str">
        <f t="shared" si="17"/>
        <v>___</v>
      </c>
      <c r="AB2156" s="3" t="str">
        <f t="shared" si="16"/>
        <v>____</v>
      </c>
    </row>
    <row r="2157" spans="1:28" ht="14">
      <c r="A2157" s="23"/>
      <c r="B2157" s="23"/>
      <c r="C2157" s="23"/>
      <c r="D2157" s="23"/>
      <c r="E2157" s="23"/>
      <c r="F2157" s="23"/>
      <c r="G2157" s="23"/>
      <c r="H2157" s="23"/>
      <c r="I2157" s="22"/>
      <c r="J2157" s="23"/>
      <c r="K2157" s="23"/>
      <c r="L2157" s="23"/>
      <c r="M2157" s="23"/>
      <c r="N2157" s="22"/>
      <c r="O2157" s="22"/>
      <c r="P2157" s="22"/>
      <c r="Q2157" s="23"/>
      <c r="R2157" s="22"/>
      <c r="S2157" s="23"/>
      <c r="Y2157" s="23"/>
      <c r="Z2157" s="23"/>
      <c r="AA2157" s="3" t="str">
        <f t="shared" si="17"/>
        <v>___</v>
      </c>
      <c r="AB2157" s="3" t="str">
        <f t="shared" si="16"/>
        <v>____</v>
      </c>
    </row>
    <row r="2158" spans="1:28" ht="14">
      <c r="A2158" s="23"/>
      <c r="B2158" s="23"/>
      <c r="C2158" s="23"/>
      <c r="D2158" s="23"/>
      <c r="E2158" s="23"/>
      <c r="F2158" s="23"/>
      <c r="G2158" s="23"/>
      <c r="H2158" s="23"/>
      <c r="I2158" s="22"/>
      <c r="J2158" s="23"/>
      <c r="K2158" s="23"/>
      <c r="L2158" s="23"/>
      <c r="M2158" s="23"/>
      <c r="N2158" s="22"/>
      <c r="O2158" s="22"/>
      <c r="P2158" s="22"/>
      <c r="Q2158" s="23"/>
      <c r="R2158" s="22"/>
      <c r="S2158" s="23"/>
      <c r="Y2158" s="23"/>
      <c r="Z2158" s="23"/>
      <c r="AA2158" s="3" t="str">
        <f t="shared" si="17"/>
        <v>___</v>
      </c>
      <c r="AB2158" s="3" t="str">
        <f t="shared" si="16"/>
        <v>____</v>
      </c>
    </row>
    <row r="2159" spans="1:28" ht="14">
      <c r="A2159" s="23"/>
      <c r="B2159" s="23"/>
      <c r="C2159" s="23"/>
      <c r="D2159" s="23"/>
      <c r="E2159" s="23"/>
      <c r="F2159" s="23"/>
      <c r="G2159" s="23"/>
      <c r="H2159" s="23"/>
      <c r="I2159" s="22"/>
      <c r="J2159" s="23"/>
      <c r="K2159" s="23"/>
      <c r="L2159" s="23"/>
      <c r="M2159" s="23"/>
      <c r="N2159" s="22"/>
      <c r="O2159" s="22"/>
      <c r="P2159" s="22"/>
      <c r="Q2159" s="23"/>
      <c r="R2159" s="22"/>
      <c r="S2159" s="23"/>
      <c r="Y2159" s="23"/>
      <c r="Z2159" s="23"/>
      <c r="AA2159" s="3" t="str">
        <f t="shared" si="17"/>
        <v>___</v>
      </c>
      <c r="AB2159" s="3" t="str">
        <f t="shared" si="16"/>
        <v>____</v>
      </c>
    </row>
    <row r="2160" spans="1:28" ht="14">
      <c r="A2160" s="23"/>
      <c r="B2160" s="23"/>
      <c r="C2160" s="23"/>
      <c r="D2160" s="23"/>
      <c r="E2160" s="23"/>
      <c r="F2160" s="23"/>
      <c r="G2160" s="23"/>
      <c r="H2160" s="23"/>
      <c r="I2160" s="22"/>
      <c r="J2160" s="23"/>
      <c r="K2160" s="23"/>
      <c r="L2160" s="23"/>
      <c r="M2160" s="23"/>
      <c r="N2160" s="22"/>
      <c r="O2160" s="22"/>
      <c r="P2160" s="22"/>
      <c r="Q2160" s="23"/>
      <c r="R2160" s="22"/>
      <c r="S2160" s="23"/>
      <c r="Y2160" s="23"/>
      <c r="Z2160" s="23"/>
      <c r="AA2160" s="3" t="str">
        <f t="shared" si="17"/>
        <v>___</v>
      </c>
      <c r="AB2160" s="3" t="str">
        <f t="shared" si="16"/>
        <v>____</v>
      </c>
    </row>
    <row r="2161" spans="1:28" ht="14">
      <c r="A2161" s="23"/>
      <c r="B2161" s="23"/>
      <c r="C2161" s="23"/>
      <c r="D2161" s="23"/>
      <c r="E2161" s="23"/>
      <c r="F2161" s="23"/>
      <c r="G2161" s="23"/>
      <c r="H2161" s="23"/>
      <c r="I2161" s="22"/>
      <c r="J2161" s="23"/>
      <c r="K2161" s="23"/>
      <c r="L2161" s="23"/>
      <c r="M2161" s="23"/>
      <c r="N2161" s="22"/>
      <c r="O2161" s="22"/>
      <c r="P2161" s="22"/>
      <c r="Q2161" s="23"/>
      <c r="R2161" s="22"/>
      <c r="S2161" s="23"/>
      <c r="Y2161" s="23"/>
      <c r="Z2161" s="23"/>
      <c r="AA2161" s="3" t="str">
        <f t="shared" si="17"/>
        <v>___</v>
      </c>
      <c r="AB2161" s="3" t="str">
        <f t="shared" si="16"/>
        <v>____</v>
      </c>
    </row>
    <row r="2162" spans="1:28" ht="14">
      <c r="A2162" s="23"/>
      <c r="B2162" s="23"/>
      <c r="C2162" s="23"/>
      <c r="D2162" s="23"/>
      <c r="E2162" s="23"/>
      <c r="F2162" s="23"/>
      <c r="G2162" s="23"/>
      <c r="H2162" s="23"/>
      <c r="I2162" s="22"/>
      <c r="J2162" s="23"/>
      <c r="K2162" s="23"/>
      <c r="L2162" s="23"/>
      <c r="M2162" s="23"/>
      <c r="N2162" s="22"/>
      <c r="O2162" s="22"/>
      <c r="P2162" s="22"/>
      <c r="Q2162" s="23"/>
      <c r="R2162" s="22"/>
      <c r="S2162" s="23"/>
      <c r="Y2162" s="23"/>
      <c r="Z2162" s="23"/>
      <c r="AA2162" s="3" t="str">
        <f t="shared" si="17"/>
        <v>___</v>
      </c>
      <c r="AB2162" s="3" t="str">
        <f t="shared" si="16"/>
        <v>____</v>
      </c>
    </row>
    <row r="2163" spans="1:28" ht="14">
      <c r="A2163" s="23"/>
      <c r="B2163" s="23"/>
      <c r="C2163" s="23"/>
      <c r="D2163" s="23"/>
      <c r="E2163" s="23"/>
      <c r="F2163" s="23"/>
      <c r="G2163" s="23"/>
      <c r="H2163" s="23"/>
      <c r="I2163" s="22"/>
      <c r="J2163" s="23"/>
      <c r="K2163" s="23"/>
      <c r="L2163" s="23"/>
      <c r="M2163" s="23"/>
      <c r="N2163" s="22"/>
      <c r="O2163" s="22"/>
      <c r="P2163" s="22"/>
      <c r="Q2163" s="23"/>
      <c r="R2163" s="22"/>
      <c r="S2163" s="23"/>
      <c r="Y2163" s="23"/>
      <c r="Z2163" s="23"/>
      <c r="AA2163" s="3" t="str">
        <f t="shared" si="17"/>
        <v>___</v>
      </c>
      <c r="AB2163" s="3" t="str">
        <f t="shared" si="16"/>
        <v>____</v>
      </c>
    </row>
    <row r="2164" spans="1:28" ht="14">
      <c r="A2164" s="23"/>
      <c r="B2164" s="23"/>
      <c r="C2164" s="23"/>
      <c r="D2164" s="23"/>
      <c r="E2164" s="23"/>
      <c r="F2164" s="23"/>
      <c r="G2164" s="23"/>
      <c r="H2164" s="23"/>
      <c r="I2164" s="22"/>
      <c r="J2164" s="23"/>
      <c r="K2164" s="23"/>
      <c r="L2164" s="23"/>
      <c r="M2164" s="23"/>
      <c r="N2164" s="22"/>
      <c r="O2164" s="22"/>
      <c r="P2164" s="22"/>
      <c r="Q2164" s="23"/>
      <c r="R2164" s="22"/>
      <c r="S2164" s="23"/>
      <c r="Y2164" s="23"/>
      <c r="Z2164" s="23"/>
      <c r="AA2164" s="3" t="str">
        <f t="shared" si="17"/>
        <v>___</v>
      </c>
      <c r="AB2164" s="3" t="str">
        <f t="shared" si="16"/>
        <v>____</v>
      </c>
    </row>
    <row r="2165" spans="1:28" ht="14">
      <c r="A2165" s="23"/>
      <c r="B2165" s="23"/>
      <c r="C2165" s="23"/>
      <c r="D2165" s="23"/>
      <c r="E2165" s="23"/>
      <c r="F2165" s="23"/>
      <c r="G2165" s="23"/>
      <c r="H2165" s="23"/>
      <c r="I2165" s="22"/>
      <c r="J2165" s="23"/>
      <c r="K2165" s="23"/>
      <c r="L2165" s="23"/>
      <c r="M2165" s="23"/>
      <c r="N2165" s="22"/>
      <c r="O2165" s="22"/>
      <c r="P2165" s="22"/>
      <c r="Q2165" s="23"/>
      <c r="R2165" s="22"/>
      <c r="S2165" s="23"/>
      <c r="Y2165" s="23"/>
      <c r="Z2165" s="23"/>
      <c r="AA2165" s="3" t="str">
        <f t="shared" si="17"/>
        <v>___</v>
      </c>
      <c r="AB2165" s="3" t="str">
        <f t="shared" si="16"/>
        <v>____</v>
      </c>
    </row>
    <row r="2166" spans="1:28" ht="14">
      <c r="A2166" s="23"/>
      <c r="B2166" s="23"/>
      <c r="C2166" s="23"/>
      <c r="D2166" s="23"/>
      <c r="E2166" s="23"/>
      <c r="F2166" s="23"/>
      <c r="G2166" s="23"/>
      <c r="H2166" s="23"/>
      <c r="I2166" s="22"/>
      <c r="J2166" s="23"/>
      <c r="K2166" s="23"/>
      <c r="L2166" s="23"/>
      <c r="M2166" s="23"/>
      <c r="N2166" s="22"/>
      <c r="O2166" s="22"/>
      <c r="P2166" s="22"/>
      <c r="Q2166" s="23"/>
      <c r="R2166" s="22"/>
      <c r="S2166" s="23"/>
      <c r="Y2166" s="23"/>
      <c r="Z2166" s="23"/>
      <c r="AA2166" s="3" t="str">
        <f t="shared" si="17"/>
        <v>___</v>
      </c>
      <c r="AB2166" s="3" t="str">
        <f t="shared" si="16"/>
        <v>____</v>
      </c>
    </row>
    <row r="2167" spans="1:28" ht="14">
      <c r="A2167" s="23"/>
      <c r="B2167" s="23"/>
      <c r="C2167" s="23"/>
      <c r="D2167" s="23"/>
      <c r="E2167" s="23"/>
      <c r="F2167" s="23"/>
      <c r="G2167" s="23"/>
      <c r="H2167" s="23"/>
      <c r="I2167" s="22"/>
      <c r="J2167" s="23"/>
      <c r="K2167" s="23"/>
      <c r="L2167" s="23"/>
      <c r="M2167" s="23"/>
      <c r="N2167" s="22"/>
      <c r="O2167" s="22"/>
      <c r="P2167" s="22"/>
      <c r="Q2167" s="23"/>
      <c r="R2167" s="22"/>
      <c r="S2167" s="23"/>
      <c r="Y2167" s="23"/>
      <c r="Z2167" s="23"/>
      <c r="AA2167" s="3" t="str">
        <f t="shared" si="17"/>
        <v>___</v>
      </c>
      <c r="AB2167" s="3" t="str">
        <f t="shared" si="16"/>
        <v>____</v>
      </c>
    </row>
    <row r="2168" spans="1:28" ht="14">
      <c r="A2168" s="23"/>
      <c r="B2168" s="23"/>
      <c r="C2168" s="23"/>
      <c r="D2168" s="23"/>
      <c r="E2168" s="23"/>
      <c r="F2168" s="23"/>
      <c r="G2168" s="23"/>
      <c r="H2168" s="23"/>
      <c r="I2168" s="22"/>
      <c r="J2168" s="23"/>
      <c r="K2168" s="23"/>
      <c r="L2168" s="23"/>
      <c r="M2168" s="23"/>
      <c r="N2168" s="22"/>
      <c r="O2168" s="22"/>
      <c r="P2168" s="22"/>
      <c r="Q2168" s="23"/>
      <c r="R2168" s="22"/>
      <c r="S2168" s="23"/>
      <c r="Y2168" s="23"/>
      <c r="Z2168" s="23"/>
      <c r="AA2168" s="3" t="str">
        <f t="shared" si="17"/>
        <v>___</v>
      </c>
      <c r="AB2168" s="3" t="str">
        <f t="shared" si="16"/>
        <v>____</v>
      </c>
    </row>
    <row r="2169" spans="1:28" ht="14">
      <c r="A2169" s="23"/>
      <c r="B2169" s="23"/>
      <c r="C2169" s="23"/>
      <c r="D2169" s="23"/>
      <c r="E2169" s="23"/>
      <c r="F2169" s="23"/>
      <c r="G2169" s="23"/>
      <c r="H2169" s="23"/>
      <c r="I2169" s="22"/>
      <c r="J2169" s="23"/>
      <c r="K2169" s="23"/>
      <c r="L2169" s="23"/>
      <c r="M2169" s="23"/>
      <c r="N2169" s="22"/>
      <c r="O2169" s="22"/>
      <c r="P2169" s="22"/>
      <c r="Q2169" s="23"/>
      <c r="R2169" s="22"/>
      <c r="S2169" s="23"/>
      <c r="Y2169" s="23"/>
      <c r="Z2169" s="23"/>
      <c r="AA2169" s="3" t="str">
        <f t="shared" si="17"/>
        <v>___</v>
      </c>
      <c r="AB2169" s="3" t="str">
        <f t="shared" si="16"/>
        <v>____</v>
      </c>
    </row>
    <row r="2170" spans="1:28" ht="14">
      <c r="A2170" s="23"/>
      <c r="B2170" s="23"/>
      <c r="C2170" s="23"/>
      <c r="D2170" s="23"/>
      <c r="E2170" s="23"/>
      <c r="F2170" s="23"/>
      <c r="G2170" s="23"/>
      <c r="H2170" s="23"/>
      <c r="I2170" s="22"/>
      <c r="J2170" s="23"/>
      <c r="K2170" s="23"/>
      <c r="L2170" s="23"/>
      <c r="M2170" s="23"/>
      <c r="N2170" s="22"/>
      <c r="O2170" s="22"/>
      <c r="P2170" s="22"/>
      <c r="Q2170" s="23"/>
      <c r="R2170" s="22"/>
      <c r="S2170" s="23"/>
      <c r="Y2170" s="23"/>
      <c r="Z2170" s="23"/>
      <c r="AA2170" s="3" t="str">
        <f t="shared" si="17"/>
        <v>___</v>
      </c>
      <c r="AB2170" s="3" t="str">
        <f t="shared" si="16"/>
        <v>____</v>
      </c>
    </row>
    <row r="2171" spans="1:28" ht="14">
      <c r="A2171" s="23"/>
      <c r="B2171" s="23"/>
      <c r="C2171" s="23"/>
      <c r="D2171" s="23"/>
      <c r="E2171" s="23"/>
      <c r="F2171" s="23"/>
      <c r="G2171" s="23"/>
      <c r="H2171" s="23"/>
      <c r="I2171" s="22"/>
      <c r="J2171" s="23"/>
      <c r="K2171" s="23"/>
      <c r="L2171" s="23"/>
      <c r="M2171" s="23"/>
      <c r="N2171" s="22"/>
      <c r="O2171" s="22"/>
      <c r="P2171" s="22"/>
      <c r="Q2171" s="23"/>
      <c r="R2171" s="22"/>
      <c r="S2171" s="23"/>
      <c r="Y2171" s="23"/>
      <c r="Z2171" s="23"/>
      <c r="AA2171" s="3" t="str">
        <f t="shared" si="17"/>
        <v>___</v>
      </c>
      <c r="AB2171" s="3" t="str">
        <f t="shared" si="16"/>
        <v>____</v>
      </c>
    </row>
    <row r="2172" spans="1:28" ht="14">
      <c r="A2172" s="23"/>
      <c r="B2172" s="23"/>
      <c r="C2172" s="23"/>
      <c r="D2172" s="23"/>
      <c r="E2172" s="23"/>
      <c r="F2172" s="23"/>
      <c r="G2172" s="23"/>
      <c r="H2172" s="23"/>
      <c r="I2172" s="22"/>
      <c r="J2172" s="23"/>
      <c r="K2172" s="23"/>
      <c r="L2172" s="23"/>
      <c r="M2172" s="23"/>
      <c r="N2172" s="22"/>
      <c r="O2172" s="22"/>
      <c r="P2172" s="22"/>
      <c r="Q2172" s="23"/>
      <c r="R2172" s="22"/>
      <c r="S2172" s="23"/>
      <c r="Y2172" s="23"/>
      <c r="Z2172" s="23"/>
      <c r="AA2172" s="3" t="str">
        <f t="shared" si="17"/>
        <v>___</v>
      </c>
      <c r="AB2172" s="3" t="str">
        <f t="shared" si="16"/>
        <v>____</v>
      </c>
    </row>
    <row r="2173" spans="1:28" ht="14">
      <c r="A2173" s="23"/>
      <c r="B2173" s="23"/>
      <c r="C2173" s="23"/>
      <c r="D2173" s="23"/>
      <c r="E2173" s="23"/>
      <c r="F2173" s="23"/>
      <c r="G2173" s="23"/>
      <c r="H2173" s="23"/>
      <c r="I2173" s="22"/>
      <c r="J2173" s="23"/>
      <c r="K2173" s="23"/>
      <c r="L2173" s="23"/>
      <c r="M2173" s="23"/>
      <c r="N2173" s="22"/>
      <c r="O2173" s="22"/>
      <c r="P2173" s="22"/>
      <c r="Q2173" s="23"/>
      <c r="R2173" s="22"/>
      <c r="S2173" s="23"/>
      <c r="Y2173" s="23"/>
      <c r="Z2173" s="23"/>
      <c r="AA2173" s="3" t="str">
        <f t="shared" si="17"/>
        <v>___</v>
      </c>
      <c r="AB2173" s="3" t="str">
        <f t="shared" si="16"/>
        <v>____</v>
      </c>
    </row>
    <row r="2174" spans="1:28" ht="14">
      <c r="A2174" s="23"/>
      <c r="B2174" s="23"/>
      <c r="C2174" s="23"/>
      <c r="D2174" s="23"/>
      <c r="E2174" s="23"/>
      <c r="F2174" s="23"/>
      <c r="G2174" s="23"/>
      <c r="H2174" s="23"/>
      <c r="I2174" s="22"/>
      <c r="J2174" s="23"/>
      <c r="K2174" s="23"/>
      <c r="L2174" s="23"/>
      <c r="M2174" s="23"/>
      <c r="N2174" s="22"/>
      <c r="O2174" s="22"/>
      <c r="P2174" s="22"/>
      <c r="Q2174" s="23"/>
      <c r="R2174" s="22"/>
      <c r="S2174" s="23"/>
      <c r="Y2174" s="23"/>
      <c r="Z2174" s="23"/>
      <c r="AA2174" s="3" t="str">
        <f t="shared" si="17"/>
        <v>___</v>
      </c>
      <c r="AB2174" s="3" t="str">
        <f t="shared" si="16"/>
        <v>____</v>
      </c>
    </row>
    <row r="2175" spans="1:28" ht="14">
      <c r="A2175" s="23"/>
      <c r="B2175" s="23"/>
      <c r="C2175" s="23"/>
      <c r="D2175" s="23"/>
      <c r="E2175" s="23"/>
      <c r="F2175" s="23"/>
      <c r="G2175" s="23"/>
      <c r="H2175" s="23"/>
      <c r="I2175" s="22"/>
      <c r="J2175" s="23"/>
      <c r="K2175" s="23"/>
      <c r="L2175" s="23"/>
      <c r="M2175" s="23"/>
      <c r="N2175" s="22"/>
      <c r="O2175" s="22"/>
      <c r="P2175" s="22"/>
      <c r="Q2175" s="23"/>
      <c r="R2175" s="22"/>
      <c r="S2175" s="23"/>
      <c r="Y2175" s="23"/>
      <c r="Z2175" s="23"/>
      <c r="AA2175" s="3" t="str">
        <f t="shared" si="17"/>
        <v>___</v>
      </c>
      <c r="AB2175" s="3" t="str">
        <f t="shared" si="16"/>
        <v>____</v>
      </c>
    </row>
    <row r="2176" spans="1:28" ht="14">
      <c r="A2176" s="23"/>
      <c r="B2176" s="23"/>
      <c r="C2176" s="23"/>
      <c r="D2176" s="23"/>
      <c r="E2176" s="23"/>
      <c r="F2176" s="23"/>
      <c r="G2176" s="23"/>
      <c r="H2176" s="23"/>
      <c r="I2176" s="22"/>
      <c r="J2176" s="23"/>
      <c r="K2176" s="23"/>
      <c r="L2176" s="23"/>
      <c r="M2176" s="23"/>
      <c r="N2176" s="22"/>
      <c r="O2176" s="22"/>
      <c r="P2176" s="22"/>
      <c r="Q2176" s="23"/>
      <c r="R2176" s="22"/>
      <c r="S2176" s="23"/>
      <c r="Y2176" s="23"/>
      <c r="Z2176" s="23"/>
      <c r="AA2176" s="3" t="str">
        <f t="shared" si="17"/>
        <v>___</v>
      </c>
      <c r="AB2176" s="3" t="str">
        <f t="shared" si="16"/>
        <v>____</v>
      </c>
    </row>
    <row r="2177" spans="1:28" ht="14">
      <c r="A2177" s="23"/>
      <c r="B2177" s="23"/>
      <c r="C2177" s="23"/>
      <c r="D2177" s="23"/>
      <c r="E2177" s="23"/>
      <c r="F2177" s="23"/>
      <c r="G2177" s="23"/>
      <c r="H2177" s="23"/>
      <c r="I2177" s="22"/>
      <c r="J2177" s="23"/>
      <c r="K2177" s="23"/>
      <c r="L2177" s="23"/>
      <c r="M2177" s="23"/>
      <c r="N2177" s="22"/>
      <c r="O2177" s="22"/>
      <c r="P2177" s="22"/>
      <c r="Q2177" s="23"/>
      <c r="R2177" s="22"/>
      <c r="S2177" s="23"/>
      <c r="Y2177" s="23"/>
      <c r="Z2177" s="23"/>
      <c r="AA2177" s="3" t="str">
        <f t="shared" si="17"/>
        <v>___</v>
      </c>
      <c r="AB2177" s="3" t="str">
        <f t="shared" si="16"/>
        <v>____</v>
      </c>
    </row>
    <row r="2178" spans="1:28" ht="14">
      <c r="A2178" s="23"/>
      <c r="B2178" s="23"/>
      <c r="C2178" s="23"/>
      <c r="D2178" s="23"/>
      <c r="E2178" s="23"/>
      <c r="F2178" s="23"/>
      <c r="G2178" s="23"/>
      <c r="H2178" s="23"/>
      <c r="I2178" s="22"/>
      <c r="J2178" s="23"/>
      <c r="K2178" s="23"/>
      <c r="L2178" s="23"/>
      <c r="M2178" s="23"/>
      <c r="N2178" s="22"/>
      <c r="O2178" s="22"/>
      <c r="P2178" s="22"/>
      <c r="Q2178" s="23"/>
      <c r="R2178" s="22"/>
      <c r="S2178" s="23"/>
      <c r="Y2178" s="23"/>
      <c r="Z2178" s="23"/>
      <c r="AA2178" s="3" t="str">
        <f t="shared" si="17"/>
        <v>___</v>
      </c>
      <c r="AB2178" s="3" t="str">
        <f t="shared" si="16"/>
        <v>____</v>
      </c>
    </row>
    <row r="2179" spans="1:28" ht="14">
      <c r="A2179" s="23"/>
      <c r="B2179" s="23"/>
      <c r="C2179" s="23"/>
      <c r="D2179" s="23"/>
      <c r="E2179" s="23"/>
      <c r="F2179" s="23"/>
      <c r="G2179" s="23"/>
      <c r="H2179" s="23"/>
      <c r="I2179" s="22"/>
      <c r="J2179" s="23"/>
      <c r="K2179" s="23"/>
      <c r="L2179" s="23"/>
      <c r="M2179" s="23"/>
      <c r="N2179" s="22"/>
      <c r="O2179" s="22"/>
      <c r="P2179" s="22"/>
      <c r="Q2179" s="23"/>
      <c r="R2179" s="22"/>
      <c r="S2179" s="23"/>
      <c r="Y2179" s="23"/>
      <c r="Z2179" s="23"/>
      <c r="AA2179" s="3" t="str">
        <f t="shared" si="17"/>
        <v>___</v>
      </c>
      <c r="AB2179" s="3" t="str">
        <f t="shared" si="16"/>
        <v>____</v>
      </c>
    </row>
    <row r="2180" spans="1:28" ht="14">
      <c r="A2180" s="23"/>
      <c r="B2180" s="23"/>
      <c r="C2180" s="23"/>
      <c r="D2180" s="23"/>
      <c r="E2180" s="23"/>
      <c r="F2180" s="23"/>
      <c r="G2180" s="23"/>
      <c r="H2180" s="23"/>
      <c r="I2180" s="22"/>
      <c r="J2180" s="23"/>
      <c r="K2180" s="23"/>
      <c r="L2180" s="23"/>
      <c r="M2180" s="23"/>
      <c r="N2180" s="22"/>
      <c r="O2180" s="22"/>
      <c r="P2180" s="22"/>
      <c r="Q2180" s="23"/>
      <c r="R2180" s="22"/>
      <c r="S2180" s="23"/>
      <c r="Y2180" s="23"/>
      <c r="Z2180" s="23"/>
      <c r="AA2180" s="3" t="str">
        <f t="shared" si="17"/>
        <v>___</v>
      </c>
      <c r="AB2180" s="3" t="str">
        <f t="shared" si="16"/>
        <v>____</v>
      </c>
    </row>
    <row r="2181" spans="1:28" ht="14">
      <c r="A2181" s="23"/>
      <c r="B2181" s="23"/>
      <c r="C2181" s="23"/>
      <c r="D2181" s="23"/>
      <c r="E2181" s="23"/>
      <c r="F2181" s="23"/>
      <c r="G2181" s="23"/>
      <c r="H2181" s="23"/>
      <c r="I2181" s="22"/>
      <c r="J2181" s="23"/>
      <c r="K2181" s="23"/>
      <c r="L2181" s="23"/>
      <c r="M2181" s="23"/>
      <c r="N2181" s="22"/>
      <c r="O2181" s="22"/>
      <c r="P2181" s="22"/>
      <c r="Q2181" s="23"/>
      <c r="R2181" s="22"/>
      <c r="S2181" s="23"/>
      <c r="Y2181" s="23"/>
      <c r="Z2181" s="23"/>
      <c r="AA2181" s="3" t="str">
        <f t="shared" si="17"/>
        <v>___</v>
      </c>
      <c r="AB2181" s="3" t="str">
        <f t="shared" si="16"/>
        <v>____</v>
      </c>
    </row>
    <row r="2182" spans="1:28" ht="14">
      <c r="A2182" s="23"/>
      <c r="B2182" s="23"/>
      <c r="C2182" s="23"/>
      <c r="D2182" s="23"/>
      <c r="E2182" s="23"/>
      <c r="F2182" s="23"/>
      <c r="G2182" s="23"/>
      <c r="H2182" s="23"/>
      <c r="I2182" s="22"/>
      <c r="J2182" s="23"/>
      <c r="K2182" s="23"/>
      <c r="L2182" s="23"/>
      <c r="M2182" s="23"/>
      <c r="N2182" s="22"/>
      <c r="O2182" s="22"/>
      <c r="P2182" s="22"/>
      <c r="Q2182" s="23"/>
      <c r="R2182" s="22"/>
      <c r="S2182" s="23"/>
      <c r="Y2182" s="23"/>
      <c r="Z2182" s="23"/>
      <c r="AA2182" s="3" t="str">
        <f t="shared" si="17"/>
        <v>___</v>
      </c>
      <c r="AB2182" s="3" t="str">
        <f t="shared" si="16"/>
        <v>____</v>
      </c>
    </row>
    <row r="2183" spans="1:28" ht="14">
      <c r="A2183" s="23"/>
      <c r="B2183" s="23"/>
      <c r="C2183" s="23"/>
      <c r="D2183" s="23"/>
      <c r="E2183" s="23"/>
      <c r="F2183" s="23"/>
      <c r="G2183" s="23"/>
      <c r="H2183" s="23"/>
      <c r="I2183" s="22"/>
      <c r="J2183" s="23"/>
      <c r="K2183" s="23"/>
      <c r="L2183" s="23"/>
      <c r="M2183" s="23"/>
      <c r="N2183" s="22"/>
      <c r="O2183" s="22"/>
      <c r="P2183" s="22"/>
      <c r="Q2183" s="23"/>
      <c r="R2183" s="22"/>
      <c r="S2183" s="23"/>
      <c r="Y2183" s="23"/>
      <c r="Z2183" s="23"/>
      <c r="AA2183" s="3" t="str">
        <f t="shared" si="17"/>
        <v>___</v>
      </c>
      <c r="AB2183" s="3" t="str">
        <f t="shared" si="16"/>
        <v>____</v>
      </c>
    </row>
    <row r="2184" spans="1:28" ht="14">
      <c r="A2184" s="23"/>
      <c r="B2184" s="23"/>
      <c r="C2184" s="23"/>
      <c r="D2184" s="23"/>
      <c r="E2184" s="23"/>
      <c r="F2184" s="23"/>
      <c r="G2184" s="23"/>
      <c r="H2184" s="23"/>
      <c r="I2184" s="22"/>
      <c r="J2184" s="23"/>
      <c r="K2184" s="23"/>
      <c r="L2184" s="23"/>
      <c r="M2184" s="23"/>
      <c r="N2184" s="22"/>
      <c r="O2184" s="22"/>
      <c r="P2184" s="22"/>
      <c r="Q2184" s="23"/>
      <c r="R2184" s="22"/>
      <c r="S2184" s="23"/>
      <c r="Y2184" s="23"/>
      <c r="Z2184" s="23"/>
      <c r="AA2184" s="3" t="str">
        <f t="shared" si="17"/>
        <v>___</v>
      </c>
      <c r="AB2184" s="3" t="str">
        <f t="shared" si="16"/>
        <v>____</v>
      </c>
    </row>
    <row r="2185" spans="1:28" ht="14">
      <c r="A2185" s="23"/>
      <c r="B2185" s="23"/>
      <c r="C2185" s="23"/>
      <c r="D2185" s="23"/>
      <c r="E2185" s="23"/>
      <c r="F2185" s="23"/>
      <c r="G2185" s="23"/>
      <c r="H2185" s="23"/>
      <c r="I2185" s="22"/>
      <c r="J2185" s="23"/>
      <c r="K2185" s="23"/>
      <c r="L2185" s="23"/>
      <c r="M2185" s="23"/>
      <c r="N2185" s="22"/>
      <c r="O2185" s="22"/>
      <c r="P2185" s="22"/>
      <c r="Q2185" s="23"/>
      <c r="R2185" s="22"/>
      <c r="S2185" s="23"/>
      <c r="Y2185" s="23"/>
      <c r="Z2185" s="23"/>
      <c r="AA2185" s="3" t="str">
        <f t="shared" si="17"/>
        <v>___</v>
      </c>
      <c r="AB2185" s="3" t="str">
        <f t="shared" si="16"/>
        <v>____</v>
      </c>
    </row>
    <row r="2186" spans="1:28" ht="14">
      <c r="A2186" s="23"/>
      <c r="B2186" s="23"/>
      <c r="C2186" s="23"/>
      <c r="D2186" s="23"/>
      <c r="E2186" s="23"/>
      <c r="F2186" s="23"/>
      <c r="G2186" s="23"/>
      <c r="H2186" s="23"/>
      <c r="I2186" s="22"/>
      <c r="J2186" s="23"/>
      <c r="K2186" s="23"/>
      <c r="L2186" s="23"/>
      <c r="M2186" s="23"/>
      <c r="N2186" s="22"/>
      <c r="O2186" s="22"/>
      <c r="P2186" s="22"/>
      <c r="Q2186" s="23"/>
      <c r="R2186" s="22"/>
      <c r="S2186" s="23"/>
      <c r="Y2186" s="23"/>
      <c r="Z2186" s="23"/>
      <c r="AA2186" s="3" t="str">
        <f t="shared" si="17"/>
        <v>___</v>
      </c>
      <c r="AB2186" s="3" t="str">
        <f t="shared" si="16"/>
        <v>____</v>
      </c>
    </row>
    <row r="2187" spans="1:28" ht="14">
      <c r="A2187" s="23"/>
      <c r="B2187" s="23"/>
      <c r="C2187" s="23"/>
      <c r="D2187" s="23"/>
      <c r="E2187" s="23"/>
      <c r="F2187" s="23"/>
      <c r="G2187" s="23"/>
      <c r="H2187" s="23"/>
      <c r="I2187" s="22"/>
      <c r="J2187" s="23"/>
      <c r="K2187" s="23"/>
      <c r="L2187" s="23"/>
      <c r="M2187" s="23"/>
      <c r="N2187" s="22"/>
      <c r="O2187" s="22"/>
      <c r="P2187" s="22"/>
      <c r="Q2187" s="23"/>
      <c r="R2187" s="22"/>
      <c r="S2187" s="23"/>
      <c r="Y2187" s="23"/>
      <c r="Z2187" s="23"/>
      <c r="AA2187" s="3" t="str">
        <f t="shared" si="17"/>
        <v>___</v>
      </c>
      <c r="AB2187" s="3" t="str">
        <f t="shared" si="16"/>
        <v>____</v>
      </c>
    </row>
    <row r="2188" spans="1:28" ht="14">
      <c r="A2188" s="23"/>
      <c r="B2188" s="23"/>
      <c r="C2188" s="23"/>
      <c r="D2188" s="23"/>
      <c r="E2188" s="23"/>
      <c r="F2188" s="23"/>
      <c r="G2188" s="23"/>
      <c r="H2188" s="23"/>
      <c r="I2188" s="22"/>
      <c r="J2188" s="23"/>
      <c r="K2188" s="23"/>
      <c r="L2188" s="23"/>
      <c r="M2188" s="23"/>
      <c r="N2188" s="22"/>
      <c r="O2188" s="22"/>
      <c r="P2188" s="22"/>
      <c r="Q2188" s="23"/>
      <c r="R2188" s="22"/>
      <c r="S2188" s="23"/>
      <c r="Y2188" s="23"/>
      <c r="Z2188" s="23"/>
      <c r="AA2188" s="3" t="str">
        <f t="shared" si="17"/>
        <v>___</v>
      </c>
      <c r="AB2188" s="3" t="str">
        <f t="shared" si="16"/>
        <v>____</v>
      </c>
    </row>
    <row r="2189" spans="1:28" ht="14">
      <c r="A2189" s="23"/>
      <c r="B2189" s="23"/>
      <c r="C2189" s="23"/>
      <c r="D2189" s="23"/>
      <c r="E2189" s="23"/>
      <c r="F2189" s="23"/>
      <c r="G2189" s="23"/>
      <c r="H2189" s="23"/>
      <c r="I2189" s="22"/>
      <c r="J2189" s="23"/>
      <c r="K2189" s="23"/>
      <c r="L2189" s="23"/>
      <c r="M2189" s="23"/>
      <c r="N2189" s="22"/>
      <c r="O2189" s="22"/>
      <c r="P2189" s="22"/>
      <c r="Q2189" s="23"/>
      <c r="R2189" s="22"/>
      <c r="S2189" s="23"/>
      <c r="Y2189" s="23"/>
      <c r="Z2189" s="23"/>
      <c r="AA2189" s="3" t="str">
        <f t="shared" si="17"/>
        <v>___</v>
      </c>
      <c r="AB2189" s="3" t="str">
        <f t="shared" si="16"/>
        <v>____</v>
      </c>
    </row>
  </sheetData>
  <autoFilter ref="A1:AD2189" xr:uid="{00000000-0009-0000-0000-000002000000}"/>
  <conditionalFormatting sqref="AH1:AH2189">
    <cfRule type="notContainsBlanks" dxfId="0" priority="1">
      <formula>LEN(TRIM(AH1))&gt;0</formula>
    </cfRule>
  </conditionalFormatting>
  <dataValidations count="2">
    <dataValidation type="list" allowBlank="1" showErrorMessage="1" sqref="F2:F2189" xr:uid="{00000000-0002-0000-0200-000000000000}">
      <formula1>"open,forest"</formula1>
    </dataValidation>
    <dataValidation type="list" allowBlank="1" showErrorMessage="1" sqref="M2:M2189" xr:uid="{00000000-0002-0000-0200-000001000000}">
      <formula1>"S24,S23,S22"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Tabellenblatt2!$B$2:$B$3</xm:f>
          </x14:formula1>
          <xm:sqref>H2:H936 H938:H2189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G13"/>
  <sheetViews>
    <sheetView workbookViewId="0"/>
  </sheetViews>
  <sheetFormatPr defaultColWidth="12.6328125" defaultRowHeight="15.75" customHeight="1"/>
  <cols>
    <col min="2" max="2" width="45.26953125" customWidth="1"/>
    <col min="6" max="6" width="42.90625" customWidth="1"/>
  </cols>
  <sheetData>
    <row r="1" spans="2:7" ht="15.75" customHeight="1">
      <c r="B1" s="3" t="s">
        <v>351</v>
      </c>
      <c r="C1" s="3" t="s">
        <v>352</v>
      </c>
      <c r="D1" s="3" t="s">
        <v>353</v>
      </c>
      <c r="E1" s="3" t="s">
        <v>354</v>
      </c>
      <c r="F1" s="3" t="s">
        <v>355</v>
      </c>
      <c r="G1" s="3" t="s">
        <v>356</v>
      </c>
    </row>
    <row r="2" spans="2:7" ht="15.75" customHeight="1">
      <c r="B2" s="3" t="s">
        <v>357</v>
      </c>
      <c r="C2" s="3" t="s">
        <v>358</v>
      </c>
      <c r="D2" s="3" t="s">
        <v>359</v>
      </c>
      <c r="E2" s="3" t="s">
        <v>359</v>
      </c>
      <c r="F2" s="3" t="s">
        <v>360</v>
      </c>
    </row>
    <row r="3" spans="2:7" ht="15.75" customHeight="1">
      <c r="B3" s="3" t="s">
        <v>361</v>
      </c>
      <c r="C3" s="3" t="s">
        <v>362</v>
      </c>
      <c r="D3" s="3" t="s">
        <v>359</v>
      </c>
      <c r="E3" s="3" t="s">
        <v>359</v>
      </c>
      <c r="F3" s="3" t="s">
        <v>363</v>
      </c>
    </row>
    <row r="4" spans="2:7" ht="15.75" customHeight="1">
      <c r="B4" s="3" t="s">
        <v>364</v>
      </c>
      <c r="C4" s="3" t="s">
        <v>163</v>
      </c>
      <c r="D4" s="3" t="s">
        <v>365</v>
      </c>
      <c r="E4" s="3" t="s">
        <v>366</v>
      </c>
      <c r="F4" s="3" t="s">
        <v>367</v>
      </c>
    </row>
    <row r="5" spans="2:7" ht="15.75" customHeight="1">
      <c r="B5" s="3" t="s">
        <v>368</v>
      </c>
      <c r="C5" s="3"/>
      <c r="D5" s="3"/>
      <c r="E5" s="3"/>
      <c r="F5" s="3" t="s">
        <v>369</v>
      </c>
    </row>
    <row r="6" spans="2:7" ht="15.75" customHeight="1">
      <c r="B6" s="3" t="s">
        <v>370</v>
      </c>
      <c r="C6" s="3" t="s">
        <v>81</v>
      </c>
      <c r="D6" s="3" t="s">
        <v>371</v>
      </c>
      <c r="E6" s="3" t="s">
        <v>371</v>
      </c>
      <c r="F6" s="3" t="s">
        <v>372</v>
      </c>
    </row>
    <row r="7" spans="2:7" ht="15.75" customHeight="1">
      <c r="B7" s="3" t="s">
        <v>373</v>
      </c>
      <c r="C7" s="3" t="s">
        <v>81</v>
      </c>
      <c r="D7" s="3" t="s">
        <v>374</v>
      </c>
      <c r="E7" s="3" t="s">
        <v>374</v>
      </c>
    </row>
    <row r="8" spans="2:7" ht="15.75" customHeight="1">
      <c r="B8" s="3" t="s">
        <v>375</v>
      </c>
      <c r="C8" s="3" t="s">
        <v>163</v>
      </c>
      <c r="F8" s="3" t="s">
        <v>361</v>
      </c>
    </row>
    <row r="9" spans="2:7" ht="15.75" customHeight="1">
      <c r="B9" s="3" t="s">
        <v>376</v>
      </c>
      <c r="C9" s="3" t="s">
        <v>163</v>
      </c>
      <c r="F9" s="3" t="s">
        <v>361</v>
      </c>
    </row>
    <row r="10" spans="2:7" ht="15.75" customHeight="1">
      <c r="B10" s="3" t="s">
        <v>377</v>
      </c>
      <c r="C10" s="3" t="s">
        <v>33</v>
      </c>
    </row>
    <row r="11" spans="2:7" ht="15.75" customHeight="1">
      <c r="B11" s="3" t="s">
        <v>378</v>
      </c>
      <c r="G11" s="3" t="s">
        <v>379</v>
      </c>
    </row>
    <row r="12" spans="2:7" ht="15.75" customHeight="1">
      <c r="B12" s="3" t="s">
        <v>380</v>
      </c>
    </row>
    <row r="13" spans="2:7" ht="15.75" customHeight="1">
      <c r="B13" s="3" t="s">
        <v>381</v>
      </c>
      <c r="C13" s="3" t="s">
        <v>81</v>
      </c>
      <c r="F13" s="3" t="s">
        <v>382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81"/>
  <sheetViews>
    <sheetView workbookViewId="0"/>
  </sheetViews>
  <sheetFormatPr defaultColWidth="12.6328125" defaultRowHeight="15.75" customHeight="1"/>
  <sheetData>
    <row r="1" spans="1:5" ht="15.75" customHeight="1">
      <c r="A1" s="3" t="s">
        <v>0</v>
      </c>
      <c r="B1" s="3" t="s">
        <v>1</v>
      </c>
      <c r="C1" s="3" t="s">
        <v>2</v>
      </c>
      <c r="D1" s="3" t="s">
        <v>383</v>
      </c>
      <c r="E1" s="3" t="s">
        <v>384</v>
      </c>
    </row>
    <row r="2" spans="1:5" ht="15.75" customHeight="1">
      <c r="A2" s="3" t="s">
        <v>161</v>
      </c>
      <c r="B2" s="14" t="s">
        <v>385</v>
      </c>
      <c r="C2" s="3">
        <v>55</v>
      </c>
      <c r="D2" s="3" t="s">
        <v>386</v>
      </c>
      <c r="E2" s="3" t="str">
        <f t="shared" ref="E2:E81" si="0">CONCATENATE(D2,B2,"_",C2)</f>
        <v>ANO0416_55</v>
      </c>
    </row>
    <row r="3" spans="1:5" ht="15.75" customHeight="1">
      <c r="A3" s="3" t="s">
        <v>161</v>
      </c>
      <c r="B3" s="14" t="s">
        <v>385</v>
      </c>
      <c r="C3" s="3">
        <v>24</v>
      </c>
      <c r="D3" s="3" t="s">
        <v>386</v>
      </c>
      <c r="E3" s="3" t="str">
        <f t="shared" si="0"/>
        <v>ANO0416_24</v>
      </c>
    </row>
    <row r="4" spans="1:5" ht="15.75" customHeight="1">
      <c r="A4" s="3" t="s">
        <v>169</v>
      </c>
      <c r="B4" s="14" t="s">
        <v>387</v>
      </c>
      <c r="C4" s="3">
        <v>13</v>
      </c>
      <c r="D4" s="3" t="s">
        <v>386</v>
      </c>
      <c r="E4" s="3" t="str">
        <f t="shared" si="0"/>
        <v>ANO0178_13</v>
      </c>
    </row>
    <row r="5" spans="1:5" ht="15.75" customHeight="1">
      <c r="A5" s="3" t="s">
        <v>169</v>
      </c>
      <c r="B5" s="14" t="s">
        <v>387</v>
      </c>
      <c r="C5" s="3">
        <v>22</v>
      </c>
      <c r="D5" s="3" t="s">
        <v>386</v>
      </c>
      <c r="E5" s="3" t="str">
        <f t="shared" si="0"/>
        <v>ANO0178_22</v>
      </c>
    </row>
    <row r="6" spans="1:5" ht="15.75" customHeight="1">
      <c r="A6" s="3" t="s">
        <v>169</v>
      </c>
      <c r="B6" s="14" t="s">
        <v>387</v>
      </c>
      <c r="C6" s="3">
        <v>26</v>
      </c>
      <c r="D6" s="3" t="s">
        <v>386</v>
      </c>
      <c r="E6" s="3" t="str">
        <f t="shared" si="0"/>
        <v>ANO0178_26</v>
      </c>
    </row>
    <row r="7" spans="1:5" ht="15.75" customHeight="1">
      <c r="A7" s="3" t="s">
        <v>178</v>
      </c>
      <c r="B7" s="14" t="s">
        <v>388</v>
      </c>
      <c r="C7" s="3">
        <v>31</v>
      </c>
      <c r="D7" s="3" t="s">
        <v>386</v>
      </c>
      <c r="E7" s="3" t="str">
        <f t="shared" si="0"/>
        <v>ANO0818_31</v>
      </c>
    </row>
    <row r="8" spans="1:5" ht="15.75" customHeight="1">
      <c r="A8" s="3" t="s">
        <v>183</v>
      </c>
      <c r="B8" s="14" t="s">
        <v>389</v>
      </c>
      <c r="C8" s="3">
        <v>24</v>
      </c>
      <c r="D8" s="3" t="s">
        <v>386</v>
      </c>
      <c r="E8" s="3" t="str">
        <f t="shared" si="0"/>
        <v>ANO0016_24</v>
      </c>
    </row>
    <row r="9" spans="1:5" ht="15.75" customHeight="1">
      <c r="A9" s="3" t="s">
        <v>183</v>
      </c>
      <c r="B9" s="14" t="s">
        <v>389</v>
      </c>
      <c r="C9" s="3">
        <v>44</v>
      </c>
      <c r="D9" s="3" t="s">
        <v>386</v>
      </c>
      <c r="E9" s="3" t="str">
        <f t="shared" si="0"/>
        <v>ANO0016_44</v>
      </c>
    </row>
    <row r="10" spans="1:5" ht="15.75" customHeight="1">
      <c r="A10" s="3" t="s">
        <v>183</v>
      </c>
      <c r="B10" s="14" t="s">
        <v>389</v>
      </c>
      <c r="C10" s="3">
        <v>55</v>
      </c>
      <c r="D10" s="3" t="s">
        <v>386</v>
      </c>
      <c r="E10" s="3" t="str">
        <f t="shared" si="0"/>
        <v>ANO0016_55</v>
      </c>
    </row>
    <row r="11" spans="1:5" ht="15.75" customHeight="1">
      <c r="A11" s="3" t="s">
        <v>183</v>
      </c>
      <c r="B11" s="14" t="s">
        <v>389</v>
      </c>
      <c r="C11" s="3">
        <v>26</v>
      </c>
      <c r="D11" s="3" t="s">
        <v>386</v>
      </c>
      <c r="E11" s="3" t="str">
        <f t="shared" si="0"/>
        <v>ANO0016_26</v>
      </c>
    </row>
    <row r="12" spans="1:5" ht="15.75" customHeight="1">
      <c r="A12" s="3" t="s">
        <v>183</v>
      </c>
      <c r="B12" s="14" t="s">
        <v>389</v>
      </c>
      <c r="C12" s="3">
        <v>53</v>
      </c>
      <c r="D12" s="3" t="s">
        <v>386</v>
      </c>
      <c r="E12" s="3" t="str">
        <f t="shared" si="0"/>
        <v>ANO0016_53</v>
      </c>
    </row>
    <row r="13" spans="1:5" ht="15.75" customHeight="1">
      <c r="A13" s="3" t="s">
        <v>183</v>
      </c>
      <c r="B13" s="3">
        <v>1393</v>
      </c>
      <c r="C13" s="3">
        <v>26</v>
      </c>
      <c r="D13" s="3" t="s">
        <v>386</v>
      </c>
      <c r="E13" s="3" t="str">
        <f t="shared" si="0"/>
        <v>ANO1393_26</v>
      </c>
    </row>
    <row r="14" spans="1:5" ht="15.75" customHeight="1">
      <c r="A14" s="3" t="s">
        <v>183</v>
      </c>
      <c r="B14" s="3">
        <v>1393</v>
      </c>
      <c r="C14" s="3">
        <v>15</v>
      </c>
      <c r="D14" s="3" t="s">
        <v>386</v>
      </c>
      <c r="E14" s="3" t="str">
        <f t="shared" si="0"/>
        <v>ANO1393_15</v>
      </c>
    </row>
    <row r="15" spans="1:5" ht="15.75" customHeight="1">
      <c r="A15" s="3" t="s">
        <v>190</v>
      </c>
      <c r="B15" s="3">
        <v>1159</v>
      </c>
      <c r="C15" s="3">
        <v>15</v>
      </c>
      <c r="D15" s="3" t="s">
        <v>386</v>
      </c>
      <c r="E15" s="3" t="str">
        <f t="shared" si="0"/>
        <v>ANO1159_15</v>
      </c>
    </row>
    <row r="16" spans="1:5" ht="15.75" customHeight="1">
      <c r="A16" s="3" t="s">
        <v>190</v>
      </c>
      <c r="B16" s="3">
        <v>1159</v>
      </c>
      <c r="C16" s="3">
        <v>22</v>
      </c>
      <c r="D16" s="3" t="s">
        <v>386</v>
      </c>
      <c r="E16" s="3" t="str">
        <f t="shared" si="0"/>
        <v>ANO1159_22</v>
      </c>
    </row>
    <row r="17" spans="1:5" ht="15.75" customHeight="1">
      <c r="A17" s="3" t="s">
        <v>193</v>
      </c>
      <c r="B17" s="14" t="s">
        <v>390</v>
      </c>
      <c r="C17" s="3">
        <v>11</v>
      </c>
      <c r="D17" s="3" t="s">
        <v>386</v>
      </c>
      <c r="E17" s="3" t="str">
        <f t="shared" si="0"/>
        <v>ANO0352_11</v>
      </c>
    </row>
    <row r="18" spans="1:5" ht="15.75" customHeight="1">
      <c r="A18" s="3" t="s">
        <v>193</v>
      </c>
      <c r="B18" s="14" t="s">
        <v>390</v>
      </c>
      <c r="C18" s="3">
        <v>31</v>
      </c>
      <c r="D18" s="3" t="s">
        <v>386</v>
      </c>
      <c r="E18" s="3" t="str">
        <f t="shared" si="0"/>
        <v>ANO0352_31</v>
      </c>
    </row>
    <row r="19" spans="1:5" ht="15.75" customHeight="1">
      <c r="A19" s="3" t="s">
        <v>198</v>
      </c>
      <c r="B19" s="14" t="s">
        <v>391</v>
      </c>
      <c r="C19" s="3">
        <v>11</v>
      </c>
      <c r="D19" s="3" t="s">
        <v>386</v>
      </c>
      <c r="E19" s="3" t="str">
        <f t="shared" si="0"/>
        <v>ANO0744_11</v>
      </c>
    </row>
    <row r="20" spans="1:5" ht="15.75" customHeight="1">
      <c r="A20" s="3" t="s">
        <v>198</v>
      </c>
      <c r="B20" s="14" t="s">
        <v>392</v>
      </c>
      <c r="C20" s="3">
        <v>11</v>
      </c>
      <c r="D20" s="3" t="s">
        <v>386</v>
      </c>
      <c r="E20" s="3" t="str">
        <f t="shared" si="0"/>
        <v>ANO0171_11</v>
      </c>
    </row>
    <row r="21" spans="1:5" ht="15.75" customHeight="1">
      <c r="A21" s="3" t="s">
        <v>198</v>
      </c>
      <c r="B21" s="14" t="s">
        <v>392</v>
      </c>
      <c r="C21" s="3">
        <v>31</v>
      </c>
      <c r="D21" s="3" t="s">
        <v>386</v>
      </c>
      <c r="E21" s="3" t="str">
        <f t="shared" si="0"/>
        <v>ANO0171_31</v>
      </c>
    </row>
    <row r="22" spans="1:5" ht="15.75" customHeight="1">
      <c r="A22" s="3" t="s">
        <v>203</v>
      </c>
      <c r="B22" s="14" t="s">
        <v>393</v>
      </c>
      <c r="C22" s="3">
        <v>51</v>
      </c>
      <c r="D22" s="3" t="s">
        <v>386</v>
      </c>
      <c r="E22" s="3" t="str">
        <f t="shared" si="0"/>
        <v>ANO0724_51</v>
      </c>
    </row>
    <row r="23" spans="1:5" ht="15.75" customHeight="1">
      <c r="A23" s="3" t="s">
        <v>203</v>
      </c>
      <c r="B23" s="14" t="s">
        <v>393</v>
      </c>
      <c r="C23" s="3">
        <v>31</v>
      </c>
      <c r="D23" s="3" t="s">
        <v>386</v>
      </c>
      <c r="E23" s="3" t="str">
        <f t="shared" si="0"/>
        <v>ANO0724_31</v>
      </c>
    </row>
    <row r="24" spans="1:5" ht="15.75" customHeight="1">
      <c r="A24" s="3" t="s">
        <v>203</v>
      </c>
      <c r="B24" s="14" t="s">
        <v>394</v>
      </c>
      <c r="C24" s="3">
        <v>11</v>
      </c>
      <c r="D24" s="3" t="s">
        <v>386</v>
      </c>
      <c r="E24" s="3" t="str">
        <f t="shared" si="0"/>
        <v>ANO0843_11</v>
      </c>
    </row>
    <row r="25" spans="1:5" ht="15.75" customHeight="1">
      <c r="A25" s="2">
        <v>45481</v>
      </c>
      <c r="B25" s="14" t="s">
        <v>395</v>
      </c>
      <c r="C25" s="3">
        <v>26</v>
      </c>
      <c r="D25" s="3" t="s">
        <v>386</v>
      </c>
      <c r="E25" s="3" t="str">
        <f t="shared" si="0"/>
        <v>ANO0239_26</v>
      </c>
    </row>
    <row r="26" spans="1:5" ht="15.75" customHeight="1">
      <c r="A26" s="2">
        <v>45481</v>
      </c>
      <c r="B26" s="14" t="s">
        <v>395</v>
      </c>
      <c r="C26" s="3">
        <v>46</v>
      </c>
      <c r="D26" s="3" t="s">
        <v>386</v>
      </c>
      <c r="E26" s="3" t="str">
        <f t="shared" si="0"/>
        <v>ANO0239_46</v>
      </c>
    </row>
    <row r="27" spans="1:5" ht="15.75" customHeight="1">
      <c r="A27" s="2">
        <v>45481</v>
      </c>
      <c r="B27" s="14" t="s">
        <v>396</v>
      </c>
      <c r="C27" s="3">
        <v>13</v>
      </c>
      <c r="D27" s="3" t="s">
        <v>386</v>
      </c>
      <c r="E27" s="3" t="str">
        <f t="shared" si="0"/>
        <v>ANO0284_13</v>
      </c>
    </row>
    <row r="28" spans="1:5" ht="15.75" customHeight="1">
      <c r="A28" s="2">
        <v>45481</v>
      </c>
      <c r="B28" s="14" t="s">
        <v>396</v>
      </c>
      <c r="C28" s="3">
        <v>51</v>
      </c>
      <c r="D28" s="3" t="s">
        <v>386</v>
      </c>
      <c r="E28" s="3" t="str">
        <f t="shared" si="0"/>
        <v>ANO0284_51</v>
      </c>
    </row>
    <row r="29" spans="1:5" ht="15.75" customHeight="1">
      <c r="A29" s="2">
        <v>45483</v>
      </c>
      <c r="B29" s="14" t="s">
        <v>397</v>
      </c>
      <c r="C29" s="3">
        <v>55</v>
      </c>
      <c r="D29" s="3" t="s">
        <v>386</v>
      </c>
      <c r="E29" s="3" t="str">
        <f t="shared" si="0"/>
        <v>ANO0696_55</v>
      </c>
    </row>
    <row r="30" spans="1:5" ht="15.75" customHeight="1">
      <c r="A30" s="2">
        <v>45483</v>
      </c>
      <c r="B30" s="14" t="s">
        <v>397</v>
      </c>
      <c r="C30" s="3">
        <v>66</v>
      </c>
      <c r="D30" s="3" t="s">
        <v>386</v>
      </c>
      <c r="E30" s="3" t="str">
        <f t="shared" si="0"/>
        <v>ANO0696_66</v>
      </c>
    </row>
    <row r="31" spans="1:5" ht="15.75" customHeight="1">
      <c r="A31" s="2">
        <v>45483</v>
      </c>
      <c r="B31" s="14" t="s">
        <v>398</v>
      </c>
      <c r="C31" s="3">
        <v>55</v>
      </c>
      <c r="D31" s="3" t="s">
        <v>386</v>
      </c>
      <c r="E31" s="3" t="str">
        <f t="shared" si="0"/>
        <v>ANO0718_55</v>
      </c>
    </row>
    <row r="32" spans="1:5" ht="15.75" customHeight="1">
      <c r="A32" s="2">
        <v>45483</v>
      </c>
      <c r="B32" s="14" t="s">
        <v>398</v>
      </c>
      <c r="C32" s="3">
        <v>62</v>
      </c>
      <c r="D32" s="3" t="s">
        <v>386</v>
      </c>
      <c r="E32" s="3" t="str">
        <f t="shared" si="0"/>
        <v>ANO0718_62</v>
      </c>
    </row>
    <row r="33" spans="1:5" ht="15.75" customHeight="1">
      <c r="A33" s="2">
        <v>45483</v>
      </c>
      <c r="B33" s="14" t="s">
        <v>399</v>
      </c>
      <c r="C33" s="3">
        <v>35</v>
      </c>
      <c r="D33" s="3" t="s">
        <v>386</v>
      </c>
      <c r="E33" s="3" t="str">
        <f t="shared" si="0"/>
        <v>ANO0622_35</v>
      </c>
    </row>
    <row r="34" spans="1:5" ht="15.75" customHeight="1">
      <c r="A34" s="2">
        <v>45483</v>
      </c>
      <c r="B34" s="14" t="s">
        <v>399</v>
      </c>
      <c r="C34" s="3">
        <v>46</v>
      </c>
      <c r="D34" s="3" t="s">
        <v>386</v>
      </c>
      <c r="E34" s="3" t="str">
        <f t="shared" si="0"/>
        <v>ANO0622_46</v>
      </c>
    </row>
    <row r="35" spans="1:5" ht="12.5">
      <c r="A35" s="12">
        <v>45482</v>
      </c>
      <c r="B35" s="14" t="s">
        <v>400</v>
      </c>
      <c r="C35" s="3">
        <v>24</v>
      </c>
      <c r="D35" s="3" t="s">
        <v>386</v>
      </c>
      <c r="E35" s="3" t="str">
        <f t="shared" si="0"/>
        <v>ANO0970_24</v>
      </c>
    </row>
    <row r="36" spans="1:5" ht="12.5">
      <c r="A36" s="12">
        <v>45482</v>
      </c>
      <c r="B36" s="14" t="s">
        <v>400</v>
      </c>
      <c r="C36" s="3">
        <v>26</v>
      </c>
      <c r="D36" s="3" t="s">
        <v>386</v>
      </c>
      <c r="E36" s="3" t="str">
        <f t="shared" si="0"/>
        <v>ANO0970_26</v>
      </c>
    </row>
    <row r="37" spans="1:5" ht="12.5">
      <c r="A37" s="12">
        <v>45482</v>
      </c>
      <c r="B37" s="14" t="s">
        <v>400</v>
      </c>
      <c r="C37" s="3">
        <v>42</v>
      </c>
      <c r="D37" s="3" t="s">
        <v>386</v>
      </c>
      <c r="E37" s="3" t="str">
        <f t="shared" si="0"/>
        <v>ANO0970_42</v>
      </c>
    </row>
    <row r="38" spans="1:5" ht="12.5">
      <c r="A38" s="12">
        <v>45490</v>
      </c>
      <c r="B38" s="14" t="s">
        <v>401</v>
      </c>
      <c r="C38" s="3">
        <v>11</v>
      </c>
      <c r="D38" s="3" t="s">
        <v>386</v>
      </c>
      <c r="E38" s="3" t="str">
        <f t="shared" si="0"/>
        <v>ANO0472_11</v>
      </c>
    </row>
    <row r="39" spans="1:5" ht="12.5">
      <c r="A39" s="12">
        <v>45490</v>
      </c>
      <c r="B39" s="14" t="s">
        <v>401</v>
      </c>
      <c r="C39" s="3">
        <v>31</v>
      </c>
      <c r="D39" s="3" t="s">
        <v>386</v>
      </c>
      <c r="E39" s="3" t="str">
        <f t="shared" si="0"/>
        <v>ANO0472_31</v>
      </c>
    </row>
    <row r="40" spans="1:5" ht="12.5">
      <c r="A40" s="12">
        <v>45490</v>
      </c>
      <c r="B40" s="14" t="s">
        <v>401</v>
      </c>
      <c r="C40" s="3">
        <v>33</v>
      </c>
      <c r="D40" s="3" t="s">
        <v>386</v>
      </c>
      <c r="E40" s="3" t="str">
        <f t="shared" si="0"/>
        <v>ANO0472_33</v>
      </c>
    </row>
    <row r="41" spans="1:5" ht="12.5">
      <c r="A41" s="12">
        <v>45489</v>
      </c>
      <c r="B41" s="14" t="s">
        <v>402</v>
      </c>
      <c r="C41" s="3">
        <v>53</v>
      </c>
      <c r="D41" s="3" t="s">
        <v>386</v>
      </c>
      <c r="E41" s="3" t="str">
        <f t="shared" si="0"/>
        <v>ANO0517_53</v>
      </c>
    </row>
    <row r="42" spans="1:5" ht="12.5">
      <c r="A42" s="12">
        <v>45489</v>
      </c>
      <c r="B42" s="14" t="s">
        <v>402</v>
      </c>
      <c r="C42" s="3">
        <v>46</v>
      </c>
      <c r="D42" s="3" t="s">
        <v>386</v>
      </c>
      <c r="E42" s="3" t="str">
        <f t="shared" si="0"/>
        <v>ANO0517_46</v>
      </c>
    </row>
    <row r="43" spans="1:5" ht="12.5">
      <c r="A43" s="12">
        <v>45490</v>
      </c>
      <c r="B43" s="3">
        <v>1485</v>
      </c>
      <c r="C43" s="3">
        <v>55</v>
      </c>
      <c r="D43" s="3" t="s">
        <v>386</v>
      </c>
      <c r="E43" s="3" t="str">
        <f t="shared" si="0"/>
        <v>ANO1485_55</v>
      </c>
    </row>
    <row r="44" spans="1:5" ht="12.5">
      <c r="A44" s="12">
        <v>45490</v>
      </c>
      <c r="B44" s="3">
        <v>1485</v>
      </c>
      <c r="C44" s="3">
        <v>62</v>
      </c>
      <c r="D44" s="3" t="s">
        <v>386</v>
      </c>
      <c r="E44" s="3" t="str">
        <f t="shared" si="0"/>
        <v>ANO1485_62</v>
      </c>
    </row>
    <row r="45" spans="1:5" ht="12.5">
      <c r="A45" s="12">
        <v>45490</v>
      </c>
      <c r="B45" s="3">
        <v>1544</v>
      </c>
      <c r="C45" s="3">
        <v>51</v>
      </c>
      <c r="D45" s="3" t="s">
        <v>386</v>
      </c>
      <c r="E45" s="3" t="str">
        <f t="shared" si="0"/>
        <v>ANO1544_51</v>
      </c>
    </row>
    <row r="46" spans="1:5" ht="12.5">
      <c r="A46" s="12">
        <v>45490</v>
      </c>
      <c r="B46" s="3">
        <v>1544</v>
      </c>
      <c r="C46" s="3">
        <v>53</v>
      </c>
      <c r="D46" s="3" t="s">
        <v>386</v>
      </c>
      <c r="E46" s="3" t="str">
        <f t="shared" si="0"/>
        <v>ANO1544_53</v>
      </c>
    </row>
    <row r="47" spans="1:5" ht="12.5">
      <c r="A47" s="12">
        <v>45488</v>
      </c>
      <c r="B47" s="14" t="s">
        <v>403</v>
      </c>
      <c r="C47" s="3">
        <v>24</v>
      </c>
      <c r="D47" s="3" t="s">
        <v>386</v>
      </c>
      <c r="E47" s="3" t="str">
        <f t="shared" si="0"/>
        <v>ANO0833_24</v>
      </c>
    </row>
    <row r="48" spans="1:5" ht="12.5">
      <c r="A48" s="12">
        <v>45488</v>
      </c>
      <c r="B48" s="14" t="s">
        <v>403</v>
      </c>
      <c r="C48" s="3">
        <v>35</v>
      </c>
      <c r="D48" s="3" t="s">
        <v>386</v>
      </c>
      <c r="E48" s="3" t="str">
        <f t="shared" si="0"/>
        <v>ANO0833_35</v>
      </c>
    </row>
    <row r="49" spans="1:5" ht="12.5">
      <c r="A49" s="12">
        <v>45488</v>
      </c>
      <c r="B49" s="14" t="s">
        <v>403</v>
      </c>
      <c r="C49" s="3">
        <v>44</v>
      </c>
      <c r="D49" s="3" t="s">
        <v>386</v>
      </c>
      <c r="E49" s="3" t="str">
        <f t="shared" si="0"/>
        <v>ANO0833_44</v>
      </c>
    </row>
    <row r="50" spans="1:5" ht="12.5">
      <c r="A50" s="12">
        <v>45488</v>
      </c>
      <c r="B50" s="14" t="s">
        <v>403</v>
      </c>
      <c r="C50" s="3">
        <v>46</v>
      </c>
      <c r="D50" s="3" t="s">
        <v>386</v>
      </c>
      <c r="E50" s="3" t="str">
        <f t="shared" si="0"/>
        <v>ANO0833_46</v>
      </c>
    </row>
    <row r="51" spans="1:5" ht="12.5">
      <c r="A51" s="12">
        <v>45489</v>
      </c>
      <c r="B51" s="3">
        <v>1500</v>
      </c>
      <c r="C51" s="3">
        <v>24</v>
      </c>
      <c r="D51" s="3" t="s">
        <v>386</v>
      </c>
      <c r="E51" s="3" t="str">
        <f t="shared" si="0"/>
        <v>ANO1500_24</v>
      </c>
    </row>
    <row r="52" spans="1:5" ht="12.5">
      <c r="A52" s="12">
        <v>45489</v>
      </c>
      <c r="B52" s="3">
        <v>1500</v>
      </c>
      <c r="C52" s="3">
        <v>33</v>
      </c>
      <c r="D52" s="3" t="s">
        <v>386</v>
      </c>
      <c r="E52" s="3" t="str">
        <f t="shared" si="0"/>
        <v>ANO1500_33</v>
      </c>
    </row>
    <row r="53" spans="1:5" ht="12.5">
      <c r="A53" s="12">
        <v>45489</v>
      </c>
      <c r="B53" s="3">
        <v>1500</v>
      </c>
      <c r="C53" s="3">
        <v>35</v>
      </c>
      <c r="D53" s="3" t="s">
        <v>386</v>
      </c>
      <c r="E53" s="3" t="str">
        <f t="shared" si="0"/>
        <v>ANO1500_35</v>
      </c>
    </row>
    <row r="54" spans="1:5" ht="12.5">
      <c r="A54" s="12">
        <v>45489</v>
      </c>
      <c r="B54" s="3">
        <v>1500</v>
      </c>
      <c r="C54" s="3">
        <v>44</v>
      </c>
      <c r="D54" s="3" t="s">
        <v>386</v>
      </c>
      <c r="E54" s="3" t="str">
        <f t="shared" si="0"/>
        <v>ANO1500_44</v>
      </c>
    </row>
    <row r="55" spans="1:5" ht="12.5">
      <c r="A55" s="12">
        <v>45493</v>
      </c>
      <c r="B55" s="14" t="s">
        <v>404</v>
      </c>
      <c r="C55" s="3">
        <v>35</v>
      </c>
      <c r="D55" s="3" t="s">
        <v>386</v>
      </c>
      <c r="E55" s="3" t="str">
        <f t="shared" si="0"/>
        <v>ANO0276_35</v>
      </c>
    </row>
    <row r="56" spans="1:5" ht="12.5">
      <c r="A56" s="12">
        <v>45493</v>
      </c>
      <c r="B56" s="14" t="s">
        <v>404</v>
      </c>
      <c r="C56" s="3">
        <v>64</v>
      </c>
      <c r="D56" s="3" t="s">
        <v>386</v>
      </c>
      <c r="E56" s="3" t="str">
        <f t="shared" si="0"/>
        <v>ANO0276_64</v>
      </c>
    </row>
    <row r="57" spans="1:5" ht="12.5">
      <c r="A57" s="12">
        <v>45493</v>
      </c>
      <c r="B57" s="14" t="s">
        <v>404</v>
      </c>
      <c r="C57" s="3">
        <v>42</v>
      </c>
      <c r="D57" s="3" t="s">
        <v>386</v>
      </c>
      <c r="E57" s="3" t="str">
        <f t="shared" si="0"/>
        <v>ANO0276_42</v>
      </c>
    </row>
    <row r="58" spans="1:5" ht="12.5">
      <c r="A58" s="12">
        <v>45533</v>
      </c>
      <c r="B58" s="14" t="s">
        <v>80</v>
      </c>
      <c r="C58" s="3">
        <v>13</v>
      </c>
      <c r="D58" s="3" t="s">
        <v>386</v>
      </c>
      <c r="E58" s="3" t="str">
        <f t="shared" si="0"/>
        <v>ANO0907_13</v>
      </c>
    </row>
    <row r="59" spans="1:5" ht="12.5">
      <c r="A59" s="12">
        <v>45533</v>
      </c>
      <c r="B59" s="14" t="s">
        <v>80</v>
      </c>
      <c r="C59" s="3">
        <v>35</v>
      </c>
      <c r="D59" s="3" t="s">
        <v>386</v>
      </c>
      <c r="E59" s="3" t="str">
        <f t="shared" si="0"/>
        <v>ANO0907_35</v>
      </c>
    </row>
    <row r="60" spans="1:5" ht="12.5">
      <c r="A60" s="17">
        <v>45565</v>
      </c>
      <c r="B60" s="3">
        <v>1296</v>
      </c>
      <c r="C60" s="3">
        <v>66</v>
      </c>
      <c r="D60" s="3" t="s">
        <v>386</v>
      </c>
      <c r="E60" s="3" t="str">
        <f t="shared" si="0"/>
        <v>ANO1296_66</v>
      </c>
    </row>
    <row r="61" spans="1:5" ht="12.5">
      <c r="B61" s="3">
        <v>1358</v>
      </c>
      <c r="C61" s="3">
        <v>33</v>
      </c>
      <c r="D61" s="3" t="s">
        <v>386</v>
      </c>
      <c r="E61" s="3" t="str">
        <f t="shared" si="0"/>
        <v>ANO1358_33</v>
      </c>
    </row>
    <row r="62" spans="1:5" ht="12.5">
      <c r="B62" s="3">
        <v>1358</v>
      </c>
      <c r="C62" s="3">
        <v>35</v>
      </c>
      <c r="D62" s="3" t="s">
        <v>386</v>
      </c>
      <c r="E62" s="3" t="str">
        <f t="shared" si="0"/>
        <v>ANO1358_35</v>
      </c>
    </row>
    <row r="63" spans="1:5" ht="12.5">
      <c r="B63" s="14" t="s">
        <v>405</v>
      </c>
      <c r="C63" s="3">
        <v>31</v>
      </c>
      <c r="D63" s="3" t="s">
        <v>386</v>
      </c>
      <c r="E63" s="3" t="str">
        <f t="shared" si="0"/>
        <v>ANO0897_31</v>
      </c>
    </row>
    <row r="64" spans="1:5" ht="12.5">
      <c r="B64" s="14" t="s">
        <v>405</v>
      </c>
      <c r="C64" s="3">
        <v>42</v>
      </c>
      <c r="D64" s="3" t="s">
        <v>386</v>
      </c>
      <c r="E64" s="3" t="str">
        <f t="shared" si="0"/>
        <v>ANO0897_42</v>
      </c>
    </row>
    <row r="65" spans="1:5" ht="12.5">
      <c r="B65" s="14" t="s">
        <v>406</v>
      </c>
      <c r="C65" s="3">
        <v>62</v>
      </c>
      <c r="D65" s="3" t="s">
        <v>386</v>
      </c>
      <c r="E65" s="3" t="str">
        <f t="shared" si="0"/>
        <v>ANO0794_62</v>
      </c>
    </row>
    <row r="66" spans="1:5" ht="12.5">
      <c r="B66" s="14" t="s">
        <v>406</v>
      </c>
      <c r="C66" s="3">
        <v>66</v>
      </c>
      <c r="D66" s="3" t="s">
        <v>386</v>
      </c>
      <c r="E66" s="3" t="str">
        <f t="shared" si="0"/>
        <v>ANO0794_66</v>
      </c>
    </row>
    <row r="67" spans="1:5" ht="12.5">
      <c r="B67" s="14" t="s">
        <v>407</v>
      </c>
      <c r="C67" s="3">
        <v>32</v>
      </c>
      <c r="D67" s="3" t="s">
        <v>386</v>
      </c>
      <c r="E67" s="3" t="str">
        <f t="shared" si="0"/>
        <v>ANO0647_32</v>
      </c>
    </row>
    <row r="68" spans="1:5" ht="12.5">
      <c r="A68" s="3" t="s">
        <v>132</v>
      </c>
      <c r="B68" s="14" t="s">
        <v>408</v>
      </c>
      <c r="C68" s="3">
        <v>46</v>
      </c>
      <c r="D68" s="3" t="s">
        <v>386</v>
      </c>
      <c r="E68" s="3" t="str">
        <f t="shared" si="0"/>
        <v>ANO0166_46</v>
      </c>
    </row>
    <row r="69" spans="1:5" ht="12.5">
      <c r="A69" s="3" t="s">
        <v>138</v>
      </c>
      <c r="B69" s="14" t="s">
        <v>409</v>
      </c>
      <c r="C69" s="3">
        <v>55</v>
      </c>
      <c r="D69" s="3" t="s">
        <v>386</v>
      </c>
      <c r="E69" s="3" t="str">
        <f t="shared" si="0"/>
        <v>ANO0022_55</v>
      </c>
    </row>
    <row r="70" spans="1:5" ht="14">
      <c r="A70" s="22" t="s">
        <v>138</v>
      </c>
      <c r="B70" s="43" t="s">
        <v>409</v>
      </c>
      <c r="C70" s="22">
        <v>26</v>
      </c>
      <c r="D70" s="3" t="s">
        <v>386</v>
      </c>
      <c r="E70" s="3" t="str">
        <f t="shared" si="0"/>
        <v>ANO0022_26</v>
      </c>
    </row>
    <row r="71" spans="1:5" ht="14">
      <c r="A71" s="22" t="s">
        <v>142</v>
      </c>
      <c r="B71" s="43" t="s">
        <v>410</v>
      </c>
      <c r="C71" s="22">
        <v>46</v>
      </c>
      <c r="D71" s="3" t="s">
        <v>386</v>
      </c>
      <c r="E71" s="3" t="str">
        <f t="shared" si="0"/>
        <v>ANO0212_46</v>
      </c>
    </row>
    <row r="72" spans="1:5" ht="14">
      <c r="A72" s="22" t="s">
        <v>142</v>
      </c>
      <c r="B72" s="43" t="s">
        <v>410</v>
      </c>
      <c r="C72" s="22">
        <v>62</v>
      </c>
      <c r="D72" s="3" t="s">
        <v>386</v>
      </c>
      <c r="E72" s="3" t="str">
        <f t="shared" si="0"/>
        <v>ANO0212_62</v>
      </c>
    </row>
    <row r="73" spans="1:5" ht="14">
      <c r="A73" s="22" t="s">
        <v>142</v>
      </c>
      <c r="B73" s="43" t="s">
        <v>410</v>
      </c>
      <c r="C73" s="22">
        <v>53</v>
      </c>
      <c r="D73" s="3" t="s">
        <v>386</v>
      </c>
      <c r="E73" s="3" t="str">
        <f t="shared" si="0"/>
        <v>ANO0212_53</v>
      </c>
    </row>
    <row r="74" spans="1:5" ht="14">
      <c r="A74" s="22" t="s">
        <v>142</v>
      </c>
      <c r="B74" s="43" t="s">
        <v>410</v>
      </c>
      <c r="C74" s="22">
        <v>55</v>
      </c>
      <c r="D74" s="3" t="s">
        <v>386</v>
      </c>
      <c r="E74" s="3" t="str">
        <f t="shared" si="0"/>
        <v>ANO0212_55</v>
      </c>
    </row>
    <row r="75" spans="1:5" ht="14">
      <c r="A75" s="22" t="s">
        <v>142</v>
      </c>
      <c r="B75" s="43" t="s">
        <v>410</v>
      </c>
      <c r="C75" s="22">
        <v>51</v>
      </c>
      <c r="D75" s="3" t="s">
        <v>386</v>
      </c>
      <c r="E75" s="3" t="str">
        <f t="shared" si="0"/>
        <v>ANO0212_51</v>
      </c>
    </row>
    <row r="76" spans="1:5" ht="14">
      <c r="A76" s="22" t="s">
        <v>148</v>
      </c>
      <c r="B76" s="43" t="s">
        <v>411</v>
      </c>
      <c r="C76" s="22">
        <v>42</v>
      </c>
      <c r="D76" s="3" t="s">
        <v>386</v>
      </c>
      <c r="E76" s="3" t="str">
        <f t="shared" si="0"/>
        <v>ANO0282_42</v>
      </c>
    </row>
    <row r="77" spans="1:5" ht="14">
      <c r="A77" s="22" t="s">
        <v>150</v>
      </c>
      <c r="B77" s="43" t="s">
        <v>412</v>
      </c>
      <c r="C77" s="22">
        <v>46</v>
      </c>
      <c r="D77" s="3" t="s">
        <v>386</v>
      </c>
      <c r="E77" s="3" t="str">
        <f t="shared" si="0"/>
        <v>ANO0100_46</v>
      </c>
    </row>
    <row r="78" spans="1:5" ht="14">
      <c r="A78" s="22" t="s">
        <v>153</v>
      </c>
      <c r="B78" s="43" t="s">
        <v>413</v>
      </c>
      <c r="C78" s="22">
        <v>46</v>
      </c>
      <c r="D78" s="3" t="s">
        <v>386</v>
      </c>
      <c r="E78" s="3" t="str">
        <f t="shared" si="0"/>
        <v>ANO0085_46</v>
      </c>
    </row>
    <row r="79" spans="1:5" ht="14">
      <c r="A79" s="22" t="s">
        <v>153</v>
      </c>
      <c r="B79" s="43" t="s">
        <v>413</v>
      </c>
      <c r="C79" s="22">
        <v>51</v>
      </c>
      <c r="D79" s="3" t="s">
        <v>386</v>
      </c>
      <c r="E79" s="3" t="str">
        <f t="shared" si="0"/>
        <v>ANO0085_51</v>
      </c>
    </row>
    <row r="80" spans="1:5" ht="14">
      <c r="A80" s="22" t="s">
        <v>157</v>
      </c>
      <c r="B80" s="43" t="s">
        <v>414</v>
      </c>
      <c r="C80" s="22">
        <v>44</v>
      </c>
      <c r="D80" s="3" t="s">
        <v>386</v>
      </c>
      <c r="E80" s="3" t="str">
        <f t="shared" si="0"/>
        <v>ANO0010_44</v>
      </c>
    </row>
    <row r="81" spans="1:5" ht="14">
      <c r="A81" s="22" t="s">
        <v>157</v>
      </c>
      <c r="B81" s="43" t="s">
        <v>414</v>
      </c>
      <c r="C81" s="22">
        <v>53</v>
      </c>
      <c r="D81" s="3" t="s">
        <v>386</v>
      </c>
      <c r="E81" s="3" t="str">
        <f t="shared" si="0"/>
        <v>ANO0010_53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3"/>
  <sheetViews>
    <sheetView workbookViewId="0"/>
  </sheetViews>
  <sheetFormatPr defaultColWidth="12.6328125" defaultRowHeight="15.75" customHeight="1"/>
  <sheetData>
    <row r="1" spans="1:2" ht="15.75" customHeight="1">
      <c r="A1" s="3" t="s">
        <v>4</v>
      </c>
      <c r="B1" s="3" t="s">
        <v>6</v>
      </c>
    </row>
    <row r="2" spans="1:2" ht="15.75" customHeight="1">
      <c r="A2" s="3" t="s">
        <v>34</v>
      </c>
      <c r="B2" s="3" t="s">
        <v>35</v>
      </c>
    </row>
    <row r="3" spans="1:2" ht="15.75" customHeight="1">
      <c r="A3" s="3" t="s">
        <v>42</v>
      </c>
      <c r="B3" s="3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B1010"/>
  <sheetViews>
    <sheetView workbookViewId="0"/>
  </sheetViews>
  <sheetFormatPr defaultColWidth="12.6328125" defaultRowHeight="15.75" customHeight="1"/>
  <cols>
    <col min="1" max="1" width="3" customWidth="1"/>
    <col min="2" max="2" width="11.08984375" customWidth="1"/>
    <col min="3" max="3" width="7.90625" customWidth="1"/>
    <col min="4" max="4" width="4.26953125" customWidth="1"/>
    <col min="5" max="5" width="4.7265625" customWidth="1"/>
    <col min="6" max="6" width="7.08984375" customWidth="1"/>
    <col min="7" max="7" width="10.26953125" customWidth="1"/>
    <col min="8" max="10" width="9.6328125" customWidth="1"/>
    <col min="11" max="11" width="18.7265625" customWidth="1"/>
  </cols>
  <sheetData>
    <row r="1" spans="1:28" ht="15.75" customHeight="1">
      <c r="A1" s="78" t="s">
        <v>415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ht="13">
      <c r="A2" s="45"/>
      <c r="B2" s="46" t="s">
        <v>384</v>
      </c>
      <c r="C2" s="46" t="s">
        <v>416</v>
      </c>
      <c r="D2" s="46" t="s">
        <v>417</v>
      </c>
      <c r="E2" s="46" t="s">
        <v>418</v>
      </c>
      <c r="F2" s="46" t="s">
        <v>6</v>
      </c>
      <c r="G2" s="46" t="s">
        <v>0</v>
      </c>
      <c r="H2" s="46" t="s">
        <v>419</v>
      </c>
      <c r="I2" s="46" t="s">
        <v>420</v>
      </c>
      <c r="J2" s="46" t="s">
        <v>421</v>
      </c>
      <c r="K2" s="46" t="s">
        <v>422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74" t="s">
        <v>423</v>
      </c>
      <c r="B3" s="47" t="s">
        <v>424</v>
      </c>
      <c r="C3" s="48" t="s">
        <v>45</v>
      </c>
      <c r="D3" s="49">
        <v>45304</v>
      </c>
      <c r="E3" s="48">
        <v>996</v>
      </c>
      <c r="F3" s="48" t="s">
        <v>35</v>
      </c>
      <c r="G3" s="47"/>
      <c r="H3" s="47"/>
      <c r="I3" s="47"/>
      <c r="J3" s="47"/>
      <c r="K3" s="47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5.75" customHeight="1">
      <c r="A4" s="71"/>
      <c r="B4" s="47"/>
      <c r="C4" s="47"/>
      <c r="D4" s="49">
        <v>45304</v>
      </c>
      <c r="E4" s="48">
        <v>996</v>
      </c>
      <c r="F4" s="47" t="s">
        <v>40</v>
      </c>
      <c r="G4" s="47"/>
      <c r="H4" s="47"/>
      <c r="I4" s="47"/>
      <c r="J4" s="47"/>
      <c r="K4" s="47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5.75" customHeight="1">
      <c r="A5" s="71"/>
      <c r="B5" s="47" t="s">
        <v>425</v>
      </c>
      <c r="C5" s="48" t="s">
        <v>46</v>
      </c>
      <c r="D5" s="49">
        <v>45304</v>
      </c>
      <c r="E5" s="48">
        <v>998</v>
      </c>
      <c r="F5" s="47" t="s">
        <v>35</v>
      </c>
      <c r="G5" s="47"/>
      <c r="H5" s="47"/>
      <c r="I5" s="47"/>
      <c r="J5" s="47"/>
      <c r="K5" s="47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.75" customHeight="1">
      <c r="A6" s="72"/>
      <c r="B6" s="47"/>
      <c r="C6" s="47"/>
      <c r="D6" s="49">
        <v>45304</v>
      </c>
      <c r="E6" s="48">
        <v>998</v>
      </c>
      <c r="F6" s="47" t="s">
        <v>40</v>
      </c>
      <c r="G6" s="47"/>
      <c r="H6" s="47"/>
      <c r="I6" s="47"/>
      <c r="J6" s="47"/>
      <c r="K6" s="47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customHeight="1">
      <c r="A7" s="70" t="s">
        <v>426</v>
      </c>
      <c r="B7" s="50" t="s">
        <v>427</v>
      </c>
      <c r="C7" s="51" t="s">
        <v>43</v>
      </c>
      <c r="D7" s="52">
        <v>45516</v>
      </c>
      <c r="E7" s="50">
        <v>1055</v>
      </c>
      <c r="F7" s="50" t="s">
        <v>35</v>
      </c>
      <c r="G7" s="50"/>
      <c r="H7" s="50"/>
      <c r="I7" s="50"/>
      <c r="J7" s="50"/>
      <c r="K7" s="50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customHeight="1">
      <c r="A8" s="71"/>
      <c r="B8" s="50"/>
      <c r="C8" s="50"/>
      <c r="D8" s="52">
        <v>45516</v>
      </c>
      <c r="E8" s="50">
        <v>1055</v>
      </c>
      <c r="F8" s="50" t="s">
        <v>40</v>
      </c>
      <c r="G8" s="50"/>
      <c r="H8" s="50"/>
      <c r="I8" s="50"/>
      <c r="J8" s="50"/>
      <c r="K8" s="50"/>
      <c r="L8" s="21"/>
      <c r="M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.75" customHeight="1">
      <c r="A9" s="71"/>
      <c r="B9" s="50" t="s">
        <v>428</v>
      </c>
      <c r="C9" s="53" t="s">
        <v>429</v>
      </c>
      <c r="D9" s="52">
        <v>45485</v>
      </c>
      <c r="E9" s="50">
        <v>1058</v>
      </c>
      <c r="F9" s="50" t="s">
        <v>35</v>
      </c>
      <c r="G9" s="50"/>
      <c r="H9" s="50"/>
      <c r="I9" s="50"/>
      <c r="J9" s="50"/>
      <c r="K9" s="50"/>
      <c r="L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.75" customHeight="1">
      <c r="A10" s="71"/>
      <c r="B10" s="50"/>
      <c r="C10" s="50"/>
      <c r="D10" s="52">
        <v>45485</v>
      </c>
      <c r="E10" s="50">
        <v>1058</v>
      </c>
      <c r="F10" s="50" t="s">
        <v>40</v>
      </c>
      <c r="G10" s="50"/>
      <c r="H10" s="50"/>
      <c r="I10" s="50"/>
      <c r="J10" s="50"/>
      <c r="K10" s="50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.75" customHeight="1">
      <c r="A11" s="71"/>
      <c r="B11" s="50" t="s">
        <v>430</v>
      </c>
      <c r="C11" s="7" t="s">
        <v>431</v>
      </c>
      <c r="D11" s="52">
        <v>45516</v>
      </c>
      <c r="E11" s="50">
        <v>1055</v>
      </c>
      <c r="F11" s="50" t="s">
        <v>40</v>
      </c>
      <c r="G11" s="50"/>
      <c r="H11" s="50"/>
      <c r="I11" s="50"/>
      <c r="J11" s="50"/>
      <c r="K11" s="50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.75" customHeight="1">
      <c r="A12" s="71"/>
      <c r="B12" s="50"/>
      <c r="C12" s="50"/>
      <c r="D12" s="52">
        <v>45516</v>
      </c>
      <c r="E12" s="50">
        <v>1055</v>
      </c>
      <c r="F12" s="50" t="s">
        <v>35</v>
      </c>
      <c r="G12" s="50"/>
      <c r="H12" s="50"/>
      <c r="I12" s="50"/>
      <c r="J12" s="50"/>
      <c r="K12" s="50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.75" customHeight="1">
      <c r="A13" s="71"/>
      <c r="B13" s="3" t="s">
        <v>432</v>
      </c>
      <c r="C13" s="7" t="s">
        <v>58</v>
      </c>
      <c r="D13" s="52">
        <v>45485</v>
      </c>
      <c r="E13" s="50">
        <v>1060</v>
      </c>
      <c r="F13" s="50" t="s">
        <v>40</v>
      </c>
      <c r="G13" s="50"/>
      <c r="H13" s="50"/>
      <c r="I13" s="50"/>
      <c r="J13" s="50"/>
      <c r="K13" s="50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customHeight="1">
      <c r="A14" s="71"/>
      <c r="B14" s="50" t="s">
        <v>433</v>
      </c>
      <c r="C14" s="7" t="s">
        <v>57</v>
      </c>
      <c r="D14" s="52">
        <v>45516</v>
      </c>
      <c r="E14" s="50">
        <v>1058</v>
      </c>
      <c r="F14" s="50" t="s">
        <v>40</v>
      </c>
      <c r="G14" s="50"/>
      <c r="H14" s="50"/>
      <c r="I14" s="50"/>
      <c r="J14" s="50"/>
      <c r="K14" s="50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customHeight="1">
      <c r="A15" s="72"/>
      <c r="B15" s="35"/>
      <c r="C15" s="50"/>
      <c r="D15" s="52">
        <v>45516</v>
      </c>
      <c r="E15" s="50">
        <v>1058</v>
      </c>
      <c r="F15" s="50" t="s">
        <v>35</v>
      </c>
      <c r="G15" s="50"/>
      <c r="H15" s="50"/>
      <c r="I15" s="50"/>
      <c r="J15" s="50"/>
      <c r="K15" s="5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customHeight="1">
      <c r="A16" s="74" t="s">
        <v>434</v>
      </c>
      <c r="B16" s="47" t="s">
        <v>435</v>
      </c>
      <c r="C16" s="48" t="s">
        <v>43</v>
      </c>
      <c r="D16" s="54">
        <v>45424</v>
      </c>
      <c r="E16" s="47">
        <v>1200</v>
      </c>
      <c r="F16" s="47" t="s">
        <v>40</v>
      </c>
      <c r="G16" s="47"/>
      <c r="H16" s="47"/>
      <c r="I16" s="47"/>
      <c r="J16" s="47"/>
      <c r="K16" s="47"/>
      <c r="L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.75" customHeight="1">
      <c r="A17" s="72"/>
      <c r="B17" s="47" t="s">
        <v>436</v>
      </c>
      <c r="C17" s="55" t="s">
        <v>44</v>
      </c>
      <c r="D17" s="54">
        <v>45424</v>
      </c>
      <c r="E17" s="47">
        <v>1199</v>
      </c>
      <c r="F17" s="47" t="s">
        <v>40</v>
      </c>
      <c r="G17" s="47"/>
      <c r="H17" s="47"/>
      <c r="I17" s="47"/>
      <c r="J17" s="47"/>
      <c r="K17" s="47"/>
      <c r="L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.75" customHeight="1">
      <c r="A18" s="70" t="s">
        <v>437</v>
      </c>
      <c r="B18" s="50" t="s">
        <v>438</v>
      </c>
      <c r="C18" s="50" t="s">
        <v>44</v>
      </c>
      <c r="D18" s="52">
        <v>45455</v>
      </c>
      <c r="E18" s="50">
        <v>1051</v>
      </c>
      <c r="F18" s="50" t="s">
        <v>40</v>
      </c>
      <c r="G18" s="50"/>
      <c r="H18" s="50"/>
      <c r="I18" s="50"/>
      <c r="J18" s="50"/>
      <c r="K18" s="50"/>
      <c r="L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.75" customHeight="1">
      <c r="A19" s="71"/>
      <c r="B19" s="50" t="s">
        <v>439</v>
      </c>
      <c r="C19" s="50" t="s">
        <v>440</v>
      </c>
      <c r="D19" s="52">
        <v>45455</v>
      </c>
      <c r="E19" s="50">
        <v>1051</v>
      </c>
      <c r="F19" s="50" t="s">
        <v>40</v>
      </c>
      <c r="G19" s="50"/>
      <c r="H19" s="50"/>
      <c r="I19" s="50"/>
      <c r="J19" s="50"/>
      <c r="K19" s="50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.75" customHeight="1">
      <c r="A20" s="72"/>
      <c r="B20" s="50" t="s">
        <v>441</v>
      </c>
      <c r="C20" s="50" t="s">
        <v>442</v>
      </c>
      <c r="D20" s="52">
        <v>45455</v>
      </c>
      <c r="E20" s="50">
        <v>1052</v>
      </c>
      <c r="F20" s="50" t="s">
        <v>40</v>
      </c>
      <c r="G20" s="50"/>
      <c r="H20" s="50"/>
      <c r="I20" s="50"/>
      <c r="J20" s="50"/>
      <c r="K20" s="5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5.75" customHeight="1">
      <c r="A21" s="73" t="s">
        <v>443</v>
      </c>
      <c r="B21" s="56" t="s">
        <v>444</v>
      </c>
      <c r="C21" s="57" t="s">
        <v>43</v>
      </c>
      <c r="D21" s="58">
        <v>45334</v>
      </c>
      <c r="E21" s="59">
        <v>1073</v>
      </c>
      <c r="F21" s="59" t="s">
        <v>40</v>
      </c>
      <c r="G21" s="47"/>
      <c r="H21" s="47"/>
      <c r="I21" s="47"/>
      <c r="J21" s="47"/>
      <c r="K21" s="47" t="s">
        <v>445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5.75" customHeight="1">
      <c r="A22" s="71"/>
      <c r="B22" s="56"/>
      <c r="C22" s="59"/>
      <c r="D22" s="58">
        <v>45334</v>
      </c>
      <c r="E22" s="59">
        <v>1073</v>
      </c>
      <c r="F22" s="59" t="s">
        <v>35</v>
      </c>
      <c r="G22" s="47"/>
      <c r="H22" s="47"/>
      <c r="I22" s="47"/>
      <c r="J22" s="47"/>
      <c r="K22" s="47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5.75" customHeight="1">
      <c r="A23" s="71"/>
      <c r="B23" s="56" t="s">
        <v>446</v>
      </c>
      <c r="C23" s="57" t="s">
        <v>440</v>
      </c>
      <c r="D23" s="58">
        <v>45334</v>
      </c>
      <c r="E23" s="59">
        <v>1073</v>
      </c>
      <c r="F23" s="59" t="s">
        <v>40</v>
      </c>
      <c r="G23" s="47"/>
      <c r="H23" s="47"/>
      <c r="I23" s="47"/>
      <c r="J23" s="47"/>
      <c r="K23" s="47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5.75" customHeight="1">
      <c r="A24" s="71"/>
      <c r="B24" s="56"/>
      <c r="C24" s="59"/>
      <c r="D24" s="58">
        <v>45334</v>
      </c>
      <c r="E24" s="59">
        <v>1073</v>
      </c>
      <c r="F24" s="59" t="s">
        <v>35</v>
      </c>
      <c r="G24" s="47"/>
      <c r="H24" s="47"/>
      <c r="I24" s="47"/>
      <c r="J24" s="47"/>
      <c r="K24" s="47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5.75" customHeight="1">
      <c r="A25" s="72"/>
      <c r="B25" s="56" t="s">
        <v>447</v>
      </c>
      <c r="C25" s="57" t="s">
        <v>44</v>
      </c>
      <c r="D25" s="58">
        <v>45303</v>
      </c>
      <c r="E25" s="59">
        <v>1073</v>
      </c>
      <c r="F25" s="59" t="s">
        <v>40</v>
      </c>
      <c r="G25" s="47"/>
      <c r="H25" s="47"/>
      <c r="I25" s="47"/>
      <c r="J25" s="47"/>
      <c r="K25" s="47"/>
      <c r="L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5.75" customHeight="1">
      <c r="A26" s="60"/>
      <c r="B26" s="61" t="s">
        <v>448</v>
      </c>
      <c r="C26" s="62" t="s">
        <v>449</v>
      </c>
      <c r="D26" s="58">
        <v>45303</v>
      </c>
      <c r="E26" s="59">
        <v>1073</v>
      </c>
      <c r="F26" s="59" t="s">
        <v>40</v>
      </c>
      <c r="G26" s="47"/>
      <c r="H26" s="47"/>
      <c r="I26" s="47"/>
      <c r="J26" s="47"/>
      <c r="K26" s="47"/>
      <c r="L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5.75" customHeight="1">
      <c r="A27" s="60"/>
      <c r="B27" s="56"/>
      <c r="C27" s="57"/>
      <c r="D27" s="58">
        <v>45303</v>
      </c>
      <c r="E27" s="59">
        <v>1073</v>
      </c>
      <c r="F27" s="59" t="s">
        <v>35</v>
      </c>
      <c r="G27" s="47"/>
      <c r="H27" s="47"/>
      <c r="I27" s="47"/>
      <c r="J27" s="47"/>
      <c r="K27" s="47"/>
      <c r="L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5.75" customHeight="1">
      <c r="A28" s="60"/>
      <c r="B28" s="62" t="s">
        <v>450</v>
      </c>
      <c r="C28" s="63" t="s">
        <v>57</v>
      </c>
      <c r="D28" s="58">
        <v>45363</v>
      </c>
      <c r="E28" s="59">
        <v>1075</v>
      </c>
      <c r="F28" s="59" t="s">
        <v>40</v>
      </c>
      <c r="G28" s="47"/>
      <c r="H28" s="47"/>
      <c r="I28" s="47"/>
      <c r="J28" s="47"/>
      <c r="K28" s="47"/>
      <c r="L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15.75" customHeight="1">
      <c r="A29" s="70" t="s">
        <v>451</v>
      </c>
      <c r="B29" s="50" t="s">
        <v>452</v>
      </c>
      <c r="C29" s="50" t="s">
        <v>431</v>
      </c>
      <c r="D29" s="52">
        <v>45455</v>
      </c>
      <c r="E29" s="50">
        <v>952</v>
      </c>
      <c r="F29" s="50" t="s">
        <v>40</v>
      </c>
      <c r="G29" s="50"/>
      <c r="H29" s="50"/>
      <c r="I29" s="50"/>
      <c r="J29" s="50"/>
      <c r="K29" s="50"/>
      <c r="L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15.75" customHeight="1">
      <c r="A30" s="71"/>
      <c r="B30" s="50"/>
      <c r="C30" s="50"/>
      <c r="D30" s="52">
        <v>45455</v>
      </c>
      <c r="E30" s="50">
        <v>952</v>
      </c>
      <c r="F30" s="50" t="s">
        <v>35</v>
      </c>
      <c r="G30" s="50"/>
      <c r="H30" s="50"/>
      <c r="I30" s="50"/>
      <c r="J30" s="50"/>
      <c r="K30" s="50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15.75" customHeight="1">
      <c r="A31" s="71"/>
      <c r="B31" s="50" t="s">
        <v>453</v>
      </c>
      <c r="C31" s="50" t="s">
        <v>43</v>
      </c>
      <c r="D31" s="52">
        <v>45455</v>
      </c>
      <c r="E31" s="50">
        <v>951</v>
      </c>
      <c r="F31" s="50" t="s">
        <v>40</v>
      </c>
      <c r="G31" s="50"/>
      <c r="H31" s="50"/>
      <c r="I31" s="50"/>
      <c r="J31" s="50"/>
      <c r="K31" s="50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15.75" customHeight="1">
      <c r="A32" s="72"/>
      <c r="B32" s="50"/>
      <c r="C32" s="50"/>
      <c r="D32" s="52">
        <v>45455</v>
      </c>
      <c r="E32" s="50">
        <v>951</v>
      </c>
      <c r="F32" s="50" t="s">
        <v>35</v>
      </c>
      <c r="G32" s="50"/>
      <c r="H32" s="50"/>
      <c r="I32" s="50"/>
      <c r="J32" s="50"/>
      <c r="K32" s="50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ht="15.75" customHeight="1">
      <c r="A33" s="73" t="s">
        <v>454</v>
      </c>
      <c r="B33" s="59" t="s">
        <v>455</v>
      </c>
      <c r="C33" s="57" t="s">
        <v>43</v>
      </c>
      <c r="D33" s="59">
        <v>13</v>
      </c>
      <c r="E33" s="59">
        <v>1235</v>
      </c>
      <c r="F33" s="59" t="s">
        <v>40</v>
      </c>
      <c r="G33" s="47"/>
      <c r="H33" s="47"/>
      <c r="I33" s="47"/>
      <c r="J33" s="47"/>
      <c r="K33" s="47" t="s">
        <v>456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15.75" customHeight="1">
      <c r="A34" s="72"/>
      <c r="B34" s="59"/>
      <c r="C34" s="59"/>
      <c r="D34" s="59">
        <v>13</v>
      </c>
      <c r="E34" s="59">
        <v>1235</v>
      </c>
      <c r="F34" s="59" t="s">
        <v>35</v>
      </c>
      <c r="G34" s="47"/>
      <c r="H34" s="47"/>
      <c r="I34" s="47"/>
      <c r="J34" s="47"/>
      <c r="K34" s="47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ht="12.5">
      <c r="A35" s="77" t="s">
        <v>457</v>
      </c>
      <c r="B35" s="51" t="s">
        <v>458</v>
      </c>
      <c r="C35" s="53" t="s">
        <v>459</v>
      </c>
      <c r="D35" s="52">
        <v>45395</v>
      </c>
      <c r="E35" s="50">
        <v>1436</v>
      </c>
      <c r="F35" s="50" t="s">
        <v>40</v>
      </c>
      <c r="G35" s="50"/>
      <c r="H35" s="50"/>
      <c r="I35" s="50"/>
      <c r="J35" s="50"/>
      <c r="K35" s="5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12.5">
      <c r="A36" s="71"/>
      <c r="B36" s="50"/>
      <c r="C36" s="50"/>
      <c r="D36" s="52">
        <v>45395</v>
      </c>
      <c r="E36" s="50">
        <v>1436</v>
      </c>
      <c r="F36" s="50" t="s">
        <v>35</v>
      </c>
      <c r="G36" s="50"/>
      <c r="H36" s="50"/>
      <c r="I36" s="50"/>
      <c r="J36" s="50"/>
      <c r="K36" s="50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12.5">
      <c r="A37" s="71"/>
      <c r="B37" s="51" t="s">
        <v>460</v>
      </c>
      <c r="C37" s="53" t="s">
        <v>44</v>
      </c>
      <c r="D37" s="52">
        <v>45425</v>
      </c>
      <c r="E37" s="50">
        <v>1437</v>
      </c>
      <c r="F37" s="50" t="s">
        <v>40</v>
      </c>
      <c r="G37" s="50"/>
      <c r="H37" s="50"/>
      <c r="I37" s="50"/>
      <c r="J37" s="50"/>
      <c r="K37" s="50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2.5">
      <c r="A38" s="71"/>
      <c r="B38" s="50"/>
      <c r="C38" s="50"/>
      <c r="D38" s="52">
        <v>45425</v>
      </c>
      <c r="E38" s="50">
        <v>1437</v>
      </c>
      <c r="F38" s="50" t="s">
        <v>35</v>
      </c>
      <c r="G38" s="50"/>
      <c r="H38" s="50"/>
      <c r="I38" s="50"/>
      <c r="J38" s="50"/>
      <c r="K38" s="50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2.5">
      <c r="A39" s="71"/>
      <c r="B39" s="51" t="s">
        <v>461</v>
      </c>
      <c r="C39" s="53" t="s">
        <v>61</v>
      </c>
      <c r="D39" s="52">
        <v>45425</v>
      </c>
      <c r="E39" s="50">
        <v>1437</v>
      </c>
      <c r="F39" s="50" t="s">
        <v>40</v>
      </c>
      <c r="G39" s="50"/>
      <c r="H39" s="50"/>
      <c r="I39" s="50"/>
      <c r="J39" s="50"/>
      <c r="K39" s="50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12.5">
      <c r="A40" s="72"/>
      <c r="B40" s="50"/>
      <c r="C40" s="50"/>
      <c r="D40" s="52">
        <v>45425</v>
      </c>
      <c r="E40" s="50">
        <v>1437</v>
      </c>
      <c r="F40" s="50" t="s">
        <v>35</v>
      </c>
      <c r="G40" s="50"/>
      <c r="H40" s="50"/>
      <c r="I40" s="50"/>
      <c r="J40" s="50"/>
      <c r="K40" s="50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1:28" ht="12.5">
      <c r="A41" s="74" t="s">
        <v>462</v>
      </c>
      <c r="B41" s="47" t="s">
        <v>463</v>
      </c>
      <c r="C41" s="55" t="s">
        <v>449</v>
      </c>
      <c r="D41" s="54">
        <v>45547</v>
      </c>
      <c r="E41" s="47">
        <v>1289</v>
      </c>
      <c r="F41" s="47" t="s">
        <v>40</v>
      </c>
      <c r="G41" s="47"/>
      <c r="H41" s="47"/>
      <c r="I41" s="47"/>
      <c r="J41" s="47"/>
      <c r="K41" s="47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12.5">
      <c r="A42" s="71"/>
      <c r="B42" s="47"/>
      <c r="C42" s="47"/>
      <c r="D42" s="54">
        <v>45547</v>
      </c>
      <c r="E42" s="47">
        <v>1289</v>
      </c>
      <c r="F42" s="47" t="s">
        <v>35</v>
      </c>
      <c r="G42" s="47"/>
      <c r="H42" s="47"/>
      <c r="I42" s="47"/>
      <c r="J42" s="47"/>
      <c r="K42" s="47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12.5">
      <c r="A43" s="71"/>
      <c r="B43" s="47" t="s">
        <v>464</v>
      </c>
      <c r="C43" s="55" t="s">
        <v>45</v>
      </c>
      <c r="D43" s="54">
        <v>45547</v>
      </c>
      <c r="E43" s="47">
        <v>1285</v>
      </c>
      <c r="F43" s="47" t="s">
        <v>40</v>
      </c>
      <c r="G43" s="47"/>
      <c r="H43" s="47"/>
      <c r="I43" s="47"/>
      <c r="J43" s="47"/>
      <c r="K43" s="47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1:28" ht="12.5">
      <c r="A44" s="71"/>
      <c r="B44" s="47"/>
      <c r="C44" s="47"/>
      <c r="D44" s="54">
        <v>45547</v>
      </c>
      <c r="E44" s="47">
        <v>1285</v>
      </c>
      <c r="F44" s="47" t="s">
        <v>35</v>
      </c>
      <c r="G44" s="47"/>
      <c r="H44" s="47"/>
      <c r="I44" s="47"/>
      <c r="J44" s="47"/>
      <c r="K44" s="47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2.5">
      <c r="A45" s="71"/>
      <c r="B45" s="47" t="s">
        <v>465</v>
      </c>
      <c r="C45" s="55" t="s">
        <v>44</v>
      </c>
      <c r="D45" s="54">
        <v>45547</v>
      </c>
      <c r="E45" s="47">
        <v>1283</v>
      </c>
      <c r="F45" s="47" t="s">
        <v>40</v>
      </c>
      <c r="G45" s="47"/>
      <c r="H45" s="47"/>
      <c r="I45" s="47"/>
      <c r="J45" s="47"/>
      <c r="K45" s="47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2.5">
      <c r="A46" s="71"/>
      <c r="B46" s="47"/>
      <c r="C46" s="47"/>
      <c r="D46" s="54">
        <v>45547</v>
      </c>
      <c r="E46" s="47">
        <v>1283</v>
      </c>
      <c r="F46" s="47" t="s">
        <v>35</v>
      </c>
      <c r="G46" s="47"/>
      <c r="H46" s="47"/>
      <c r="I46" s="47"/>
      <c r="J46" s="47"/>
      <c r="K46" s="47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12.5">
      <c r="A47" s="71"/>
      <c r="B47" s="47" t="s">
        <v>466</v>
      </c>
      <c r="C47" s="55" t="s">
        <v>43</v>
      </c>
      <c r="D47" s="54">
        <v>45547</v>
      </c>
      <c r="E47" s="47">
        <v>1286</v>
      </c>
      <c r="F47" s="47" t="s">
        <v>40</v>
      </c>
      <c r="G47" s="47"/>
      <c r="H47" s="47"/>
      <c r="I47" s="47"/>
      <c r="J47" s="47"/>
      <c r="K47" s="47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12.5">
      <c r="A48" s="72"/>
      <c r="B48" s="47"/>
      <c r="C48" s="47"/>
      <c r="D48" s="54">
        <v>45547</v>
      </c>
      <c r="E48" s="47">
        <v>1286</v>
      </c>
      <c r="F48" s="47" t="s">
        <v>35</v>
      </c>
      <c r="G48" s="47"/>
      <c r="H48" s="47"/>
      <c r="I48" s="47"/>
      <c r="J48" s="47"/>
      <c r="K48" s="47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2.5">
      <c r="A49" s="70" t="s">
        <v>467</v>
      </c>
      <c r="B49" s="50" t="s">
        <v>468</v>
      </c>
      <c r="C49" s="50" t="s">
        <v>45</v>
      </c>
      <c r="D49" s="52">
        <v>45395</v>
      </c>
      <c r="E49" s="50">
        <v>945</v>
      </c>
      <c r="F49" s="50" t="s">
        <v>40</v>
      </c>
      <c r="G49" s="50"/>
      <c r="H49" s="50"/>
      <c r="I49" s="50"/>
      <c r="J49" s="50"/>
      <c r="K49" s="50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2.5">
      <c r="A50" s="71"/>
      <c r="B50" s="50"/>
      <c r="C50" s="50"/>
      <c r="D50" s="52">
        <v>45395</v>
      </c>
      <c r="E50" s="50">
        <v>945</v>
      </c>
      <c r="F50" s="50" t="s">
        <v>35</v>
      </c>
      <c r="G50" s="50"/>
      <c r="H50" s="50"/>
      <c r="I50" s="50"/>
      <c r="J50" s="50"/>
      <c r="K50" s="50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12.5">
      <c r="A51" s="71"/>
      <c r="B51" s="50" t="s">
        <v>469</v>
      </c>
      <c r="C51" s="50" t="s">
        <v>51</v>
      </c>
      <c r="D51" s="52">
        <v>45395</v>
      </c>
      <c r="E51" s="50">
        <v>948</v>
      </c>
      <c r="F51" s="50" t="s">
        <v>40</v>
      </c>
      <c r="G51" s="50"/>
      <c r="H51" s="50"/>
      <c r="I51" s="50"/>
      <c r="J51" s="50"/>
      <c r="K51" s="5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12.5">
      <c r="A52" s="71"/>
      <c r="B52" s="50"/>
      <c r="C52" s="50"/>
      <c r="D52" s="52">
        <v>45395</v>
      </c>
      <c r="E52" s="50">
        <v>948</v>
      </c>
      <c r="F52" s="50" t="s">
        <v>35</v>
      </c>
      <c r="G52" s="50"/>
      <c r="H52" s="50"/>
      <c r="I52" s="50"/>
      <c r="J52" s="50"/>
      <c r="K52" s="50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12.5">
      <c r="A53" s="71"/>
      <c r="B53" s="50" t="s">
        <v>470</v>
      </c>
      <c r="C53" s="50" t="s">
        <v>429</v>
      </c>
      <c r="D53" s="52">
        <v>45425</v>
      </c>
      <c r="E53" s="50">
        <v>945</v>
      </c>
      <c r="F53" s="50" t="s">
        <v>35</v>
      </c>
      <c r="G53" s="50"/>
      <c r="H53" s="50"/>
      <c r="I53" s="50"/>
      <c r="J53" s="50"/>
      <c r="K53" s="50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12.5">
      <c r="A54" s="72"/>
      <c r="B54" s="50" t="s">
        <v>471</v>
      </c>
      <c r="C54" s="50" t="s">
        <v>58</v>
      </c>
      <c r="D54" s="52">
        <v>45425</v>
      </c>
      <c r="E54" s="50">
        <v>944</v>
      </c>
      <c r="F54" s="50" t="s">
        <v>35</v>
      </c>
      <c r="G54" s="50"/>
      <c r="H54" s="50"/>
      <c r="I54" s="50"/>
      <c r="J54" s="50"/>
      <c r="K54" s="50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2.5">
      <c r="A55" s="74" t="s">
        <v>472</v>
      </c>
      <c r="B55" s="47" t="s">
        <v>473</v>
      </c>
      <c r="C55" s="47" t="s">
        <v>57</v>
      </c>
      <c r="D55" s="54">
        <v>45486</v>
      </c>
      <c r="E55" s="47">
        <v>1475</v>
      </c>
      <c r="F55" s="47" t="s">
        <v>40</v>
      </c>
      <c r="G55" s="47"/>
      <c r="H55" s="47"/>
      <c r="I55" s="47"/>
      <c r="J55" s="47"/>
      <c r="K55" s="47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2.5">
      <c r="A56" s="71"/>
      <c r="B56" s="47"/>
      <c r="C56" s="47"/>
      <c r="D56" s="54">
        <v>45486</v>
      </c>
      <c r="E56" s="47">
        <v>1475</v>
      </c>
      <c r="F56" s="47" t="s">
        <v>35</v>
      </c>
      <c r="G56" s="47"/>
      <c r="H56" s="47"/>
      <c r="I56" s="47"/>
      <c r="J56" s="47"/>
      <c r="K56" s="47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2.5">
      <c r="A57" s="72"/>
      <c r="B57" s="47" t="s">
        <v>474</v>
      </c>
      <c r="C57" s="47" t="s">
        <v>58</v>
      </c>
      <c r="D57" s="54">
        <v>45456</v>
      </c>
      <c r="E57" s="47">
        <v>1461</v>
      </c>
      <c r="F57" s="47" t="s">
        <v>40</v>
      </c>
      <c r="G57" s="47"/>
      <c r="H57" s="47"/>
      <c r="I57" s="47"/>
      <c r="J57" s="47"/>
      <c r="K57" s="47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2.5">
      <c r="A58" s="70" t="s">
        <v>475</v>
      </c>
      <c r="B58" s="50" t="s">
        <v>476</v>
      </c>
      <c r="C58" s="56" t="s">
        <v>57</v>
      </c>
      <c r="D58" s="64">
        <v>45517</v>
      </c>
      <c r="E58" s="56">
        <v>1265</v>
      </c>
      <c r="F58" s="56" t="s">
        <v>40</v>
      </c>
      <c r="G58" s="50"/>
      <c r="H58" s="50"/>
      <c r="I58" s="50"/>
      <c r="J58" s="50"/>
      <c r="K58" s="50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12.5">
      <c r="A59" s="71"/>
      <c r="B59" s="50"/>
      <c r="C59" s="56"/>
      <c r="D59" s="64">
        <v>45517</v>
      </c>
      <c r="E59" s="56">
        <v>1265</v>
      </c>
      <c r="F59" s="56" t="s">
        <v>35</v>
      </c>
      <c r="G59" s="50"/>
      <c r="H59" s="50"/>
      <c r="I59" s="50"/>
      <c r="J59" s="50"/>
      <c r="K59" s="50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2.5">
      <c r="A60" s="71"/>
      <c r="B60" s="50" t="s">
        <v>477</v>
      </c>
      <c r="C60" s="56" t="s">
        <v>61</v>
      </c>
      <c r="D60" s="64">
        <v>45517</v>
      </c>
      <c r="E60" s="56">
        <v>1266</v>
      </c>
      <c r="F60" s="56" t="s">
        <v>40</v>
      </c>
      <c r="G60" s="50"/>
      <c r="H60" s="50"/>
      <c r="I60" s="50"/>
      <c r="J60" s="50"/>
      <c r="K60" s="50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2.5">
      <c r="A61" s="71"/>
      <c r="B61" s="50"/>
      <c r="C61" s="56"/>
      <c r="D61" s="64">
        <v>45517</v>
      </c>
      <c r="E61" s="56">
        <v>1266</v>
      </c>
      <c r="F61" s="56" t="s">
        <v>35</v>
      </c>
      <c r="G61" s="50"/>
      <c r="H61" s="50"/>
      <c r="I61" s="50"/>
      <c r="J61" s="50"/>
      <c r="K61" s="50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2.5">
      <c r="A62" s="71"/>
      <c r="B62" s="50" t="s">
        <v>478</v>
      </c>
      <c r="C62" s="56" t="s">
        <v>58</v>
      </c>
      <c r="D62" s="64">
        <v>45517</v>
      </c>
      <c r="E62" s="56">
        <v>1265</v>
      </c>
      <c r="F62" s="56" t="s">
        <v>40</v>
      </c>
      <c r="G62" s="50"/>
      <c r="H62" s="50"/>
      <c r="I62" s="50"/>
      <c r="J62" s="50"/>
      <c r="K62" s="50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2.5">
      <c r="A63" s="72"/>
      <c r="B63" s="50"/>
      <c r="C63" s="56"/>
      <c r="D63" s="64">
        <v>45517</v>
      </c>
      <c r="E63" s="56">
        <v>1265</v>
      </c>
      <c r="F63" s="56" t="s">
        <v>35</v>
      </c>
      <c r="G63" s="50"/>
      <c r="H63" s="50"/>
      <c r="I63" s="50"/>
      <c r="J63" s="50"/>
      <c r="K63" s="50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2.5">
      <c r="A64" s="6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2.5">
      <c r="A65" s="6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2.5">
      <c r="A66" s="6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2.5">
      <c r="A67" s="6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2.5">
      <c r="A68" s="6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5.5">
      <c r="A69" s="78" t="s">
        <v>479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 spans="1:28" ht="13">
      <c r="A70" s="45"/>
      <c r="B70" s="46" t="s">
        <v>384</v>
      </c>
      <c r="C70" s="46" t="s">
        <v>416</v>
      </c>
      <c r="D70" s="46" t="s">
        <v>417</v>
      </c>
      <c r="E70" s="46" t="s">
        <v>418</v>
      </c>
      <c r="F70" s="46" t="s">
        <v>6</v>
      </c>
      <c r="G70" s="46" t="s">
        <v>0</v>
      </c>
      <c r="H70" s="46" t="s">
        <v>419</v>
      </c>
      <c r="I70" s="46" t="s">
        <v>420</v>
      </c>
      <c r="J70" s="46" t="s">
        <v>421</v>
      </c>
      <c r="K70" s="46" t="s">
        <v>422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2.5">
      <c r="A71" s="75" t="s">
        <v>480</v>
      </c>
      <c r="B71" s="47" t="s">
        <v>481</v>
      </c>
      <c r="C71" s="48" t="s">
        <v>482</v>
      </c>
      <c r="D71" s="47">
        <v>12</v>
      </c>
      <c r="E71" s="47">
        <v>449</v>
      </c>
      <c r="F71" s="48" t="s">
        <v>40</v>
      </c>
      <c r="G71" s="47"/>
      <c r="H71" s="47"/>
      <c r="I71" s="47"/>
      <c r="J71" s="47"/>
      <c r="K71" s="47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2.5">
      <c r="A72" s="71"/>
      <c r="B72" s="47"/>
      <c r="C72" s="47"/>
      <c r="D72" s="47">
        <v>12</v>
      </c>
      <c r="E72" s="47">
        <v>449</v>
      </c>
      <c r="F72" s="47" t="s">
        <v>35</v>
      </c>
      <c r="G72" s="47"/>
      <c r="H72" s="47"/>
      <c r="I72" s="47"/>
      <c r="J72" s="47"/>
      <c r="K72" s="47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2.5">
      <c r="A73" s="71"/>
      <c r="B73" s="47" t="s">
        <v>483</v>
      </c>
      <c r="C73" s="48" t="s">
        <v>43</v>
      </c>
      <c r="D73" s="47">
        <v>12</v>
      </c>
      <c r="E73" s="47">
        <v>449</v>
      </c>
      <c r="F73" s="48" t="s">
        <v>40</v>
      </c>
      <c r="G73" s="47"/>
      <c r="H73" s="47"/>
      <c r="I73" s="47"/>
      <c r="J73" s="47"/>
      <c r="K73" s="47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2.5">
      <c r="A74" s="71"/>
      <c r="B74" s="47"/>
      <c r="C74" s="47"/>
      <c r="D74" s="47">
        <v>12</v>
      </c>
      <c r="E74" s="47">
        <v>449</v>
      </c>
      <c r="F74" s="47" t="s">
        <v>35</v>
      </c>
      <c r="G74" s="47"/>
      <c r="H74" s="47"/>
      <c r="I74" s="47"/>
      <c r="J74" s="47"/>
      <c r="K74" s="47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2.5">
      <c r="A75" s="71"/>
      <c r="B75" s="47" t="s">
        <v>484</v>
      </c>
      <c r="C75" s="48" t="s">
        <v>485</v>
      </c>
      <c r="D75" s="54">
        <v>45515</v>
      </c>
      <c r="E75" s="47">
        <v>449</v>
      </c>
      <c r="F75" s="48" t="s">
        <v>40</v>
      </c>
      <c r="G75" s="47"/>
      <c r="H75" s="47"/>
      <c r="I75" s="47"/>
      <c r="J75" s="47"/>
      <c r="K75" s="47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2.5">
      <c r="A76" s="72"/>
      <c r="B76" s="47" t="s">
        <v>486</v>
      </c>
      <c r="C76" s="47"/>
      <c r="D76" s="54">
        <v>45546</v>
      </c>
      <c r="E76" s="47">
        <v>449</v>
      </c>
      <c r="F76" s="47" t="s">
        <v>35</v>
      </c>
      <c r="G76" s="47"/>
      <c r="H76" s="47"/>
      <c r="I76" s="47"/>
      <c r="J76" s="47"/>
      <c r="K76" s="47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2.5">
      <c r="A77" s="76" t="s">
        <v>487</v>
      </c>
      <c r="B77" s="56" t="s">
        <v>488</v>
      </c>
      <c r="C77" s="66" t="s">
        <v>58</v>
      </c>
      <c r="D77" s="67">
        <v>45303</v>
      </c>
      <c r="E77" s="68">
        <v>459</v>
      </c>
      <c r="F77" s="68" t="s">
        <v>40</v>
      </c>
      <c r="G77" s="50"/>
      <c r="H77" s="50"/>
      <c r="I77" s="50"/>
      <c r="J77" s="50"/>
      <c r="K77" s="50" t="s">
        <v>489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2.5">
      <c r="A78" s="71"/>
      <c r="B78" s="56"/>
      <c r="C78" s="56"/>
      <c r="D78" s="67">
        <v>45303</v>
      </c>
      <c r="E78" s="68">
        <v>459</v>
      </c>
      <c r="F78" s="56" t="s">
        <v>35</v>
      </c>
      <c r="G78" s="50"/>
      <c r="H78" s="50"/>
      <c r="I78" s="50"/>
      <c r="J78" s="50"/>
      <c r="K78" s="50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2.5">
      <c r="A79" s="71"/>
      <c r="B79" s="68" t="s">
        <v>490</v>
      </c>
      <c r="C79" s="66" t="s">
        <v>44</v>
      </c>
      <c r="D79" s="56">
        <v>12</v>
      </c>
      <c r="E79" s="56">
        <v>458</v>
      </c>
      <c r="F79" s="56" t="s">
        <v>40</v>
      </c>
      <c r="G79" s="50"/>
      <c r="H79" s="50"/>
      <c r="I79" s="50"/>
      <c r="J79" s="50"/>
      <c r="K79" s="50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2.5">
      <c r="A80" s="72"/>
      <c r="B80" s="56"/>
      <c r="C80" s="56"/>
      <c r="D80" s="56">
        <v>12</v>
      </c>
      <c r="E80" s="56">
        <v>458</v>
      </c>
      <c r="F80" s="56" t="s">
        <v>35</v>
      </c>
      <c r="G80" s="50"/>
      <c r="H80" s="50"/>
      <c r="I80" s="50"/>
      <c r="J80" s="50"/>
      <c r="K80" s="50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2.5">
      <c r="A81" s="74" t="s">
        <v>491</v>
      </c>
      <c r="B81" s="47" t="s">
        <v>492</v>
      </c>
      <c r="C81" s="55" t="s">
        <v>493</v>
      </c>
      <c r="D81" s="54">
        <v>45422</v>
      </c>
      <c r="E81" s="47">
        <v>421</v>
      </c>
      <c r="F81" s="47" t="s">
        <v>40</v>
      </c>
      <c r="G81" s="47"/>
      <c r="H81" s="47"/>
      <c r="I81" s="47"/>
      <c r="J81" s="47"/>
      <c r="K81" s="47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2.5">
      <c r="A82" s="71"/>
      <c r="B82" s="47"/>
      <c r="C82" s="47"/>
      <c r="D82" s="54">
        <v>45422</v>
      </c>
      <c r="E82" s="47">
        <v>421</v>
      </c>
      <c r="F82" s="47" t="s">
        <v>35</v>
      </c>
      <c r="G82" s="47"/>
      <c r="H82" s="47"/>
      <c r="I82" s="47"/>
      <c r="J82" s="47"/>
      <c r="K82" s="47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2.5">
      <c r="A83" s="71"/>
      <c r="B83" s="47" t="s">
        <v>494</v>
      </c>
      <c r="C83" s="55" t="s">
        <v>495</v>
      </c>
      <c r="D83" s="54">
        <v>45422</v>
      </c>
      <c r="E83" s="47">
        <v>422</v>
      </c>
      <c r="F83" s="47" t="s">
        <v>40</v>
      </c>
      <c r="G83" s="47"/>
      <c r="H83" s="47"/>
      <c r="I83" s="47"/>
      <c r="J83" s="47"/>
      <c r="K83" s="47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2.5">
      <c r="A84" s="71"/>
      <c r="B84" s="47"/>
      <c r="C84" s="47"/>
      <c r="D84" s="54">
        <v>45422</v>
      </c>
      <c r="E84" s="47">
        <v>422</v>
      </c>
      <c r="F84" s="47" t="s">
        <v>35</v>
      </c>
      <c r="G84" s="47"/>
      <c r="H84" s="47"/>
      <c r="I84" s="47"/>
      <c r="J84" s="47"/>
      <c r="K84" s="47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2.5">
      <c r="A85" s="71"/>
      <c r="B85" s="47" t="s">
        <v>496</v>
      </c>
      <c r="C85" s="55" t="s">
        <v>58</v>
      </c>
      <c r="D85" s="54">
        <v>45392</v>
      </c>
      <c r="E85" s="47">
        <v>422</v>
      </c>
      <c r="F85" s="47" t="s">
        <v>40</v>
      </c>
      <c r="G85" s="47"/>
      <c r="H85" s="47"/>
      <c r="I85" s="47"/>
      <c r="J85" s="47"/>
      <c r="K85" s="47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2.5">
      <c r="A86" s="71"/>
      <c r="B86" s="47"/>
      <c r="C86" s="47"/>
      <c r="D86" s="54">
        <v>45392</v>
      </c>
      <c r="E86" s="47">
        <v>422</v>
      </c>
      <c r="F86" s="47" t="s">
        <v>35</v>
      </c>
      <c r="G86" s="47"/>
      <c r="H86" s="47"/>
      <c r="I86" s="47"/>
      <c r="J86" s="47"/>
      <c r="K86" s="47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2.5">
      <c r="A87" s="71"/>
      <c r="B87" s="47" t="s">
        <v>497</v>
      </c>
      <c r="C87" s="55" t="s">
        <v>498</v>
      </c>
      <c r="D87" s="54">
        <v>45422</v>
      </c>
      <c r="E87" s="47">
        <v>422</v>
      </c>
      <c r="F87" s="47" t="s">
        <v>40</v>
      </c>
      <c r="G87" s="47"/>
      <c r="H87" s="47"/>
      <c r="I87" s="47"/>
      <c r="J87" s="47"/>
      <c r="K87" s="47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2.5">
      <c r="A88" s="72"/>
      <c r="B88" s="47"/>
      <c r="C88" s="47"/>
      <c r="D88" s="54">
        <v>45422</v>
      </c>
      <c r="E88" s="47">
        <v>422</v>
      </c>
      <c r="F88" s="47" t="s">
        <v>35</v>
      </c>
      <c r="G88" s="47"/>
      <c r="H88" s="47"/>
      <c r="I88" s="47"/>
      <c r="J88" s="47"/>
      <c r="K88" s="47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2.5">
      <c r="A89" s="70" t="s">
        <v>499</v>
      </c>
      <c r="B89" s="50" t="s">
        <v>500</v>
      </c>
      <c r="C89" s="53" t="s">
        <v>501</v>
      </c>
      <c r="D89" s="52">
        <v>45303</v>
      </c>
      <c r="E89" s="50">
        <v>586</v>
      </c>
      <c r="F89" s="50" t="s">
        <v>40</v>
      </c>
      <c r="G89" s="50"/>
      <c r="H89" s="50"/>
      <c r="I89" s="50"/>
      <c r="J89" s="50"/>
      <c r="K89" s="50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2.5">
      <c r="A90" s="71"/>
      <c r="B90" s="50"/>
      <c r="C90" s="50"/>
      <c r="D90" s="52">
        <v>45303</v>
      </c>
      <c r="E90" s="50">
        <v>586</v>
      </c>
      <c r="F90" s="50" t="s">
        <v>35</v>
      </c>
      <c r="G90" s="50"/>
      <c r="H90" s="50"/>
      <c r="I90" s="50"/>
      <c r="J90" s="50"/>
      <c r="K90" s="50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2.5">
      <c r="A91" s="71"/>
      <c r="B91" s="50" t="s">
        <v>502</v>
      </c>
      <c r="C91" s="53" t="s">
        <v>58</v>
      </c>
      <c r="D91" s="52">
        <v>45303</v>
      </c>
      <c r="E91" s="50">
        <v>585</v>
      </c>
      <c r="F91" s="50" t="s">
        <v>40</v>
      </c>
      <c r="G91" s="50"/>
      <c r="H91" s="50"/>
      <c r="I91" s="50"/>
      <c r="J91" s="50"/>
      <c r="K91" s="50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2.5">
      <c r="A92" s="72"/>
      <c r="B92" s="50"/>
      <c r="C92" s="50"/>
      <c r="D92" s="52">
        <v>45303</v>
      </c>
      <c r="E92" s="50">
        <v>585</v>
      </c>
      <c r="F92" s="50" t="s">
        <v>35</v>
      </c>
      <c r="G92" s="50"/>
      <c r="H92" s="50"/>
      <c r="I92" s="50"/>
      <c r="J92" s="50"/>
      <c r="K92" s="50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2.5">
      <c r="A93" s="73" t="s">
        <v>503</v>
      </c>
      <c r="B93" s="59" t="s">
        <v>504</v>
      </c>
      <c r="C93" s="57" t="s">
        <v>493</v>
      </c>
      <c r="D93" s="58">
        <v>45333</v>
      </c>
      <c r="E93" s="59">
        <v>507</v>
      </c>
      <c r="F93" s="59" t="s">
        <v>40</v>
      </c>
      <c r="G93" s="47"/>
      <c r="H93" s="47"/>
      <c r="I93" s="47"/>
      <c r="J93" s="47"/>
      <c r="K93" s="47" t="s">
        <v>505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2.5">
      <c r="A94" s="71"/>
      <c r="B94" s="59"/>
      <c r="C94" s="59"/>
      <c r="D94" s="58">
        <v>45333</v>
      </c>
      <c r="E94" s="59">
        <v>507</v>
      </c>
      <c r="F94" s="59" t="s">
        <v>35</v>
      </c>
      <c r="G94" s="47"/>
      <c r="H94" s="47"/>
      <c r="I94" s="47"/>
      <c r="J94" s="47"/>
      <c r="K94" s="47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2.5">
      <c r="A95" s="71"/>
      <c r="B95" s="59" t="s">
        <v>506</v>
      </c>
      <c r="C95" s="57" t="s">
        <v>507</v>
      </c>
      <c r="D95" s="58">
        <v>45333</v>
      </c>
      <c r="E95" s="59">
        <v>506</v>
      </c>
      <c r="F95" s="59" t="s">
        <v>35</v>
      </c>
      <c r="G95" s="47"/>
      <c r="H95" s="47"/>
      <c r="I95" s="47"/>
      <c r="J95" s="47"/>
      <c r="K95" s="47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2.5">
      <c r="A96" s="72"/>
      <c r="B96" s="59" t="s">
        <v>508</v>
      </c>
      <c r="C96" s="69" t="s">
        <v>509</v>
      </c>
      <c r="D96" s="58">
        <v>45333</v>
      </c>
      <c r="E96" s="59">
        <v>506</v>
      </c>
      <c r="F96" s="59" t="s">
        <v>35</v>
      </c>
      <c r="G96" s="47"/>
      <c r="H96" s="47"/>
      <c r="I96" s="47"/>
      <c r="J96" s="47"/>
      <c r="K96" s="47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2.5">
      <c r="A97" s="70" t="s">
        <v>510</v>
      </c>
      <c r="B97" s="50" t="s">
        <v>511</v>
      </c>
      <c r="C97" s="53" t="s">
        <v>493</v>
      </c>
      <c r="D97" s="52">
        <v>45483</v>
      </c>
      <c r="E97" s="50">
        <v>585</v>
      </c>
      <c r="F97" s="50" t="s">
        <v>40</v>
      </c>
      <c r="G97" s="50"/>
      <c r="H97" s="50"/>
      <c r="I97" s="50"/>
      <c r="J97" s="50"/>
      <c r="K97" s="50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2.5">
      <c r="A98" s="71"/>
      <c r="B98" s="50"/>
      <c r="C98" s="50"/>
      <c r="D98" s="52">
        <v>45483</v>
      </c>
      <c r="E98" s="50">
        <v>585</v>
      </c>
      <c r="F98" s="50" t="s">
        <v>35</v>
      </c>
      <c r="G98" s="50"/>
      <c r="H98" s="50"/>
      <c r="I98" s="50"/>
      <c r="J98" s="50"/>
      <c r="K98" s="50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2.5">
      <c r="A99" s="71"/>
      <c r="B99" s="50" t="s">
        <v>512</v>
      </c>
      <c r="C99" s="53" t="s">
        <v>513</v>
      </c>
      <c r="D99" s="52">
        <v>45483</v>
      </c>
      <c r="E99" s="50">
        <v>585</v>
      </c>
      <c r="F99" s="50" t="s">
        <v>40</v>
      </c>
      <c r="G99" s="50"/>
      <c r="H99" s="50"/>
      <c r="I99" s="50"/>
      <c r="J99" s="50"/>
      <c r="K99" s="50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2.5">
      <c r="A100" s="71"/>
      <c r="B100" s="50"/>
      <c r="C100" s="50"/>
      <c r="D100" s="52">
        <v>45483</v>
      </c>
      <c r="E100" s="50">
        <v>585</v>
      </c>
      <c r="F100" s="50" t="s">
        <v>35</v>
      </c>
      <c r="G100" s="50"/>
      <c r="H100" s="50"/>
      <c r="I100" s="50"/>
      <c r="J100" s="50"/>
      <c r="K100" s="50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2.5">
      <c r="A101" s="71"/>
      <c r="B101" s="50" t="s">
        <v>514</v>
      </c>
      <c r="C101" s="53" t="s">
        <v>58</v>
      </c>
      <c r="D101" s="52">
        <v>45483</v>
      </c>
      <c r="E101" s="50">
        <v>585</v>
      </c>
      <c r="F101" s="50" t="s">
        <v>40</v>
      </c>
      <c r="G101" s="50"/>
      <c r="H101" s="50"/>
      <c r="I101" s="50"/>
      <c r="J101" s="50"/>
      <c r="K101" s="50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2.5">
      <c r="A102" s="71"/>
      <c r="B102" s="50"/>
      <c r="C102" s="50"/>
      <c r="D102" s="52">
        <v>45483</v>
      </c>
      <c r="E102" s="50">
        <v>585</v>
      </c>
      <c r="F102" s="50" t="s">
        <v>35</v>
      </c>
      <c r="G102" s="50"/>
      <c r="H102" s="50"/>
      <c r="I102" s="50"/>
      <c r="J102" s="50"/>
      <c r="K102" s="50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2.5">
      <c r="A103" s="72"/>
      <c r="B103" s="50" t="s">
        <v>515</v>
      </c>
      <c r="C103" s="53" t="s">
        <v>509</v>
      </c>
      <c r="D103" s="52">
        <v>45483</v>
      </c>
      <c r="E103" s="50">
        <v>585</v>
      </c>
      <c r="F103" s="50" t="s">
        <v>35</v>
      </c>
      <c r="G103" s="50"/>
      <c r="H103" s="50"/>
      <c r="I103" s="50"/>
      <c r="J103" s="50"/>
      <c r="K103" s="50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2.5">
      <c r="A104" s="74" t="s">
        <v>516</v>
      </c>
      <c r="B104" s="47" t="s">
        <v>517</v>
      </c>
      <c r="C104" s="55" t="s">
        <v>44</v>
      </c>
      <c r="D104" s="54">
        <v>45516</v>
      </c>
      <c r="E104" s="47">
        <v>491</v>
      </c>
      <c r="F104" s="47" t="s">
        <v>40</v>
      </c>
      <c r="G104" s="47"/>
      <c r="H104" s="47"/>
      <c r="I104" s="47"/>
      <c r="J104" s="47"/>
      <c r="K104" s="47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2.5">
      <c r="A105" s="71"/>
      <c r="B105" s="47"/>
      <c r="C105" s="47"/>
      <c r="D105" s="54">
        <v>45516</v>
      </c>
      <c r="E105" s="47">
        <v>491</v>
      </c>
      <c r="F105" s="47" t="s">
        <v>35</v>
      </c>
      <c r="G105" s="47"/>
      <c r="H105" s="47"/>
      <c r="I105" s="47"/>
      <c r="J105" s="47"/>
      <c r="K105" s="47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2.5">
      <c r="A106" s="71"/>
      <c r="B106" s="47" t="s">
        <v>518</v>
      </c>
      <c r="C106" s="55" t="s">
        <v>519</v>
      </c>
      <c r="D106" s="54">
        <v>45547</v>
      </c>
      <c r="E106" s="47">
        <v>492</v>
      </c>
      <c r="F106" s="47" t="s">
        <v>35</v>
      </c>
      <c r="G106" s="47"/>
      <c r="H106" s="47"/>
      <c r="I106" s="47"/>
      <c r="J106" s="47"/>
      <c r="K106" s="47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2.5">
      <c r="A107" s="71"/>
      <c r="B107" s="47" t="s">
        <v>520</v>
      </c>
      <c r="C107" s="55" t="s">
        <v>521</v>
      </c>
      <c r="D107" s="54">
        <v>45516</v>
      </c>
      <c r="E107" s="47">
        <v>492</v>
      </c>
      <c r="F107" s="47" t="s">
        <v>35</v>
      </c>
      <c r="G107" s="47"/>
      <c r="H107" s="47"/>
      <c r="I107" s="47"/>
      <c r="J107" s="47"/>
      <c r="K107" s="47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2.5">
      <c r="A108" s="72"/>
      <c r="B108" s="47" t="s">
        <v>522</v>
      </c>
      <c r="C108" s="55" t="s">
        <v>523</v>
      </c>
      <c r="D108" s="54">
        <v>45516</v>
      </c>
      <c r="E108" s="47">
        <v>492</v>
      </c>
      <c r="F108" s="47" t="s">
        <v>35</v>
      </c>
      <c r="G108" s="47"/>
      <c r="H108" s="47"/>
      <c r="I108" s="47"/>
      <c r="J108" s="47"/>
      <c r="K108" s="47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2.5">
      <c r="A109" s="70" t="s">
        <v>524</v>
      </c>
      <c r="B109" s="50" t="s">
        <v>525</v>
      </c>
      <c r="C109" s="53" t="s">
        <v>431</v>
      </c>
      <c r="D109" s="52">
        <v>45486</v>
      </c>
      <c r="E109" s="50">
        <v>504</v>
      </c>
      <c r="F109" s="50" t="s">
        <v>40</v>
      </c>
      <c r="G109" s="50"/>
      <c r="H109" s="50"/>
      <c r="I109" s="50"/>
      <c r="J109" s="50"/>
      <c r="K109" s="50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2.5">
      <c r="A110" s="71"/>
      <c r="B110" s="50"/>
      <c r="C110" s="50"/>
      <c r="D110" s="52">
        <v>45486</v>
      </c>
      <c r="E110" s="50">
        <v>504</v>
      </c>
      <c r="F110" s="50" t="s">
        <v>35</v>
      </c>
      <c r="G110" s="50"/>
      <c r="H110" s="50"/>
      <c r="I110" s="50"/>
      <c r="J110" s="50"/>
      <c r="K110" s="50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2.5">
      <c r="A111" s="71"/>
      <c r="B111" s="50" t="s">
        <v>526</v>
      </c>
      <c r="C111" s="53" t="s">
        <v>43</v>
      </c>
      <c r="D111" s="52">
        <v>45486</v>
      </c>
      <c r="E111" s="50">
        <v>504</v>
      </c>
      <c r="F111" s="50" t="s">
        <v>40</v>
      </c>
      <c r="G111" s="50"/>
      <c r="H111" s="50"/>
      <c r="I111" s="50"/>
      <c r="J111" s="50"/>
      <c r="K111" s="50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2.5">
      <c r="A112" s="71"/>
      <c r="B112" s="50"/>
      <c r="C112" s="50"/>
      <c r="D112" s="52">
        <v>45486</v>
      </c>
      <c r="E112" s="50">
        <v>504</v>
      </c>
      <c r="F112" s="50" t="s">
        <v>35</v>
      </c>
      <c r="G112" s="50"/>
      <c r="H112" s="50"/>
      <c r="I112" s="50"/>
      <c r="J112" s="50"/>
      <c r="K112" s="50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2.5">
      <c r="A113" s="71"/>
      <c r="B113" s="50" t="s">
        <v>527</v>
      </c>
      <c r="C113" s="53" t="s">
        <v>528</v>
      </c>
      <c r="D113" s="52">
        <v>45456</v>
      </c>
      <c r="E113" s="50">
        <v>504</v>
      </c>
      <c r="F113" s="50" t="s">
        <v>35</v>
      </c>
      <c r="G113" s="50"/>
      <c r="H113" s="50"/>
      <c r="I113" s="50"/>
      <c r="J113" s="50"/>
      <c r="K113" s="50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2.5">
      <c r="A114" s="72"/>
      <c r="B114" s="50" t="s">
        <v>529</v>
      </c>
      <c r="C114" s="53" t="s">
        <v>482</v>
      </c>
      <c r="D114" s="52">
        <v>45486</v>
      </c>
      <c r="E114" s="50">
        <v>504</v>
      </c>
      <c r="F114" s="50" t="s">
        <v>35</v>
      </c>
      <c r="G114" s="50"/>
      <c r="H114" s="50"/>
      <c r="I114" s="50"/>
      <c r="J114" s="50"/>
      <c r="K114" s="50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2.5">
      <c r="A115" s="6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2.5">
      <c r="A116" s="65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2.5">
      <c r="A117" s="6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2.5">
      <c r="A118" s="6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2.5">
      <c r="A119" s="6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2.5">
      <c r="A120" s="6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2.5">
      <c r="A121" s="6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2.5">
      <c r="A122" s="6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2.5">
      <c r="A123" s="6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2.5">
      <c r="A124" s="6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2.5">
      <c r="A125" s="6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2.5">
      <c r="A126" s="6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2.5">
      <c r="A127" s="6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2.5">
      <c r="A128" s="6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2.5">
      <c r="A129" s="6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2.5">
      <c r="A130" s="6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2.5">
      <c r="A131" s="6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2.5">
      <c r="A132" s="6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2.5">
      <c r="A133" s="6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2.5">
      <c r="A134" s="6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2.5">
      <c r="A135" s="6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2.5">
      <c r="A136" s="6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2.5">
      <c r="A137" s="6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2.5">
      <c r="A138" s="6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2.5">
      <c r="A139" s="6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2.5">
      <c r="A140" s="6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2.5">
      <c r="A141" s="6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2.5">
      <c r="A142" s="6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2.5">
      <c r="A143" s="6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2.5">
      <c r="A144" s="6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2.5">
      <c r="A145" s="6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2.5">
      <c r="A146" s="6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2.5">
      <c r="A147" s="6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2.5">
      <c r="A148" s="6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2.5">
      <c r="A149" s="6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2.5">
      <c r="A150" s="6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2.5">
      <c r="A151" s="6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2.5">
      <c r="A152" s="6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2.5">
      <c r="A153" s="6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2.5">
      <c r="A154" s="6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2.5">
      <c r="A155" s="6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2.5">
      <c r="A156" s="6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2.5">
      <c r="A157" s="6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2.5">
      <c r="A158" s="6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2.5">
      <c r="A159" s="6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2.5">
      <c r="A160" s="6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2.5">
      <c r="A161" s="6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2.5">
      <c r="A162" s="6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2.5">
      <c r="A163" s="65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2.5">
      <c r="A164" s="6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2.5">
      <c r="A165" s="65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2.5">
      <c r="A166" s="6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2.5">
      <c r="A167" s="65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2.5">
      <c r="A168" s="65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2.5">
      <c r="A169" s="65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2.5">
      <c r="A170" s="65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2.5">
      <c r="A171" s="65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2.5">
      <c r="A172" s="65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2.5">
      <c r="A173" s="65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2.5">
      <c r="A174" s="65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2.5">
      <c r="A175" s="65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2.5">
      <c r="A176" s="65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2.5">
      <c r="A177" s="6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2.5">
      <c r="A178" s="6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2.5">
      <c r="A179" s="65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2.5">
      <c r="A180" s="6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2.5">
      <c r="A181" s="65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2.5">
      <c r="A182" s="65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2.5">
      <c r="A183" s="65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2.5">
      <c r="A184" s="6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2.5">
      <c r="A185" s="65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2.5">
      <c r="A186" s="65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2.5">
      <c r="A187" s="65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2.5">
      <c r="A188" s="65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2.5">
      <c r="A189" s="65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2.5">
      <c r="A190" s="65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2.5">
      <c r="A191" s="65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2.5">
      <c r="A192" s="65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2.5">
      <c r="A193" s="65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2.5">
      <c r="A194" s="65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2.5">
      <c r="A195" s="65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2.5">
      <c r="A196" s="65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2.5">
      <c r="A197" s="65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2.5">
      <c r="A198" s="65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2.5">
      <c r="A199" s="6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2.5">
      <c r="A200" s="65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2.5">
      <c r="A201" s="65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2.5">
      <c r="A202" s="65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2.5">
      <c r="A203" s="65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2.5">
      <c r="A204" s="65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2.5">
      <c r="A205" s="65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2.5">
      <c r="A206" s="65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2.5">
      <c r="A207" s="65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2.5">
      <c r="A208" s="65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2.5">
      <c r="A209" s="65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2.5">
      <c r="A210" s="65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2.5">
      <c r="A211" s="65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2.5">
      <c r="A212" s="65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2.5">
      <c r="A213" s="65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2.5">
      <c r="A214" s="65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2.5">
      <c r="A215" s="65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2.5">
      <c r="A216" s="65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2.5">
      <c r="A217" s="65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2.5">
      <c r="A218" s="6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2.5">
      <c r="A219" s="65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2.5">
      <c r="A220" s="65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2.5">
      <c r="A221" s="65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2.5">
      <c r="A222" s="65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2.5">
      <c r="A223" s="65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2.5">
      <c r="A224" s="65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2.5">
      <c r="A225" s="65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2.5">
      <c r="A226" s="65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2.5">
      <c r="A227" s="65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2.5">
      <c r="A228" s="65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2.5">
      <c r="A229" s="65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2.5">
      <c r="A230" s="65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2.5">
      <c r="A231" s="65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2.5">
      <c r="A232" s="65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2.5">
      <c r="A233" s="65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2.5">
      <c r="A234" s="65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2.5">
      <c r="A235" s="65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2.5">
      <c r="A236" s="65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2.5">
      <c r="A237" s="6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2.5">
      <c r="A238" s="65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2.5">
      <c r="A239" s="65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2.5">
      <c r="A240" s="65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2.5">
      <c r="A241" s="65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2.5">
      <c r="A242" s="65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2.5">
      <c r="A243" s="65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2.5">
      <c r="A244" s="65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2.5">
      <c r="A245" s="65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2.5">
      <c r="A246" s="65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2.5">
      <c r="A247" s="65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2.5">
      <c r="A248" s="65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2.5">
      <c r="A249" s="65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2.5">
      <c r="A250" s="65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2.5">
      <c r="A251" s="65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2.5">
      <c r="A252" s="65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2.5">
      <c r="A253" s="65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2.5">
      <c r="A254" s="65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2.5">
      <c r="A255" s="65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2.5">
      <c r="A256" s="6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2.5">
      <c r="A257" s="65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2.5">
      <c r="A258" s="65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2.5">
      <c r="A259" s="65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2.5">
      <c r="A260" s="65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2.5">
      <c r="A261" s="65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2.5">
      <c r="A262" s="65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2.5">
      <c r="A263" s="65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2.5">
      <c r="A264" s="65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2.5">
      <c r="A265" s="65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2.5">
      <c r="A266" s="65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2.5">
      <c r="A267" s="65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2.5">
      <c r="A268" s="65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2.5">
      <c r="A269" s="65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2.5">
      <c r="A270" s="65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2.5">
      <c r="A271" s="65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2.5">
      <c r="A272" s="65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2.5">
      <c r="A273" s="65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2.5">
      <c r="A274" s="65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2.5">
      <c r="A275" s="6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2.5">
      <c r="A276" s="65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2.5">
      <c r="A277" s="65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2.5">
      <c r="A278" s="65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2.5">
      <c r="A279" s="65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2.5">
      <c r="A280" s="65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2.5">
      <c r="A281" s="65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2.5">
      <c r="A282" s="65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2.5">
      <c r="A283" s="65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2.5">
      <c r="A284" s="65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2.5">
      <c r="A285" s="65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2.5">
      <c r="A286" s="65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2.5">
      <c r="A287" s="65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2.5">
      <c r="A288" s="65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2.5">
      <c r="A289" s="65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2.5">
      <c r="A290" s="65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2.5">
      <c r="A291" s="65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2.5">
      <c r="A292" s="65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2.5">
      <c r="A293" s="65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2.5">
      <c r="A294" s="6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2.5">
      <c r="A295" s="65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2.5">
      <c r="A296" s="65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2.5">
      <c r="A297" s="65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2.5">
      <c r="A298" s="65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2.5">
      <c r="A299" s="65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2.5">
      <c r="A300" s="65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2.5">
      <c r="A301" s="65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2.5">
      <c r="A302" s="65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2.5">
      <c r="A303" s="65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2.5">
      <c r="A304" s="65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2.5">
      <c r="A305" s="65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2.5">
      <c r="A306" s="65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2.5">
      <c r="A307" s="65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2.5">
      <c r="A308" s="65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2.5">
      <c r="A309" s="65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2.5">
      <c r="A310" s="65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2.5">
      <c r="A311" s="65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2.5">
      <c r="A312" s="65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2.5">
      <c r="A313" s="6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2.5">
      <c r="A314" s="65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2.5">
      <c r="A315" s="65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2.5">
      <c r="A316" s="65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2.5">
      <c r="A317" s="65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2.5">
      <c r="A318" s="65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2.5">
      <c r="A319" s="65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2.5">
      <c r="A320" s="65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2.5">
      <c r="A321" s="65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2.5">
      <c r="A322" s="65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2.5">
      <c r="A323" s="65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2.5">
      <c r="A324" s="65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2.5">
      <c r="A325" s="65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2.5">
      <c r="A326" s="65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2.5">
      <c r="A327" s="65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2.5">
      <c r="A328" s="65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2.5">
      <c r="A329" s="65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2.5">
      <c r="A330" s="65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2.5">
      <c r="A331" s="65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2.5">
      <c r="A332" s="6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2.5">
      <c r="A333" s="65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2.5">
      <c r="A334" s="65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2.5">
      <c r="A335" s="65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2.5">
      <c r="A336" s="65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2.5">
      <c r="A337" s="65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2.5">
      <c r="A338" s="65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2.5">
      <c r="A339" s="65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2.5">
      <c r="A340" s="65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2.5">
      <c r="A341" s="65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2.5">
      <c r="A342" s="65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2.5">
      <c r="A343" s="65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2.5">
      <c r="A344" s="65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2.5">
      <c r="A345" s="65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2.5">
      <c r="A346" s="65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2.5">
      <c r="A347" s="65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2.5">
      <c r="A348" s="65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2.5">
      <c r="A349" s="65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2.5">
      <c r="A350" s="65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2.5">
      <c r="A351" s="6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2.5">
      <c r="A352" s="65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2.5">
      <c r="A353" s="65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2.5">
      <c r="A354" s="65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2.5">
      <c r="A355" s="65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2.5">
      <c r="A356" s="65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2.5">
      <c r="A357" s="65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2.5">
      <c r="A358" s="65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2.5">
      <c r="A359" s="65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2.5">
      <c r="A360" s="65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2.5">
      <c r="A361" s="65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2.5">
      <c r="A362" s="65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2.5">
      <c r="A363" s="65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2.5">
      <c r="A364" s="65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2.5">
      <c r="A365" s="65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2.5">
      <c r="A366" s="65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2.5">
      <c r="A367" s="65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2.5">
      <c r="A368" s="65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2.5">
      <c r="A369" s="65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2.5">
      <c r="A370" s="6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2.5">
      <c r="A371" s="65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2.5">
      <c r="A372" s="65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2.5">
      <c r="A373" s="65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2.5">
      <c r="A374" s="65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2.5">
      <c r="A375" s="65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2.5">
      <c r="A376" s="65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2.5">
      <c r="A377" s="65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2.5">
      <c r="A378" s="65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2.5">
      <c r="A379" s="65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2.5">
      <c r="A380" s="65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2.5">
      <c r="A381" s="65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2.5">
      <c r="A382" s="65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2.5">
      <c r="A383" s="65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2.5">
      <c r="A384" s="65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2.5">
      <c r="A385" s="65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2.5">
      <c r="A386" s="65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2.5">
      <c r="A387" s="65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2.5">
      <c r="A388" s="65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2.5">
      <c r="A389" s="6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2.5">
      <c r="A390" s="65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2.5">
      <c r="A391" s="65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2.5">
      <c r="A392" s="65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2.5">
      <c r="A393" s="65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2.5">
      <c r="A394" s="65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2.5">
      <c r="A395" s="65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2.5">
      <c r="A396" s="65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2.5">
      <c r="A397" s="65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2.5">
      <c r="A398" s="65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2.5">
      <c r="A399" s="65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2.5">
      <c r="A400" s="65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2.5">
      <c r="A401" s="65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2.5">
      <c r="A402" s="65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2.5">
      <c r="A403" s="65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2.5">
      <c r="A404" s="65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2.5">
      <c r="A405" s="65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2.5">
      <c r="A406" s="65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2.5">
      <c r="A407" s="65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2.5">
      <c r="A408" s="6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2.5">
      <c r="A409" s="65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2.5">
      <c r="A410" s="65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2.5">
      <c r="A411" s="65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2.5">
      <c r="A412" s="65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2.5">
      <c r="A413" s="65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2.5">
      <c r="A414" s="65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2.5">
      <c r="A415" s="65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2.5">
      <c r="A416" s="65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2.5">
      <c r="A417" s="65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2.5">
      <c r="A418" s="65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2.5">
      <c r="A419" s="65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2.5">
      <c r="A420" s="65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2.5">
      <c r="A421" s="65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2.5">
      <c r="A422" s="65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2.5">
      <c r="A423" s="65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2.5">
      <c r="A424" s="65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2.5">
      <c r="A425" s="65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2.5">
      <c r="A426" s="65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2.5">
      <c r="A427" s="6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2.5">
      <c r="A428" s="65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2.5">
      <c r="A429" s="65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2.5">
      <c r="A430" s="65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2.5">
      <c r="A431" s="65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2.5">
      <c r="A432" s="65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2.5">
      <c r="A433" s="65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2.5">
      <c r="A434" s="65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2.5">
      <c r="A435" s="65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2.5">
      <c r="A436" s="65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2.5">
      <c r="A437" s="65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2.5">
      <c r="A438" s="65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2.5">
      <c r="A439" s="65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2.5">
      <c r="A440" s="65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2.5">
      <c r="A441" s="65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2.5">
      <c r="A442" s="65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2.5">
      <c r="A443" s="65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2.5">
      <c r="A444" s="65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2.5">
      <c r="A445" s="65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2.5">
      <c r="A446" s="6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2.5">
      <c r="A447" s="65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2.5">
      <c r="A448" s="65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2.5">
      <c r="A449" s="65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2.5">
      <c r="A450" s="65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2.5">
      <c r="A451" s="65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2.5">
      <c r="A452" s="65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2.5">
      <c r="A453" s="65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2.5">
      <c r="A454" s="65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2.5">
      <c r="A455" s="65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2.5">
      <c r="A456" s="65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2.5">
      <c r="A457" s="65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2.5">
      <c r="A458" s="65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2.5">
      <c r="A459" s="65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2.5">
      <c r="A460" s="65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2.5">
      <c r="A461" s="65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2.5">
      <c r="A462" s="65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2.5">
      <c r="A463" s="65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2.5">
      <c r="A464" s="65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2.5">
      <c r="A465" s="6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2.5">
      <c r="A466" s="65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2.5">
      <c r="A467" s="65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2.5">
      <c r="A468" s="65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2.5">
      <c r="A469" s="65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2.5">
      <c r="A470" s="65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2.5">
      <c r="A471" s="65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2.5">
      <c r="A472" s="65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2.5">
      <c r="A473" s="65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2.5">
      <c r="A474" s="65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2.5">
      <c r="A475" s="65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2.5">
      <c r="A476" s="65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2.5">
      <c r="A477" s="65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2.5">
      <c r="A478" s="65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2.5">
      <c r="A479" s="65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2.5">
      <c r="A480" s="65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2.5">
      <c r="A481" s="65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2.5">
      <c r="A482" s="65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2.5">
      <c r="A483" s="65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2.5">
      <c r="A484" s="6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2.5">
      <c r="A485" s="65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2.5">
      <c r="A486" s="65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2.5">
      <c r="A487" s="65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2.5">
      <c r="A488" s="65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2.5">
      <c r="A489" s="65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2.5">
      <c r="A490" s="65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2.5">
      <c r="A491" s="65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2.5">
      <c r="A492" s="65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2.5">
      <c r="A493" s="65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2.5">
      <c r="A494" s="65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2.5">
      <c r="A495" s="65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2.5">
      <c r="A496" s="65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2.5">
      <c r="A497" s="65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2.5">
      <c r="A498" s="65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2.5">
      <c r="A499" s="65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2.5">
      <c r="A500" s="65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2.5">
      <c r="A501" s="65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2.5">
      <c r="A502" s="65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2.5">
      <c r="A503" s="65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2.5">
      <c r="A504" s="65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2.5">
      <c r="A505" s="65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2.5">
      <c r="A506" s="65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2.5">
      <c r="A507" s="65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2.5">
      <c r="A508" s="65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2.5">
      <c r="A509" s="65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2.5">
      <c r="A510" s="65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2.5">
      <c r="A511" s="65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2.5">
      <c r="A512" s="65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2.5">
      <c r="A513" s="65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2.5">
      <c r="A514" s="65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2.5">
      <c r="A515" s="65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2.5">
      <c r="A516" s="65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2.5">
      <c r="A517" s="65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2.5">
      <c r="A518" s="65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2.5">
      <c r="A519" s="65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2.5">
      <c r="A520" s="65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2.5">
      <c r="A521" s="65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2.5">
      <c r="A522" s="65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2.5">
      <c r="A523" s="65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2.5">
      <c r="A524" s="65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2.5">
      <c r="A525" s="65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2.5">
      <c r="A526" s="65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2.5">
      <c r="A527" s="65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2.5">
      <c r="A528" s="65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2.5">
      <c r="A529" s="65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2.5">
      <c r="A530" s="65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2.5">
      <c r="A531" s="65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2.5">
      <c r="A532" s="65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2.5">
      <c r="A533" s="65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2.5">
      <c r="A534" s="65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2.5">
      <c r="A535" s="65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2.5">
      <c r="A536" s="65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2.5">
      <c r="A537" s="65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2.5">
      <c r="A538" s="65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2.5">
      <c r="A539" s="65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2.5">
      <c r="A540" s="65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2.5">
      <c r="A541" s="65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2.5">
      <c r="A542" s="65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2.5">
      <c r="A543" s="65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2.5">
      <c r="A544" s="65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2.5">
      <c r="A545" s="65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2.5">
      <c r="A546" s="65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2.5">
      <c r="A547" s="65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2.5">
      <c r="A548" s="65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2.5">
      <c r="A549" s="65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2.5">
      <c r="A550" s="65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2.5">
      <c r="A551" s="65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2.5">
      <c r="A552" s="65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2.5">
      <c r="A553" s="65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2.5">
      <c r="A554" s="65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2.5">
      <c r="A555" s="65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2.5">
      <c r="A556" s="65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2.5">
      <c r="A557" s="65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2.5">
      <c r="A558" s="65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2.5">
      <c r="A559" s="65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2.5">
      <c r="A560" s="65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2.5">
      <c r="A561" s="65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2.5">
      <c r="A562" s="65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2.5">
      <c r="A563" s="65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2.5">
      <c r="A564" s="65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2.5">
      <c r="A565" s="65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2.5">
      <c r="A566" s="65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2.5">
      <c r="A567" s="65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2.5">
      <c r="A568" s="65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2.5">
      <c r="A569" s="65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2.5">
      <c r="A570" s="65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2.5">
      <c r="A571" s="65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2.5">
      <c r="A572" s="65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2.5">
      <c r="A573" s="65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2.5">
      <c r="A574" s="65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2.5">
      <c r="A575" s="65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2.5">
      <c r="A576" s="65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2.5">
      <c r="A577" s="65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2.5">
      <c r="A578" s="65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2.5">
      <c r="A579" s="65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2.5">
      <c r="A580" s="65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2.5">
      <c r="A581" s="65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2.5">
      <c r="A582" s="65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2.5">
      <c r="A583" s="65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2.5">
      <c r="A584" s="65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2.5">
      <c r="A585" s="65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2.5">
      <c r="A586" s="65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2.5">
      <c r="A587" s="65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2.5">
      <c r="A588" s="65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2.5">
      <c r="A589" s="65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2.5">
      <c r="A590" s="65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2.5">
      <c r="A591" s="65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2.5">
      <c r="A592" s="65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2.5">
      <c r="A593" s="65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2.5">
      <c r="A594" s="65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2.5">
      <c r="A595" s="65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2.5">
      <c r="A596" s="65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2.5">
      <c r="A597" s="65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2.5">
      <c r="A598" s="65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2.5">
      <c r="A599" s="65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2.5">
      <c r="A600" s="65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2.5">
      <c r="A601" s="65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2.5">
      <c r="A602" s="65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2.5">
      <c r="A603" s="65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2.5">
      <c r="A604" s="65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2.5">
      <c r="A605" s="65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2.5">
      <c r="A606" s="65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2.5">
      <c r="A607" s="65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2.5">
      <c r="A608" s="65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2.5">
      <c r="A609" s="65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2.5">
      <c r="A610" s="65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2.5">
      <c r="A611" s="65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2.5">
      <c r="A612" s="65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2.5">
      <c r="A613" s="65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2.5">
      <c r="A614" s="65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2.5">
      <c r="A615" s="65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2.5">
      <c r="A616" s="65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2.5">
      <c r="A617" s="65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2.5">
      <c r="A618" s="65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2.5">
      <c r="A619" s="65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2.5">
      <c r="A620" s="65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2.5">
      <c r="A621" s="65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2.5">
      <c r="A622" s="65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2.5">
      <c r="A623" s="65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2.5">
      <c r="A624" s="65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2.5">
      <c r="A625" s="65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2.5">
      <c r="A626" s="65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2.5">
      <c r="A627" s="65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2.5">
      <c r="A628" s="65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2.5">
      <c r="A629" s="65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2.5">
      <c r="A630" s="65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2.5">
      <c r="A631" s="65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2.5">
      <c r="A632" s="65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2.5">
      <c r="A633" s="65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2.5">
      <c r="A634" s="65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2.5">
      <c r="A635" s="65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2.5">
      <c r="A636" s="65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2.5">
      <c r="A637" s="65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2.5">
      <c r="A638" s="65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2.5">
      <c r="A639" s="65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2.5">
      <c r="A640" s="65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2.5">
      <c r="A641" s="65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2.5">
      <c r="A642" s="65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2.5">
      <c r="A643" s="65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2.5">
      <c r="A644" s="65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2.5">
      <c r="A645" s="65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2.5">
      <c r="A646" s="65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2.5">
      <c r="A647" s="65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2.5">
      <c r="A648" s="65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2.5">
      <c r="A649" s="65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2.5">
      <c r="A650" s="65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2.5">
      <c r="A651" s="65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2.5">
      <c r="A652" s="65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2.5">
      <c r="A653" s="65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2.5">
      <c r="A654" s="65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2.5">
      <c r="A655" s="65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2.5">
      <c r="A656" s="65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2.5">
      <c r="A657" s="65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2.5">
      <c r="A658" s="65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2.5">
      <c r="A659" s="65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2.5">
      <c r="A660" s="65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2.5">
      <c r="A661" s="65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2.5">
      <c r="A662" s="65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2.5">
      <c r="A663" s="65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2.5">
      <c r="A664" s="65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2.5">
      <c r="A665" s="65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2.5">
      <c r="A666" s="65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2.5">
      <c r="A667" s="65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2.5">
      <c r="A668" s="65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2.5">
      <c r="A669" s="65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2.5">
      <c r="A670" s="65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2.5">
      <c r="A671" s="65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2.5">
      <c r="A672" s="65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2.5">
      <c r="A673" s="65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2.5">
      <c r="A674" s="65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2.5">
      <c r="A675" s="65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2.5">
      <c r="A676" s="65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2.5">
      <c r="A677" s="65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2.5">
      <c r="A678" s="65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2.5">
      <c r="A679" s="65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2.5">
      <c r="A680" s="65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2.5">
      <c r="A681" s="65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2.5">
      <c r="A682" s="65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2.5">
      <c r="A683" s="65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2.5">
      <c r="A684" s="65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2.5">
      <c r="A685" s="65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2.5">
      <c r="A686" s="65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2.5">
      <c r="A687" s="65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2.5">
      <c r="A688" s="65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2.5">
      <c r="A689" s="65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2.5">
      <c r="A690" s="65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2.5">
      <c r="A691" s="65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2.5">
      <c r="A692" s="65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2.5">
      <c r="A693" s="65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2.5">
      <c r="A694" s="65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2.5">
      <c r="A695" s="65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2.5">
      <c r="A696" s="65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2.5">
      <c r="A697" s="65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2.5">
      <c r="A698" s="65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2.5">
      <c r="A699" s="65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2.5">
      <c r="A700" s="65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2.5">
      <c r="A701" s="65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2.5">
      <c r="A702" s="65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2.5">
      <c r="A703" s="65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2.5">
      <c r="A704" s="65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2.5">
      <c r="A705" s="65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2.5">
      <c r="A706" s="65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2.5">
      <c r="A707" s="65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2.5">
      <c r="A708" s="65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2.5">
      <c r="A709" s="65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2.5">
      <c r="A710" s="65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2.5">
      <c r="A711" s="65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2.5">
      <c r="A712" s="65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2.5">
      <c r="A713" s="65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2.5">
      <c r="A714" s="65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2.5">
      <c r="A715" s="65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2.5">
      <c r="A716" s="65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2.5">
      <c r="A717" s="65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2.5">
      <c r="A718" s="65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2.5">
      <c r="A719" s="65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2.5">
      <c r="A720" s="65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2.5">
      <c r="A721" s="65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2.5">
      <c r="A722" s="65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2.5">
      <c r="A723" s="65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2.5">
      <c r="A724" s="65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2.5">
      <c r="A725" s="65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2.5">
      <c r="A726" s="65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2.5">
      <c r="A727" s="65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2.5">
      <c r="A728" s="65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2.5">
      <c r="A729" s="65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2.5">
      <c r="A730" s="65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2.5">
      <c r="A731" s="65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2.5">
      <c r="A732" s="65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2.5">
      <c r="A733" s="65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2.5">
      <c r="A734" s="65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2.5">
      <c r="A735" s="65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2.5">
      <c r="A736" s="65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2.5">
      <c r="A737" s="65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2.5">
      <c r="A738" s="65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2.5">
      <c r="A739" s="65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2.5">
      <c r="A740" s="65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2.5">
      <c r="A741" s="65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2.5">
      <c r="A742" s="65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2.5">
      <c r="A743" s="65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2.5">
      <c r="A744" s="65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2.5">
      <c r="A745" s="65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2.5">
      <c r="A746" s="65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2.5">
      <c r="A747" s="65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2.5">
      <c r="A748" s="65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2.5">
      <c r="A749" s="65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2.5">
      <c r="A750" s="65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2.5">
      <c r="A751" s="65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2.5">
      <c r="A752" s="65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2.5">
      <c r="A753" s="65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2.5">
      <c r="A754" s="65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2.5">
      <c r="A755" s="65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2.5">
      <c r="A756" s="65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2.5">
      <c r="A757" s="65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2.5">
      <c r="A758" s="65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2.5">
      <c r="A759" s="65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2.5">
      <c r="A760" s="65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2.5">
      <c r="A761" s="65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2.5">
      <c r="A762" s="65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2.5">
      <c r="A763" s="65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2.5">
      <c r="A764" s="65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2.5">
      <c r="A765" s="65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2.5">
      <c r="A766" s="65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2.5">
      <c r="A767" s="65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2.5">
      <c r="A768" s="65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2.5">
      <c r="A769" s="65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2.5">
      <c r="A770" s="65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2.5">
      <c r="A771" s="65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2.5">
      <c r="A772" s="65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2.5">
      <c r="A773" s="65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2.5">
      <c r="A774" s="65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2.5">
      <c r="A775" s="65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2.5">
      <c r="A776" s="65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2.5">
      <c r="A777" s="65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2.5">
      <c r="A778" s="65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2.5">
      <c r="A779" s="65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2.5">
      <c r="A780" s="65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2.5">
      <c r="A781" s="65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2.5">
      <c r="A782" s="65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2.5">
      <c r="A783" s="65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2.5">
      <c r="A784" s="65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2.5">
      <c r="A785" s="65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2.5">
      <c r="A786" s="65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2.5">
      <c r="A787" s="65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2.5">
      <c r="A788" s="65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2.5">
      <c r="A789" s="65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2.5">
      <c r="A790" s="65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2.5">
      <c r="A791" s="65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2.5">
      <c r="A792" s="65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2.5">
      <c r="A793" s="65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2.5">
      <c r="A794" s="65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2.5">
      <c r="A795" s="65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2.5">
      <c r="A796" s="65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2.5">
      <c r="A797" s="65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2.5">
      <c r="A798" s="65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2.5">
      <c r="A799" s="65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2.5">
      <c r="A800" s="65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2.5">
      <c r="A801" s="65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2.5">
      <c r="A802" s="65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2.5">
      <c r="A803" s="65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2.5">
      <c r="A804" s="65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2.5">
      <c r="A805" s="65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2.5">
      <c r="A806" s="65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2.5">
      <c r="A807" s="65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2.5">
      <c r="A808" s="65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2.5">
      <c r="A809" s="65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2.5">
      <c r="A810" s="65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2.5">
      <c r="A811" s="65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2.5">
      <c r="A812" s="65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2.5">
      <c r="A813" s="65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2.5">
      <c r="A814" s="65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2.5">
      <c r="A815" s="65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2.5">
      <c r="A816" s="65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2.5">
      <c r="A817" s="65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2.5">
      <c r="A818" s="65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2.5">
      <c r="A819" s="65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2.5">
      <c r="A820" s="65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2.5">
      <c r="A821" s="65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2.5">
      <c r="A822" s="65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2.5">
      <c r="A823" s="65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2.5">
      <c r="A824" s="65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2.5">
      <c r="A825" s="65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2.5">
      <c r="A826" s="65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2.5">
      <c r="A827" s="65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2.5">
      <c r="A828" s="65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2.5">
      <c r="A829" s="65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2.5">
      <c r="A830" s="65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2.5">
      <c r="A831" s="65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2.5">
      <c r="A832" s="65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2.5">
      <c r="A833" s="65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2.5">
      <c r="A834" s="65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2.5">
      <c r="A835" s="65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2.5">
      <c r="A836" s="65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2.5">
      <c r="A837" s="65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2.5">
      <c r="A838" s="65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2.5">
      <c r="A839" s="65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2.5">
      <c r="A840" s="65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2.5">
      <c r="A841" s="65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2.5">
      <c r="A842" s="65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2.5">
      <c r="A843" s="65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2.5">
      <c r="A844" s="65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2.5">
      <c r="A845" s="65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2.5">
      <c r="A846" s="65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2.5">
      <c r="A847" s="65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2.5">
      <c r="A848" s="65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2.5">
      <c r="A849" s="65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2.5">
      <c r="A850" s="65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2.5">
      <c r="A851" s="65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2.5">
      <c r="A852" s="65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2.5">
      <c r="A853" s="65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2.5">
      <c r="A854" s="65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2.5">
      <c r="A855" s="65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2.5">
      <c r="A856" s="65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2.5">
      <c r="A857" s="65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2.5">
      <c r="A858" s="65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2.5">
      <c r="A859" s="65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2.5">
      <c r="A860" s="65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2.5">
      <c r="A861" s="65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2.5">
      <c r="A862" s="65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2.5">
      <c r="A863" s="65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2.5">
      <c r="A864" s="65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2.5">
      <c r="A865" s="65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2.5">
      <c r="A866" s="65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2.5">
      <c r="A867" s="65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2.5">
      <c r="A868" s="65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2.5">
      <c r="A869" s="65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2.5">
      <c r="A870" s="65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2.5">
      <c r="A871" s="65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2.5">
      <c r="A872" s="65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2.5">
      <c r="A873" s="65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2.5">
      <c r="A874" s="65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2.5">
      <c r="A875" s="65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2.5">
      <c r="A876" s="65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2.5">
      <c r="A877" s="65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2.5">
      <c r="A878" s="65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2.5">
      <c r="A879" s="65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2.5">
      <c r="A880" s="65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2.5">
      <c r="A881" s="65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2.5">
      <c r="A882" s="65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2.5">
      <c r="A883" s="65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2.5">
      <c r="A884" s="65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2.5">
      <c r="A885" s="65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2.5">
      <c r="A886" s="65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2.5">
      <c r="A887" s="65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2.5">
      <c r="A888" s="65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2.5">
      <c r="A889" s="65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2.5">
      <c r="A890" s="65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2.5">
      <c r="A891" s="65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2.5">
      <c r="A892" s="65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2.5">
      <c r="A893" s="65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2.5">
      <c r="A894" s="65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2.5">
      <c r="A895" s="65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2.5">
      <c r="A896" s="65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2.5">
      <c r="A897" s="65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2.5">
      <c r="A898" s="65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2.5">
      <c r="A899" s="65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2.5">
      <c r="A900" s="65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2.5">
      <c r="A901" s="65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2.5">
      <c r="A902" s="65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2.5">
      <c r="A903" s="65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2.5">
      <c r="A904" s="65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2.5">
      <c r="A905" s="65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2.5">
      <c r="A906" s="65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2.5">
      <c r="A907" s="65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2.5">
      <c r="A908" s="65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2.5">
      <c r="A909" s="65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2.5">
      <c r="A910" s="65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2.5">
      <c r="A911" s="65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2.5">
      <c r="A912" s="65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2.5">
      <c r="A913" s="65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2.5">
      <c r="A914" s="65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2.5">
      <c r="A915" s="65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2.5">
      <c r="A916" s="65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2.5">
      <c r="A917" s="65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2.5">
      <c r="A918" s="65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2.5">
      <c r="A919" s="65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2.5">
      <c r="A920" s="65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2.5">
      <c r="A921" s="65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2.5">
      <c r="A922" s="65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2.5">
      <c r="A923" s="65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2.5">
      <c r="A924" s="65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2.5">
      <c r="A925" s="65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2.5">
      <c r="A926" s="65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2.5">
      <c r="A927" s="65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2.5">
      <c r="A928" s="65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2.5">
      <c r="A929" s="65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2.5">
      <c r="A930" s="65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2.5">
      <c r="A931" s="65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2.5">
      <c r="A932" s="65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2.5">
      <c r="A933" s="65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2.5">
      <c r="A934" s="65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2.5">
      <c r="A935" s="65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2.5">
      <c r="A936" s="65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2.5">
      <c r="A937" s="65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2.5">
      <c r="A938" s="65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2.5">
      <c r="A939" s="65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2.5">
      <c r="A940" s="65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2.5">
      <c r="A941" s="65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2.5">
      <c r="A942" s="65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2.5">
      <c r="A943" s="65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2.5">
      <c r="A944" s="65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2.5">
      <c r="A945" s="65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2.5">
      <c r="A946" s="65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2.5">
      <c r="A947" s="65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2.5">
      <c r="A948" s="65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2.5">
      <c r="A949" s="65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2.5">
      <c r="A950" s="65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2.5">
      <c r="A951" s="65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2.5">
      <c r="A952" s="65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2.5">
      <c r="A953" s="65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2.5">
      <c r="A954" s="65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2.5">
      <c r="A955" s="65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2.5">
      <c r="A956" s="65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2.5">
      <c r="A957" s="65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2.5">
      <c r="A958" s="65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2.5">
      <c r="A959" s="65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2.5">
      <c r="A960" s="65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2.5">
      <c r="A961" s="65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2.5">
      <c r="A962" s="65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2.5">
      <c r="A963" s="65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2.5">
      <c r="A964" s="65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2.5">
      <c r="A965" s="65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2.5">
      <c r="A966" s="65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2.5">
      <c r="A967" s="65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2.5">
      <c r="A968" s="65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2.5">
      <c r="A969" s="65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2.5">
      <c r="A970" s="65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2.5">
      <c r="A971" s="65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2.5">
      <c r="A972" s="65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2.5">
      <c r="A973" s="65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2.5">
      <c r="A974" s="65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2.5">
      <c r="A975" s="65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2.5">
      <c r="A976" s="65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2.5">
      <c r="A977" s="65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2.5">
      <c r="A978" s="65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2.5">
      <c r="A979" s="65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2.5">
      <c r="A980" s="65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2.5">
      <c r="A981" s="65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12.5">
      <c r="A982" s="65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12.5">
      <c r="A983" s="65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12.5">
      <c r="A984" s="65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12.5">
      <c r="A985" s="65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12.5">
      <c r="A986" s="65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12.5">
      <c r="A987" s="65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12.5">
      <c r="A988" s="65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12.5">
      <c r="A989" s="65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12.5">
      <c r="A990" s="65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12.5">
      <c r="A991" s="65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12.5">
      <c r="A992" s="65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12.5">
      <c r="A993" s="65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12.5">
      <c r="A994" s="65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12.5">
      <c r="A995" s="65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12.5">
      <c r="A996" s="65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1:28" ht="12.5">
      <c r="A997" s="65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1:28" ht="12.5">
      <c r="A998" s="65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1:28" ht="12.5">
      <c r="A999" s="65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1:28" ht="12.5">
      <c r="A1000" s="65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 spans="1:28" ht="12.5">
      <c r="A1001" s="65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 spans="1:28" ht="12.5">
      <c r="A1002" s="65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  <row r="1003" spans="1:28" ht="12.5">
      <c r="A1003" s="65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</row>
    <row r="1004" spans="1:28" ht="12.5">
      <c r="A1004" s="65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</row>
    <row r="1005" spans="1:28" ht="12.5">
      <c r="A1005" s="65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</row>
    <row r="1006" spans="1:28" ht="12.5">
      <c r="A1006" s="65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</row>
    <row r="1007" spans="1:28" ht="12.5">
      <c r="A1007" s="65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</row>
    <row r="1008" spans="1:28" ht="12.5">
      <c r="A1008" s="65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</row>
    <row r="1009" spans="1:28" ht="12.5">
      <c r="A1009" s="65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</row>
    <row r="1010" spans="1:28" ht="12.5">
      <c r="A1010" s="65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</row>
  </sheetData>
  <mergeCells count="22">
    <mergeCell ref="A1:K1"/>
    <mergeCell ref="A3:A6"/>
    <mergeCell ref="A7:A15"/>
    <mergeCell ref="A16:A17"/>
    <mergeCell ref="A18:A20"/>
    <mergeCell ref="A21:A25"/>
    <mergeCell ref="A29:A32"/>
    <mergeCell ref="A71:A76"/>
    <mergeCell ref="A77:A80"/>
    <mergeCell ref="A81:A88"/>
    <mergeCell ref="A33:A34"/>
    <mergeCell ref="A35:A40"/>
    <mergeCell ref="A41:A48"/>
    <mergeCell ref="A49:A54"/>
    <mergeCell ref="A55:A57"/>
    <mergeCell ref="A58:A63"/>
    <mergeCell ref="A69:K69"/>
    <mergeCell ref="A89:A92"/>
    <mergeCell ref="A93:A96"/>
    <mergeCell ref="A97:A103"/>
    <mergeCell ref="A104:A108"/>
    <mergeCell ref="A109:A114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>
    <oddHeader>&amp;LGradient sampling - Nordern Norway 2024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Gradient sampling 2024 - DurinV</vt:lpstr>
      <vt:lpstr>vmvv problems</vt:lpstr>
      <vt:lpstr>Copy of data</vt:lpstr>
      <vt:lpstr>Notes</vt:lpstr>
      <vt:lpstr>ANOSampledSites</vt:lpstr>
      <vt:lpstr>Tabellenblatt2</vt:lpstr>
      <vt:lpstr>ANO flater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Rita Geange</dc:creator>
  <cp:lastModifiedBy>Katelyn Margaret Hosford (Umail)</cp:lastModifiedBy>
  <dcterms:created xsi:type="dcterms:W3CDTF">2026-06-02T10:12:58Z</dcterms:created>
  <dcterms:modified xsi:type="dcterms:W3CDTF">2026-06-02T12:51:55Z</dcterms:modified>
</cp:coreProperties>
</file>